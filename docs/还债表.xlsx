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债务清单" sheetId="2" state="visible" r:id="rId4"/>
    <sheet name="每月预算" sheetId="3" state="visible" r:id="rId5"/>
    <sheet name="两种还法对比" sheetId="4" state="visible" r:id="rId6"/>
    <sheet name="每月还款表" sheetId="5" state="visible" r:id="rId7"/>
    <sheet name="利率换算" sheetId="6" state="visible" r:id="rId8"/>
    <sheet name="计算_雪球" sheetId="7" state="visible" r:id="rId9"/>
    <sheet name="计算_雪崩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<sst xmlns="http://schemas.openxmlformats.org/spreadsheetml/2006/main" count="278" uniqueCount="144">
  <si>
    <r>
      <rPr>
        <b val="true"/>
        <sz val="14"/>
        <color rgb="FF000000"/>
        <rFont val="Noto Sans CJK SC"/>
        <family val="2"/>
      </rPr>
      <t xml:space="preserve">还债表 </t>
    </r>
    <r>
      <rPr>
        <b val="true"/>
        <sz val="14"/>
        <color rgb="FF000000"/>
        <rFont val="Arial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赛博老爸开源版 </t>
    </r>
    <r>
      <rPr>
        <b val="true"/>
        <sz val="14"/>
        <color rgb="FF000000"/>
        <rFont val="Arial"/>
        <family val="0"/>
        <charset val="1"/>
      </rPr>
      <t xml:space="preserve">v1</t>
    </r>
    <r>
      <rPr>
        <b val="true"/>
        <sz val="14"/>
        <color rgb="FF000000"/>
        <rFont val="Noto Sans CJK SC"/>
        <family val="2"/>
      </rPr>
      <t xml:space="preserve">（</t>
    </r>
    <r>
      <rPr>
        <b val="true"/>
        <sz val="14"/>
        <color rgb="FF000000"/>
        <rFont val="Arial"/>
        <family val="0"/>
        <charset val="1"/>
      </rPr>
      <t xml:space="preserve">2026 </t>
    </r>
    <r>
      <rPr>
        <b val="true"/>
        <sz val="14"/>
        <color rgb="FF000000"/>
        <rFont val="Noto Sans CJK SC"/>
        <family val="2"/>
      </rPr>
      <t xml:space="preserve">年 </t>
    </r>
    <r>
      <rPr>
        <b val="true"/>
        <sz val="14"/>
        <color rgb="FF000000"/>
        <rFont val="Arial"/>
        <family val="0"/>
        <charset val="1"/>
      </rPr>
      <t xml:space="preserve">10 </t>
    </r>
    <r>
      <rPr>
        <b val="true"/>
        <sz val="14"/>
        <color rgb="FF000000"/>
        <rFont val="Noto Sans CJK SC"/>
        <family val="2"/>
      </rPr>
      <t xml:space="preserve">月）</t>
    </r>
  </si>
  <si>
    <t xml:space="preserve">这张表帮你做三件事：把所有债摊开看清楚；算出每个月至少要赚多少；算出用「雪球法」和「雪崩法」各自哪天能还清。</t>
  </si>
  <si>
    <r>
      <rPr>
        <b val="true"/>
        <sz val="12"/>
        <color rgb="FF000000"/>
        <rFont val="Noto Sans CJK SC"/>
        <family val="2"/>
      </rPr>
      <t xml:space="preserve">怎么用（</t>
    </r>
    <r>
      <rPr>
        <b val="true"/>
        <sz val="12"/>
        <color rgb="FF000000"/>
        <rFont val="Arial"/>
        <family val="0"/>
        <charset val="1"/>
      </rPr>
      <t xml:space="preserve">4 </t>
    </r>
    <r>
      <rPr>
        <b val="true"/>
        <sz val="12"/>
        <color rgb="FF000000"/>
        <rFont val="Noto Sans CJK SC"/>
        <family val="2"/>
      </rPr>
      <t xml:space="preserve">步）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</si>
  <si>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打开「债务清单」，把每一笔债填进去（最多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笔）。里面的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行是示例，换成你自己的。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</si>
  <si>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打开「每月预算」，填收入和必要开支，再填每个月打算多还多少（加速钱），选一种还法。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</si>
  <si>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看「两种还法对比」：哪种更省利息，哪种能更快清掉第一笔。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</si>
  <si>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每个月照着「每月还款表」还。每周更新一次「债务清单」里的「还剩多少」。</t>
    </r>
  </si>
  <si>
    <t xml:space="preserve">颜色说明</t>
  </si>
  <si>
    <r>
      <rPr>
        <sz val="10"/>
        <color rgb="FF000000"/>
        <rFont val="Noto Sans CJK SC"/>
        <family val="2"/>
      </rPr>
      <t xml:space="preserve">黄底蓝字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你要填的格子。黑字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自动计算的，不要改。</t>
    </r>
  </si>
  <si>
    <r>
      <rPr>
        <sz val="10"/>
        <color rgb="FF000000"/>
        <rFont val="Noto Sans CJK SC"/>
        <family val="2"/>
      </rPr>
      <t xml:space="preserve">「债务清单」里年化超过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的会标红：银行、消费金融、正规网贷的个人贷款，监管要求利息加各种费用的年化不超过 </t>
    </r>
    <r>
      <rPr>
        <sz val="10"/>
        <color rgb="FF000000"/>
        <rFont val="Arial"/>
        <family val="0"/>
        <charset val="1"/>
      </rPr>
      <t xml:space="preserve">24%</t>
    </r>
    <r>
      <rPr>
        <sz val="10"/>
        <color rgb="FF000000"/>
        <rFont val="Noto Sans CJK SC"/>
        <family val="2"/>
      </rPr>
      <t xml:space="preserve">，超过的可以打 </t>
    </r>
    <r>
      <rPr>
        <sz val="10"/>
        <color rgb="FF000000"/>
        <rFont val="Arial"/>
        <family val="0"/>
        <charset val="1"/>
      </rPr>
      <t xml:space="preserve">12378 </t>
    </r>
    <r>
      <rPr>
        <sz val="10"/>
        <color rgb="FF000000"/>
        <rFont val="Noto Sans CJK SC"/>
        <family val="2"/>
      </rPr>
      <t xml:space="preserve">投诉。</t>
    </r>
  </si>
  <si>
    <t xml:space="preserve">不知道自己的真实年化？</t>
  </si>
  <si>
    <t xml:space="preserve">用「利率换算」页：日息、月息、分期手续费、只知道每期还多少，都能换算成年化。</t>
  </si>
  <si>
    <t xml:space="preserve">算法说明</t>
  </si>
  <si>
    <r>
      <rPr>
        <sz val="10"/>
        <color rgb="FF000000"/>
        <rFont val="Noto Sans CJK SC"/>
        <family val="2"/>
      </rPr>
      <t xml:space="preserve">每月利息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欠款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。这是简化算法，和银行实际账单会有小误差，以账单为准。</t>
    </r>
  </si>
  <si>
    <t xml:space="preserve">每个月先给每笔债还最低还款，剩下的「加速钱」全部砸向排在最前面的那一笔。清掉一笔后，它原来的月供自动加到下一笔上。</t>
  </si>
  <si>
    <r>
      <rPr>
        <sz val="10"/>
        <color rgb="FF000000"/>
        <rFont val="Noto Sans CJK SC"/>
        <family val="2"/>
      </rPr>
      <t xml:space="preserve">雪球法：先还金额最小的。雪崩法：先还年化最高的。最多计算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年。</t>
    </r>
  </si>
  <si>
    <r>
      <rPr>
        <sz val="10"/>
        <color rgb="FF000000"/>
        <rFont val="Noto Sans CJK SC"/>
        <family val="2"/>
      </rPr>
      <t xml:space="preserve">最后两页「计算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雪球」「计算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雪崩」是自动计算用的，不用看，也不要改。</t>
    </r>
  </si>
  <si>
    <r>
      <rPr>
        <sz val="10"/>
        <color rgb="FF000000"/>
        <rFont val="Noto Sans CJK SC"/>
        <family val="2"/>
      </rPr>
      <t xml:space="preserve">配套：《负债上岸 </t>
    </r>
    <r>
      <rPr>
        <sz val="10"/>
        <color rgb="FF000000"/>
        <rFont val="Arial"/>
        <family val="0"/>
        <charset val="1"/>
      </rPr>
      <t xml:space="preserve">SOP</t>
    </r>
    <r>
      <rPr>
        <sz val="10"/>
        <color rgb="FF000000"/>
        <rFont val="Noto Sans CJK SC"/>
        <family val="2"/>
      </rPr>
      <t xml:space="preserve">》—— 先止血，再协商，再排序，再增收。</t>
    </r>
  </si>
  <si>
    <t xml:space="preserve">免责：这张表只做计算，不构成法律意见或投资建议。具体以合同、银行和平台的官方答复为准。</t>
  </si>
  <si>
    <t xml:space="preserve">债务清单</t>
  </si>
  <si>
    <r>
      <rPr>
        <i val="true"/>
        <sz val="10"/>
        <color rgb="FF808080"/>
        <rFont val="Noto Sans CJK SC"/>
        <family val="2"/>
      </rPr>
      <t xml:space="preserve">黄底蓝字是你要填的。下面 </t>
    </r>
    <r>
      <rPr>
        <i val="true"/>
        <sz val="10"/>
        <color rgb="FF808080"/>
        <rFont val="Arial"/>
        <family val="0"/>
        <charset val="1"/>
      </rPr>
      <t xml:space="preserve">4 </t>
    </r>
    <r>
      <rPr>
        <i val="true"/>
        <sz val="10"/>
        <color rgb="FF808080"/>
        <rFont val="Noto Sans CJK SC"/>
        <family val="2"/>
      </rPr>
      <t xml:space="preserve">行是示例，换成你自己的债（最多 </t>
    </r>
    <r>
      <rPr>
        <i val="true"/>
        <sz val="10"/>
        <color rgb="FF808080"/>
        <rFont val="Arial"/>
        <family val="0"/>
        <charset val="1"/>
      </rPr>
      <t xml:space="preserve">10 </t>
    </r>
    <r>
      <rPr>
        <i val="true"/>
        <sz val="10"/>
        <color rgb="FF808080"/>
        <rFont val="Noto Sans CJK SC"/>
        <family val="2"/>
      </rPr>
      <t xml:space="preserve">笔）。利率填成 </t>
    </r>
    <r>
      <rPr>
        <i val="true"/>
        <sz val="10"/>
        <color rgb="FF808080"/>
        <rFont val="Arial"/>
        <family val="0"/>
        <charset val="1"/>
      </rPr>
      <t xml:space="preserve">18% </t>
    </r>
    <r>
      <rPr>
        <i val="true"/>
        <sz val="10"/>
        <color rgb="FF808080"/>
        <rFont val="Noto Sans CJK SC"/>
        <family val="2"/>
      </rPr>
      <t xml:space="preserve">这样的格式。</t>
    </r>
  </si>
  <si>
    <t xml:space="preserve">#</t>
  </si>
  <si>
    <t xml:space="preserve">欠谁的</t>
  </si>
  <si>
    <t xml:space="preserve">类型</t>
  </si>
  <si>
    <t xml:space="preserve">还剩多少（元）</t>
  </si>
  <si>
    <t xml:space="preserve">真实年化</t>
  </si>
  <si>
    <t xml:space="preserve">每月最低还款（元）</t>
  </si>
  <si>
    <t xml:space="preserve">每月几号还</t>
  </si>
  <si>
    <t xml:space="preserve">有没有逾期</t>
  </si>
  <si>
    <t xml:space="preserve">备注</t>
  </si>
  <si>
    <t xml:space="preserve">雪球法顺序</t>
  </si>
  <si>
    <t xml:space="preserve">雪崩法顺序</t>
  </si>
  <si>
    <t xml:space="preserve">雪球法：第几个月还清</t>
  </si>
  <si>
    <t xml:space="preserve">雪崩法：第几个月还清</t>
  </si>
  <si>
    <t xml:space="preserve">有效（辅助）</t>
  </si>
  <si>
    <t xml:space="preserve">年化（辅助）</t>
  </si>
  <si>
    <r>
      <rPr>
        <sz val="10"/>
        <color rgb="FF0000FF"/>
        <rFont val="Noto Sans CJK SC"/>
        <family val="2"/>
      </rPr>
      <t xml:space="preserve">信用卡</t>
    </r>
    <r>
      <rPr>
        <sz val="10"/>
        <color rgb="FF0000FF"/>
        <rFont val="Arial"/>
        <family val="0"/>
        <charset val="1"/>
      </rPr>
      <t xml:space="preserve">A</t>
    </r>
  </si>
  <si>
    <t xml:space="preserve">信用卡</t>
  </si>
  <si>
    <t xml:space="preserve">否</t>
  </si>
  <si>
    <t xml:space="preserve">示例，换成你自己的</t>
  </si>
  <si>
    <r>
      <rPr>
        <sz val="10"/>
        <color rgb="FF0000FF"/>
        <rFont val="Noto Sans CJK SC"/>
        <family val="2"/>
      </rPr>
      <t xml:space="preserve">信用卡</t>
    </r>
    <r>
      <rPr>
        <sz val="10"/>
        <color rgb="FF0000FF"/>
        <rFont val="Arial"/>
        <family val="0"/>
        <charset val="1"/>
      </rPr>
      <t xml:space="preserve">B</t>
    </r>
    <r>
      <rPr>
        <sz val="10"/>
        <color rgb="FF0000FF"/>
        <rFont val="Noto Sans CJK SC"/>
        <family val="2"/>
      </rPr>
      <t xml:space="preserve">（分期）</t>
    </r>
  </si>
  <si>
    <r>
      <rPr>
        <sz val="10"/>
        <color rgb="FF0000FF"/>
        <rFont val="Noto Sans CJK SC"/>
        <family val="2"/>
      </rPr>
      <t xml:space="preserve">分期手续费换算后约 </t>
    </r>
    <r>
      <rPr>
        <sz val="10"/>
        <color rgb="FF0000FF"/>
        <rFont val="Arial"/>
        <family val="0"/>
        <charset val="1"/>
      </rPr>
      <t xml:space="preserve">13%</t>
    </r>
  </si>
  <si>
    <r>
      <rPr>
        <sz val="10"/>
        <color rgb="FF0000FF"/>
        <rFont val="Noto Sans CJK SC"/>
        <family val="2"/>
      </rPr>
      <t xml:space="preserve">网贷</t>
    </r>
    <r>
      <rPr>
        <sz val="10"/>
        <color rgb="FF0000FF"/>
        <rFont val="Arial"/>
        <family val="0"/>
        <charset val="1"/>
      </rPr>
      <t xml:space="preserve">X</t>
    </r>
  </si>
  <si>
    <t xml:space="preserve">网贷</t>
  </si>
  <si>
    <t xml:space="preserve">亲友借款（老王）</t>
  </si>
  <si>
    <t xml:space="preserve">亲友借款</t>
  </si>
  <si>
    <r>
      <rPr>
        <sz val="10"/>
        <color rgb="FF0000FF"/>
        <rFont val="Noto Sans CJK SC"/>
        <family val="2"/>
      </rPr>
      <t xml:space="preserve">说好每月还 </t>
    </r>
    <r>
      <rPr>
        <sz val="10"/>
        <color rgb="FF0000FF"/>
        <rFont val="Arial"/>
        <family val="0"/>
        <charset val="1"/>
      </rPr>
      <t xml:space="preserve">500</t>
    </r>
  </si>
  <si>
    <t xml:space="preserve">合计</t>
  </si>
  <si>
    <r>
      <rPr>
        <i val="true"/>
        <sz val="10"/>
        <color rgb="FF808080"/>
        <rFont val="Noto Sans CJK SC"/>
        <family val="2"/>
      </rPr>
      <t xml:space="preserve">年化超过 </t>
    </r>
    <r>
      <rPr>
        <i val="true"/>
        <sz val="10"/>
        <color rgb="FF808080"/>
        <rFont val="Arial"/>
        <family val="0"/>
        <charset val="1"/>
      </rPr>
      <t xml:space="preserve">24% </t>
    </r>
    <r>
      <rPr>
        <i val="true"/>
        <sz val="10"/>
        <color rgb="FF808080"/>
        <rFont val="Noto Sans CJK SC"/>
        <family val="2"/>
      </rPr>
      <t xml:space="preserve">的会标红：持牌机构的个人贷款，监管要求综合年化不超过 </t>
    </r>
    <r>
      <rPr>
        <i val="true"/>
        <sz val="10"/>
        <color rgb="FF808080"/>
        <rFont val="Arial"/>
        <family val="0"/>
        <charset val="1"/>
      </rPr>
      <t xml:space="preserve">24%</t>
    </r>
    <r>
      <rPr>
        <i val="true"/>
        <sz val="10"/>
        <color rgb="FF808080"/>
        <rFont val="Noto Sans CJK SC"/>
        <family val="2"/>
      </rPr>
      <t xml:space="preserve">，可以打 </t>
    </r>
    <r>
      <rPr>
        <i val="true"/>
        <sz val="10"/>
        <color rgb="FF808080"/>
        <rFont val="Arial"/>
        <family val="0"/>
        <charset val="1"/>
      </rPr>
      <t xml:space="preserve">12378 </t>
    </r>
    <r>
      <rPr>
        <i val="true"/>
        <sz val="10"/>
        <color rgb="FF808080"/>
        <rFont val="Noto Sans CJK SC"/>
        <family val="2"/>
      </rPr>
      <t xml:space="preserve">投诉。不知道年化？用「利率换算」页。</t>
    </r>
  </si>
  <si>
    <t xml:space="preserve">每月预算</t>
  </si>
  <si>
    <t xml:space="preserve">黄底蓝字是你要填的，按一个月来算。</t>
  </si>
  <si>
    <t xml:space="preserve">每月收入</t>
  </si>
  <si>
    <r>
      <rPr>
        <sz val="10"/>
        <color rgb="FF000000"/>
        <rFont val="Noto Sans CJK SC"/>
        <family val="2"/>
      </rPr>
      <t xml:space="preserve">工资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主业</t>
    </r>
  </si>
  <si>
    <t xml:space="preserve">副业</t>
  </si>
  <si>
    <t xml:space="preserve">其他收入</t>
  </si>
  <si>
    <t xml:space="preserve">收入合计</t>
  </si>
  <si>
    <t xml:space="preserve">每月必要开支</t>
  </si>
  <si>
    <r>
      <rPr>
        <sz val="10"/>
        <color rgb="FF000000"/>
        <rFont val="Noto Sans CJK SC"/>
        <family val="2"/>
      </rPr>
      <t xml:space="preserve">房租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房贷</t>
    </r>
  </si>
  <si>
    <t xml:space="preserve">吃饭</t>
  </si>
  <si>
    <t xml:space="preserve">交通</t>
  </si>
  <si>
    <t xml:space="preserve">水电、话费、网费</t>
  </si>
  <si>
    <t xml:space="preserve">孩子、赡养老人</t>
  </si>
  <si>
    <t xml:space="preserve">保险、看病</t>
  </si>
  <si>
    <t xml:space="preserve">其他必要开支</t>
  </si>
  <si>
    <t xml:space="preserve">零花钱（建议留一点，不然坚持不下去）</t>
  </si>
  <si>
    <t xml:space="preserve">开支合计</t>
  </si>
  <si>
    <t xml:space="preserve">还债</t>
  </si>
  <si>
    <t xml:space="preserve">所有债的最低还款合计</t>
  </si>
  <si>
    <t xml:space="preserve">自动从「债务清单」拿过来</t>
  </si>
  <si>
    <t xml:space="preserve">每个月至少要赚多少</t>
  </si>
  <si>
    <r>
      <rPr>
        <i val="true"/>
        <sz val="10"/>
        <color rgb="FF808080"/>
        <rFont val="Noto Sans CJK SC"/>
        <family val="2"/>
      </rPr>
      <t xml:space="preserve">也就是：必要开支 </t>
    </r>
    <r>
      <rPr>
        <i val="true"/>
        <sz val="10"/>
        <color rgb="FF808080"/>
        <rFont val="Arial"/>
        <family val="0"/>
        <charset val="1"/>
      </rPr>
      <t xml:space="preserve">+ </t>
    </r>
    <r>
      <rPr>
        <i val="true"/>
        <sz val="10"/>
        <color rgb="FF808080"/>
        <rFont val="Noto Sans CJK SC"/>
        <family val="2"/>
      </rPr>
      <t xml:space="preserve">所有最低还款。低于这个数，就会越欠越多</t>
    </r>
  </si>
  <si>
    <t xml:space="preserve">每月结余（收入 − 开支 − 最低还款）</t>
  </si>
  <si>
    <t xml:space="preserve">每月打算多还的「加速钱」</t>
  </si>
  <si>
    <r>
      <rPr>
        <sz val="10"/>
        <color theme="1"/>
        <rFont val="Noto Sans CJK SC"/>
        <family val="2"/>
      </rPr>
      <t xml:space="preserve">每月还款总预算（最低还款 </t>
    </r>
    <r>
      <rPr>
        <sz val="10"/>
        <color theme="1"/>
        <rFont val="Arial"/>
        <family val="0"/>
        <charset val="1"/>
      </rPr>
      <t xml:space="preserve">+ </t>
    </r>
    <r>
      <rPr>
        <sz val="10"/>
        <color theme="1"/>
        <rFont val="Noto Sans CJK SC"/>
        <family val="2"/>
      </rPr>
      <t xml:space="preserve">加速钱）</t>
    </r>
  </si>
  <si>
    <t xml:space="preserve">还款办法</t>
  </si>
  <si>
    <t xml:space="preserve">雪球法</t>
  </si>
  <si>
    <r>
      <rPr>
        <i val="true"/>
        <sz val="10"/>
        <color rgb="FF808080"/>
        <rFont val="Noto Sans CJK SC"/>
        <family val="2"/>
      </rPr>
      <t xml:space="preserve">雪球法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Noto Sans CJK SC"/>
        <family val="2"/>
      </rPr>
      <t xml:space="preserve">先还金额最小的；雪崩法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Noto Sans CJK SC"/>
        <family val="2"/>
      </rPr>
      <t xml:space="preserve">先还利息最高的</t>
    </r>
  </si>
  <si>
    <t xml:space="preserve">从哪个月开始</t>
  </si>
  <si>
    <t xml:space="preserve">结果</t>
  </si>
  <si>
    <t xml:space="preserve">还清需要几个月</t>
  </si>
  <si>
    <t xml:space="preserve">预计哪个月还清</t>
  </si>
  <si>
    <t xml:space="preserve">总共要付的利息</t>
  </si>
  <si>
    <t xml:space="preserve">第一笔债第几个月还清</t>
  </si>
  <si>
    <t xml:space="preserve">两种还法对比</t>
  </si>
  <si>
    <t xml:space="preserve">两种办法用的是同一笔「每月还款总预算」，只是加速钱砸向的顺序不同。</t>
  </si>
  <si>
    <t xml:space="preserve">雪球法（先还金额最小的）</t>
  </si>
  <si>
    <t xml:space="preserve">雪崩法（先还利息最高的）</t>
  </si>
  <si>
    <t xml:space="preserve">怎么选</t>
  </si>
  <si>
    <t xml:space="preserve">还款顺序</t>
  </si>
  <si>
    <t xml:space="preserve">雪球法：先还哪笔</t>
  </si>
  <si>
    <t xml:space="preserve">第几个月还清</t>
  </si>
  <si>
    <t xml:space="preserve">雪崩法：先还哪笔</t>
  </si>
  <si>
    <t xml:space="preserve">每个月照着这张表还。「加速钱给了」那一列，就是这个月要多还的那一笔。想换办法，去「每月预算」改。</t>
  </si>
  <si>
    <t xml:space="preserve">显示月数（辅助）</t>
  </si>
  <si>
    <t xml:space="preserve">月份</t>
  </si>
  <si>
    <t xml:space="preserve">日期</t>
  </si>
  <si>
    <t xml:space="preserve">本月一共还</t>
  </si>
  <si>
    <t xml:space="preserve">加速钱给了</t>
  </si>
  <si>
    <t xml:space="preserve">还完还剩</t>
  </si>
  <si>
    <t xml:space="preserve">利率换算：把各种说法换成真实年化</t>
  </si>
  <si>
    <t xml:space="preserve">填黄底蓝字的格子，绿底的就是真实年化。算出来的年化填回「债务清单」。</t>
  </si>
  <si>
    <t xml:space="preserve">① 日息（比如“日息万五”）</t>
  </si>
  <si>
    <t xml:space="preserve">日利率</t>
  </si>
  <si>
    <r>
      <rPr>
        <i val="true"/>
        <sz val="10"/>
        <color rgb="FF808080"/>
        <rFont val="Noto Sans CJK SC"/>
        <family val="2"/>
      </rPr>
      <t xml:space="preserve">万五 </t>
    </r>
    <r>
      <rPr>
        <i val="true"/>
        <sz val="10"/>
        <color rgb="FF808080"/>
        <rFont val="Arial"/>
        <family val="0"/>
        <charset val="1"/>
      </rPr>
      <t xml:space="preserve">= 0.05%</t>
    </r>
  </si>
  <si>
    <t xml:space="preserve">年化（单利）</t>
  </si>
  <si>
    <r>
      <rPr>
        <b val="true"/>
        <sz val="11"/>
        <color rgb="FF000000"/>
        <rFont val="Noto Sans CJK SC"/>
        <family val="2"/>
      </rPr>
      <t xml:space="preserve">② 月息（比如“月息 </t>
    </r>
    <r>
      <rPr>
        <b val="true"/>
        <sz val="11"/>
        <color rgb="FF000000"/>
        <rFont val="Arial"/>
        <family val="0"/>
        <charset val="1"/>
      </rPr>
      <t xml:space="preserve">1.5%”</t>
    </r>
    <r>
      <rPr>
        <b val="true"/>
        <sz val="11"/>
        <color rgb="FF000000"/>
        <rFont val="Noto Sans CJK SC"/>
        <family val="2"/>
      </rPr>
      <t xml:space="preserve">）</t>
    </r>
  </si>
  <si>
    <t xml:space="preserve">月利率</t>
  </si>
  <si>
    <t xml:space="preserve">年化</t>
  </si>
  <si>
    <t xml:space="preserve">③ 分期手续费（每期按最初总额收手续费）</t>
  </si>
  <si>
    <t xml:space="preserve">分期金额（元）</t>
  </si>
  <si>
    <t xml:space="preserve">分几期</t>
  </si>
  <si>
    <t xml:space="preserve">每期手续费率</t>
  </si>
  <si>
    <t xml:space="preserve">每期要还</t>
  </si>
  <si>
    <t xml:space="preserve">手续费一共多少</t>
  </si>
  <si>
    <t xml:space="preserve">表面上的年费率</t>
  </si>
  <si>
    <t xml:space="preserve">很多人以为是这个数</t>
  </si>
  <si>
    <t xml:space="preserve">你欠的钱每个月在变少，手续费却按最初总额收，所以真实年化接近表面的两倍</t>
  </si>
  <si>
    <t xml:space="preserve">④ 只知道借到手多少、每期还多少（网贷常见）</t>
  </si>
  <si>
    <t xml:space="preserve">实际到手多少（元）</t>
  </si>
  <si>
    <t xml:space="preserve">被提前扣掉的“服务费”“砍头息”不算到手</t>
  </si>
  <si>
    <t xml:space="preserve">分几期（按月）</t>
  </si>
  <si>
    <t xml:space="preserve">每期还多少（元）</t>
  </si>
  <si>
    <t xml:space="preserve">一共多还了多少</t>
  </si>
  <si>
    <t xml:space="preserve">自动计算（雪球法）—— 这一页不用改</t>
  </si>
  <si>
    <r>
      <rPr>
        <i val="true"/>
        <sz val="10"/>
        <color rgb="FF808080"/>
        <rFont val="Noto Sans CJK SC"/>
        <family val="2"/>
      </rPr>
      <t xml:space="preserve">每月利息 </t>
    </r>
    <r>
      <rPr>
        <i val="true"/>
        <sz val="10"/>
        <color rgb="FF808080"/>
        <rFont val="Arial"/>
        <family val="0"/>
        <charset val="1"/>
      </rPr>
      <t xml:space="preserve">= </t>
    </r>
    <r>
      <rPr>
        <i val="true"/>
        <sz val="10"/>
        <color rgb="FF808080"/>
        <rFont val="Noto Sans CJK SC"/>
        <family val="2"/>
      </rPr>
      <t xml:space="preserve">欠款 </t>
    </r>
    <r>
      <rPr>
        <i val="true"/>
        <sz val="10"/>
        <color rgb="FF808080"/>
        <rFont val="Arial"/>
        <family val="0"/>
        <charset val="1"/>
      </rPr>
      <t xml:space="preserve">× </t>
    </r>
    <r>
      <rPr>
        <i val="true"/>
        <sz val="10"/>
        <color rgb="FF808080"/>
        <rFont val="Noto Sans CJK SC"/>
        <family val="2"/>
      </rPr>
      <t xml:space="preserve">年化 </t>
    </r>
    <r>
      <rPr>
        <i val="true"/>
        <sz val="10"/>
        <color rgb="FF808080"/>
        <rFont val="Arial"/>
        <family val="0"/>
        <charset val="1"/>
      </rPr>
      <t xml:space="preserve">÷ 12</t>
    </r>
    <r>
      <rPr>
        <i val="true"/>
        <sz val="10"/>
        <color rgb="FF808080"/>
        <rFont val="Noto Sans CJK SC"/>
        <family val="2"/>
      </rPr>
      <t xml:space="preserve">；先还所有最低还款，剩下的钱按顺序砸向排在最前面的债。</t>
    </r>
  </si>
  <si>
    <t xml:space="preserve">顺序</t>
  </si>
  <si>
    <t xml:space="preserve">清单第几行</t>
  </si>
  <si>
    <t xml:space="preserve">名称</t>
  </si>
  <si>
    <t xml:space="preserve">初始欠款</t>
  </si>
  <si>
    <t xml:space="preserve">每月最低还款</t>
  </si>
  <si>
    <t xml:space="preserve">总利息</t>
  </si>
  <si>
    <t xml:space="preserve">每月还款总预算</t>
  </si>
  <si>
    <t xml:space="preserve">开始月份</t>
  </si>
  <si>
    <t xml:space="preserve">第一笔还清是第几个月</t>
  </si>
  <si>
    <t xml:space="preserve">最低还款部分合计</t>
  </si>
  <si>
    <t xml:space="preserve">可加速的钱</t>
  </si>
  <si>
    <t xml:space="preserve">月初欠款</t>
  </si>
  <si>
    <t xml:space="preserve">利息</t>
  </si>
  <si>
    <t xml:space="preserve">最低还款部分</t>
  </si>
  <si>
    <t xml:space="preserve">加速部分</t>
  </si>
  <si>
    <t xml:space="preserve">本月还款</t>
  </si>
  <si>
    <t xml:space="preserve">本月还款合计</t>
  </si>
  <si>
    <t xml:space="preserve">月末还剩合计</t>
  </si>
  <si>
    <t xml:space="preserve">自动计算（雪崩法）—— 这一页不用改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</si>
</sst>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¥#,##0;[RED]&quot;-¥&quot;#,##0;\-"/>
    <numFmt numFmtId="166" formatCode="0.0%;[RED]\-0.0%;\-"/>
    <numFmt numFmtId="167" formatCode="0"/>
    <numFmt numFmtId="168" formatCode="\第0&quot;个月&quot;"/>
    <numFmt numFmtId="169" formatCode="yyyy\年m\月"/>
    <numFmt numFmtId="170" formatCode="0&quot; 个月&quot;"/>
    <numFmt numFmtId="171" formatCode="\¥#,##0.00;[RED]&quot;-¥&quot;#,##0.00;\-"/>
    <numFmt numFmtId="172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Noto Sans CJK SC"/>
      <family val="2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Noto Sans CJK SC"/>
      <family val="2"/>
    </font>
    <font>
      <sz val="10"/>
      <color theme="1"/>
      <name val="Noto Sans CJK SC"/>
      <family val="2"/>
    </font>
    <font>
      <sz val="10"/>
      <color theme="1"/>
      <name val="Arial"/>
      <family val="0"/>
      <charset val="1"/>
    </font>
    <font>
      <sz val="10"/>
      <color rgb="FF008000"/>
      <name val="Noto Sans CJK SC"/>
      <family val="2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9.4" hidden="false" customHeight="false" outlineLevel="0" collapsed="false">
      <c r="A5" s="4" t="s">
        <v>2</v>
      </c>
    </row>
    <row r="6" customFormat="false" ht="15" hidden="false" customHeight="false" outlineLevel="0" collapsed="false">
      <c r="A6" s="5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2"/>
    </row>
    <row r="11" customFormat="false" ht="19.4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29.8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/>
    </row>
    <row r="15" customFormat="false" ht="19.4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/>
    </row>
    <row r="18" customFormat="false" ht="19.4" hidden="false" customHeight="false" outlineLevel="0" collapsed="false">
      <c r="A18" s="4" t="s">
        <v>12</v>
      </c>
    </row>
    <row r="19" customFormat="false" ht="15" hidden="false" customHeight="false" outlineLevel="0" collapsed="false">
      <c r="A19" s="3" t="s">
        <v>13</v>
      </c>
    </row>
    <row r="20" customFormat="false" ht="29.8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17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9" min="9" style="0" width="24"/>
    <col collapsed="false" customWidth="true" hidden="false" outlineLevel="0" max="11" min="10" style="0" width="9"/>
    <col collapsed="false" customWidth="true" hidden="false" outlineLevel="0" max="13" min="12" style="0" width="13"/>
    <col collapsed="false" customWidth="true" hidden="false" outlineLevel="0" max="15" min="14" style="0" width="9"/>
  </cols>
  <sheetData>
    <row r="1" customFormat="false" ht="17.35" hidden="false" customHeight="false" outlineLevel="0" collapsed="false">
      <c r="A1" s="7" t="s">
        <v>19</v>
      </c>
    </row>
    <row r="2" customFormat="false" ht="15" hidden="false" customHeight="false" outlineLevel="0" collapsed="false">
      <c r="A2" s="8" t="s">
        <v>20</v>
      </c>
    </row>
    <row r="4" customFormat="false" ht="31.5" hidden="false" customHeight="true" outlineLevel="0" collapsed="false">
      <c r="A4" s="9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</row>
    <row r="5" customFormat="false" ht="15" hidden="false" customHeight="false" outlineLevel="0" collapsed="false">
      <c r="A5" s="11" t="n">
        <v>1</v>
      </c>
      <c r="B5" s="12" t="s">
        <v>36</v>
      </c>
      <c r="C5" s="12" t="s">
        <v>37</v>
      </c>
      <c r="D5" s="13" t="n">
        <v>38000</v>
      </c>
      <c r="E5" s="14" t="n">
        <v>0.18</v>
      </c>
      <c r="F5" s="13" t="n">
        <v>1900</v>
      </c>
      <c r="G5" s="15" t="n">
        <v>5</v>
      </c>
      <c r="H5" s="12" t="s">
        <v>38</v>
      </c>
      <c r="I5" s="12" t="s">
        <v>39</v>
      </c>
      <c r="J5" s="16" t="n">
        <f aca="false">IF(N5=1,COUNTIFS($N$5:$N$14,1,$D$5:$D$14,"&lt;"&amp;D5)+COUNTIFS($N$5:$N$14,1,$D$5:$D$14,D5,$A$5:$A$14,"&lt;"&amp;A5)+1,"")</f>
        <v>4</v>
      </c>
      <c r="K5" s="16" t="n">
        <f aca="false">IF(N5=1,COUNTIFS($N$5:$N$14,1,$O$5:$O$14,"&gt;"&amp;O5)+COUNTIFS($N$5:$N$14,1,$O$5:$O$14,O5,$A$5:$A$14,"&lt;"&amp;A5)+1,"")</f>
        <v>2</v>
      </c>
      <c r="L5" s="17" t="n">
        <f aca="false">IF(N5=1,INDEX(计算_雪球!$G$5:$G$14,J5),"")</f>
        <v>19</v>
      </c>
      <c r="M5" s="17" t="n">
        <f aca="false">IF(N5=1,INDEX(计算_雪崩!$G$5:$G$14,K5),"")</f>
        <v>17</v>
      </c>
      <c r="N5" s="18" t="n">
        <f aca="false">IF(AND(B5&lt;&gt;"",N(D5)&gt;0),1,0)</f>
        <v>1</v>
      </c>
      <c r="O5" s="19" t="n">
        <f aca="false">IF(N(E5)&gt;1,N(E5)/100,N(E5))</f>
        <v>0.18</v>
      </c>
    </row>
    <row r="6" customFormat="false" ht="15" hidden="false" customHeight="false" outlineLevel="0" collapsed="false">
      <c r="A6" s="11" t="n">
        <v>2</v>
      </c>
      <c r="B6" s="12" t="s">
        <v>40</v>
      </c>
      <c r="C6" s="12" t="s">
        <v>37</v>
      </c>
      <c r="D6" s="13" t="n">
        <v>12000</v>
      </c>
      <c r="E6" s="14" t="n">
        <v>0.13</v>
      </c>
      <c r="F6" s="13" t="n">
        <v>1072</v>
      </c>
      <c r="G6" s="15" t="n">
        <v>10</v>
      </c>
      <c r="H6" s="12" t="s">
        <v>38</v>
      </c>
      <c r="I6" s="12" t="s">
        <v>41</v>
      </c>
      <c r="J6" s="16" t="n">
        <f aca="false">IF(N6=1,COUNTIFS($N$5:$N$14,1,$D$5:$D$14,"&lt;"&amp;D6)+COUNTIFS($N$5:$N$14,1,$D$5:$D$14,D6,$A$5:$A$14,"&lt;"&amp;A6)+1,"")</f>
        <v>1</v>
      </c>
      <c r="K6" s="16" t="n">
        <f aca="false">IF(N6=1,COUNTIFS($N$5:$N$14,1,$O$5:$O$14,"&gt;"&amp;O6)+COUNTIFS($N$5:$N$14,1,$O$5:$O$14,O6,$A$5:$A$14,"&lt;"&amp;A6)+1,"")</f>
        <v>3</v>
      </c>
      <c r="L6" s="17" t="n">
        <f aca="false">IF(N6=1,INDEX(计算_雪球!$G$5:$G$14,J6),"")</f>
        <v>7</v>
      </c>
      <c r="M6" s="17" t="n">
        <f aca="false">IF(N6=1,INDEX(计算_雪崩!$G$5:$G$14,K6),"")</f>
        <v>12</v>
      </c>
      <c r="N6" s="18" t="n">
        <f aca="false">IF(AND(B6&lt;&gt;"",N(D6)&gt;0),1,0)</f>
        <v>1</v>
      </c>
      <c r="O6" s="19" t="n">
        <f aca="false">IF(N(E6)&gt;1,N(E6)/100,N(E6))</f>
        <v>0.13</v>
      </c>
    </row>
    <row r="7" customFormat="false" ht="15" hidden="false" customHeight="false" outlineLevel="0" collapsed="false">
      <c r="A7" s="11" t="n">
        <v>3</v>
      </c>
      <c r="B7" s="12" t="s">
        <v>42</v>
      </c>
      <c r="C7" s="12" t="s">
        <v>43</v>
      </c>
      <c r="D7" s="13" t="n">
        <v>25000</v>
      </c>
      <c r="E7" s="14" t="n">
        <v>0.24</v>
      </c>
      <c r="F7" s="13" t="n">
        <v>1350</v>
      </c>
      <c r="G7" s="15" t="n">
        <v>15</v>
      </c>
      <c r="H7" s="12" t="s">
        <v>38</v>
      </c>
      <c r="I7" s="12"/>
      <c r="J7" s="16" t="n">
        <f aca="false">IF(N7=1,COUNTIFS($N$5:$N$14,1,$D$5:$D$14,"&lt;"&amp;D7)+COUNTIFS($N$5:$N$14,1,$D$5:$D$14,D7,$A$5:$A$14,"&lt;"&amp;A7)+1,"")</f>
        <v>3</v>
      </c>
      <c r="K7" s="16" t="n">
        <f aca="false">IF(N7=1,COUNTIFS($N$5:$N$14,1,$O$5:$O$14,"&gt;"&amp;O7)+COUNTIFS($N$5:$N$14,1,$O$5:$O$14,O7,$A$5:$A$14,"&lt;"&amp;A7)+1,"")</f>
        <v>1</v>
      </c>
      <c r="L7" s="17" t="n">
        <f aca="false">IF(N7=1,INDEX(计算_雪球!$G$5:$G$14,J7),"")</f>
        <v>17</v>
      </c>
      <c r="M7" s="17" t="n">
        <f aca="false">IF(N7=1,INDEX(计算_雪崩!$G$5:$G$14,K7),"")</f>
        <v>13</v>
      </c>
      <c r="N7" s="18" t="n">
        <f aca="false">IF(AND(B7&lt;&gt;"",N(D7)&gt;0),1,0)</f>
        <v>1</v>
      </c>
      <c r="O7" s="19" t="n">
        <f aca="false">IF(N(E7)&gt;1,N(E7)/100,N(E7))</f>
        <v>0.24</v>
      </c>
    </row>
    <row r="8" customFormat="false" ht="15" hidden="false" customHeight="false" outlineLevel="0" collapsed="false">
      <c r="A8" s="11" t="n">
        <v>4</v>
      </c>
      <c r="B8" s="12" t="s">
        <v>44</v>
      </c>
      <c r="C8" s="12" t="s">
        <v>45</v>
      </c>
      <c r="D8" s="13" t="n">
        <v>20000</v>
      </c>
      <c r="E8" s="14" t="n">
        <v>0</v>
      </c>
      <c r="F8" s="13" t="n">
        <v>500</v>
      </c>
      <c r="G8" s="15" t="n">
        <v>1</v>
      </c>
      <c r="H8" s="12" t="s">
        <v>38</v>
      </c>
      <c r="I8" s="12" t="s">
        <v>46</v>
      </c>
      <c r="J8" s="16" t="n">
        <f aca="false">IF(N8=1,COUNTIFS($N$5:$N$14,1,$D$5:$D$14,"&lt;"&amp;D8)+COUNTIFS($N$5:$N$14,1,$D$5:$D$14,D8,$A$5:$A$14,"&lt;"&amp;A8)+1,"")</f>
        <v>2</v>
      </c>
      <c r="K8" s="16" t="n">
        <f aca="false">IF(N8=1,COUNTIFS($N$5:$N$14,1,$O$5:$O$14,"&gt;"&amp;O8)+COUNTIFS($N$5:$N$14,1,$O$5:$O$14,O8,$A$5:$A$14,"&lt;"&amp;A8)+1,"")</f>
        <v>4</v>
      </c>
      <c r="L8" s="17" t="n">
        <f aca="false">IF(N8=1,INDEX(计算_雪球!$G$5:$G$14,J8),"")</f>
        <v>13</v>
      </c>
      <c r="M8" s="17" t="n">
        <f aca="false">IF(N8=1,INDEX(计算_雪崩!$G$5:$G$14,K8),"")</f>
        <v>19</v>
      </c>
      <c r="N8" s="18" t="n">
        <f aca="false">IF(AND(B8&lt;&gt;"",N(D8)&gt;0),1,0)</f>
        <v>1</v>
      </c>
      <c r="O8" s="19" t="n">
        <f aca="false">IF(N(E8)&gt;1,N(E8)/100,N(E8))</f>
        <v>0</v>
      </c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  <c r="F9" s="13"/>
      <c r="G9" s="15"/>
      <c r="H9" s="12"/>
      <c r="I9" s="12"/>
      <c r="J9" s="16" t="str">
        <f aca="false">IF(N9=1,COUNTIFS($N$5:$N$14,1,$D$5:$D$14,"&lt;"&amp;D9)+COUNTIFS($N$5:$N$14,1,$D$5:$D$14,D9,$A$5:$A$14,"&lt;"&amp;A9)+1,"")</f>
        <v/>
      </c>
      <c r="K9" s="16" t="str">
        <f aca="false">IF(N9=1,COUNTIFS($N$5:$N$14,1,$O$5:$O$14,"&gt;"&amp;O9)+COUNTIFS($N$5:$N$14,1,$O$5:$O$14,O9,$A$5:$A$14,"&lt;"&amp;A9)+1,"")</f>
        <v/>
      </c>
      <c r="L9" s="17" t="str">
        <f aca="false">IF(N9=1,INDEX(计算_雪球!$G$5:$G$14,J9),"")</f>
        <v/>
      </c>
      <c r="M9" s="17" t="str">
        <f aca="false">IF(N9=1,INDEX(计算_雪崩!$G$5:$G$14,K9),"")</f>
        <v/>
      </c>
      <c r="N9" s="18" t="n">
        <f aca="false">IF(AND(B9&lt;&gt;"",N(D9)&gt;0),1,0)</f>
        <v>0</v>
      </c>
      <c r="O9" s="19" t="n">
        <f aca="false">IF(N(E9)&gt;1,N(E9)/100,N(E9))</f>
        <v>0</v>
      </c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  <c r="F10" s="13"/>
      <c r="G10" s="15"/>
      <c r="H10" s="12"/>
      <c r="I10" s="12"/>
      <c r="J10" s="16" t="str">
        <f aca="false">IF(N10=1,COUNTIFS($N$5:$N$14,1,$D$5:$D$14,"&lt;"&amp;D10)+COUNTIFS($N$5:$N$14,1,$D$5:$D$14,D10,$A$5:$A$14,"&lt;"&amp;A10)+1,"")</f>
        <v/>
      </c>
      <c r="K10" s="16" t="str">
        <f aca="false">IF(N10=1,COUNTIFS($N$5:$N$14,1,$O$5:$O$14,"&gt;"&amp;O10)+COUNTIFS($N$5:$N$14,1,$O$5:$O$14,O10,$A$5:$A$14,"&lt;"&amp;A10)+1,"")</f>
        <v/>
      </c>
      <c r="L10" s="17" t="str">
        <f aca="false">IF(N10=1,INDEX(计算_雪球!$G$5:$G$14,J10),"")</f>
        <v/>
      </c>
      <c r="M10" s="17" t="str">
        <f aca="false">IF(N10=1,INDEX(计算_雪崩!$G$5:$G$14,K10),"")</f>
        <v/>
      </c>
      <c r="N10" s="18" t="n">
        <f aca="false">IF(AND(B10&lt;&gt;"",N(D10)&gt;0),1,0)</f>
        <v>0</v>
      </c>
      <c r="O10" s="19" t="n">
        <f aca="false">IF(N(E10)&gt;1,N(E10)/100,N(E10))</f>
        <v>0</v>
      </c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  <c r="F11" s="13"/>
      <c r="G11" s="15"/>
      <c r="H11" s="12"/>
      <c r="I11" s="12"/>
      <c r="J11" s="16" t="str">
        <f aca="false">IF(N11=1,COUNTIFS($N$5:$N$14,1,$D$5:$D$14,"&lt;"&amp;D11)+COUNTIFS($N$5:$N$14,1,$D$5:$D$14,D11,$A$5:$A$14,"&lt;"&amp;A11)+1,"")</f>
        <v/>
      </c>
      <c r="K11" s="16" t="str">
        <f aca="false">IF(N11=1,COUNTIFS($N$5:$N$14,1,$O$5:$O$14,"&gt;"&amp;O11)+COUNTIFS($N$5:$N$14,1,$O$5:$O$14,O11,$A$5:$A$14,"&lt;"&amp;A11)+1,"")</f>
        <v/>
      </c>
      <c r="L11" s="17" t="str">
        <f aca="false">IF(N11=1,INDEX(计算_雪球!$G$5:$G$14,J11),"")</f>
        <v/>
      </c>
      <c r="M11" s="17" t="str">
        <f aca="false">IF(N11=1,INDEX(计算_雪崩!$G$5:$G$14,K11),"")</f>
        <v/>
      </c>
      <c r="N11" s="18" t="n">
        <f aca="false">IF(AND(B11&lt;&gt;"",N(D11)&gt;0),1,0)</f>
        <v>0</v>
      </c>
      <c r="O11" s="19" t="n">
        <f aca="false">IF(N(E11)&gt;1,N(E11)/100,N(E11))</f>
        <v>0</v>
      </c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  <c r="F12" s="13"/>
      <c r="G12" s="15"/>
      <c r="H12" s="12"/>
      <c r="I12" s="12"/>
      <c r="J12" s="16" t="str">
        <f aca="false">IF(N12=1,COUNTIFS($N$5:$N$14,1,$D$5:$D$14,"&lt;"&amp;D12)+COUNTIFS($N$5:$N$14,1,$D$5:$D$14,D12,$A$5:$A$14,"&lt;"&amp;A12)+1,"")</f>
        <v/>
      </c>
      <c r="K12" s="16" t="str">
        <f aca="false">IF(N12=1,COUNTIFS($N$5:$N$14,1,$O$5:$O$14,"&gt;"&amp;O12)+COUNTIFS($N$5:$N$14,1,$O$5:$O$14,O12,$A$5:$A$14,"&lt;"&amp;A12)+1,"")</f>
        <v/>
      </c>
      <c r="L12" s="17" t="str">
        <f aca="false">IF(N12=1,INDEX(计算_雪球!$G$5:$G$14,J12),"")</f>
        <v/>
      </c>
      <c r="M12" s="17" t="str">
        <f aca="false">IF(N12=1,INDEX(计算_雪崩!$G$5:$G$14,K12),"")</f>
        <v/>
      </c>
      <c r="N12" s="18" t="n">
        <f aca="false">IF(AND(B12&lt;&gt;"",N(D12)&gt;0),1,0)</f>
        <v>0</v>
      </c>
      <c r="O12" s="19" t="n">
        <f aca="false">IF(N(E12)&gt;1,N(E12)/100,N(E12))</f>
        <v>0</v>
      </c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  <c r="F13" s="13"/>
      <c r="G13" s="15"/>
      <c r="H13" s="12"/>
      <c r="I13" s="12"/>
      <c r="J13" s="16" t="str">
        <f aca="false">IF(N13=1,COUNTIFS($N$5:$N$14,1,$D$5:$D$14,"&lt;"&amp;D13)+COUNTIFS($N$5:$N$14,1,$D$5:$D$14,D13,$A$5:$A$14,"&lt;"&amp;A13)+1,"")</f>
        <v/>
      </c>
      <c r="K13" s="16" t="str">
        <f aca="false">IF(N13=1,COUNTIFS($N$5:$N$14,1,$O$5:$O$14,"&gt;"&amp;O13)+COUNTIFS($N$5:$N$14,1,$O$5:$O$14,O13,$A$5:$A$14,"&lt;"&amp;A13)+1,"")</f>
        <v/>
      </c>
      <c r="L13" s="17" t="str">
        <f aca="false">IF(N13=1,INDEX(计算_雪球!$G$5:$G$14,J13),"")</f>
        <v/>
      </c>
      <c r="M13" s="17" t="str">
        <f aca="false">IF(N13=1,INDEX(计算_雪崩!$G$5:$G$14,K13),"")</f>
        <v/>
      </c>
      <c r="N13" s="18" t="n">
        <f aca="false">IF(AND(B13&lt;&gt;"",N(D13)&gt;0),1,0)</f>
        <v>0</v>
      </c>
      <c r="O13" s="19" t="n">
        <f aca="false">IF(N(E13)&gt;1,N(E13)/100,N(E13))</f>
        <v>0</v>
      </c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  <c r="F14" s="13"/>
      <c r="G14" s="15"/>
      <c r="H14" s="12"/>
      <c r="I14" s="12"/>
      <c r="J14" s="16" t="str">
        <f aca="false">IF(N14=1,COUNTIFS($N$5:$N$14,1,$D$5:$D$14,"&lt;"&amp;D14)+COUNTIFS($N$5:$N$14,1,$D$5:$D$14,D14,$A$5:$A$14,"&lt;"&amp;A14)+1,"")</f>
        <v/>
      </c>
      <c r="K14" s="16" t="str">
        <f aca="false">IF(N14=1,COUNTIFS($N$5:$N$14,1,$O$5:$O$14,"&gt;"&amp;O14)+COUNTIFS($N$5:$N$14,1,$O$5:$O$14,O14,$A$5:$A$14,"&lt;"&amp;A14)+1,"")</f>
        <v/>
      </c>
      <c r="L14" s="17" t="str">
        <f aca="false">IF(N14=1,INDEX(计算_雪球!$G$5:$G$14,J14),"")</f>
        <v/>
      </c>
      <c r="M14" s="17" t="str">
        <f aca="false">IF(N14=1,INDEX(计算_雪崩!$G$5:$G$14,K14),"")</f>
        <v/>
      </c>
      <c r="N14" s="18" t="n">
        <f aca="false">IF(AND(B14&lt;&gt;"",N(D14)&gt;0),1,0)</f>
        <v>0</v>
      </c>
      <c r="O14" s="19" t="n">
        <f aca="false">IF(N(E14)&gt;1,N(E14)/100,N(E14))</f>
        <v>0</v>
      </c>
    </row>
    <row r="15" customFormat="false" ht="15" hidden="false" customHeight="false" outlineLevel="0" collapsed="false">
      <c r="B15" s="20" t="s">
        <v>47</v>
      </c>
      <c r="D15" s="21" t="n">
        <f aca="false">SUMIF($N$5:$N$14,1,D5:D14)</f>
        <v>95000</v>
      </c>
      <c r="F15" s="21" t="n">
        <f aca="false">SUMIF($N$5:$N$14,1,F5:F14)</f>
        <v>4822</v>
      </c>
    </row>
    <row r="17" customFormat="false" ht="15" hidden="false" customHeight="false" outlineLevel="0" collapsed="false">
      <c r="A17" s="8" t="s">
        <v>48</v>
      </c>
    </row>
  </sheetData>
  <conditionalFormatting sqref="E5:E14">
    <cfRule type="expression" priority="2" aboveAverage="0" equalAverage="0" bottom="0" percent="0" rank="0" text="" dxfId="0">
      <formula>$O5&gt;0.24</formula>
    </cfRule>
  </conditionalFormatting>
  <dataValidations count="2">
    <dataValidation allowBlank="true" errorStyle="stop" operator="between" showDropDown="false" showErrorMessage="false" showInputMessage="false" sqref="C5:C14" type="list">
      <formula1>"信用卡,网贷,消费金融,银行贷款,亲友借款,其他"</formula1>
      <formula2>0</formula2>
    </dataValidation>
    <dataValidation allowBlank="true" errorStyle="stop" operator="between" showDropDown="false" showErrorMessage="false" showInputMessage="false" sqref="H5:H14" type="list">
      <formula1>"否,是"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7" t="s">
        <v>49</v>
      </c>
    </row>
    <row r="2" customFormat="false" ht="15" hidden="false" customHeight="false" outlineLevel="0" collapsed="false">
      <c r="A2" s="8" t="s">
        <v>50</v>
      </c>
    </row>
    <row r="4" customFormat="false" ht="15" hidden="false" customHeight="false" outlineLevel="0" collapsed="false">
      <c r="A4" s="22" t="s">
        <v>51</v>
      </c>
      <c r="B4" s="23"/>
    </row>
    <row r="5" customFormat="false" ht="15" hidden="false" customHeight="false" outlineLevel="0" collapsed="false">
      <c r="A5" s="24" t="s">
        <v>52</v>
      </c>
      <c r="B5" s="13" t="n">
        <v>9500</v>
      </c>
    </row>
    <row r="6" customFormat="false" ht="15" hidden="false" customHeight="false" outlineLevel="0" collapsed="false">
      <c r="A6" s="24" t="s">
        <v>53</v>
      </c>
      <c r="B6" s="13" t="n">
        <v>2000</v>
      </c>
    </row>
    <row r="7" customFormat="false" ht="15" hidden="false" customHeight="false" outlineLevel="0" collapsed="false">
      <c r="A7" s="24" t="s">
        <v>54</v>
      </c>
      <c r="B7" s="13" t="n">
        <v>0</v>
      </c>
    </row>
    <row r="8" customFormat="false" ht="15" hidden="false" customHeight="false" outlineLevel="0" collapsed="false">
      <c r="A8" s="20" t="s">
        <v>55</v>
      </c>
      <c r="B8" s="21" t="n">
        <f aca="false">SUM(B5:B7)</f>
        <v>11500</v>
      </c>
    </row>
    <row r="10" customFormat="false" ht="15" hidden="false" customHeight="false" outlineLevel="0" collapsed="false">
      <c r="A10" s="22" t="s">
        <v>56</v>
      </c>
      <c r="B10" s="23"/>
    </row>
    <row r="11" customFormat="false" ht="15" hidden="false" customHeight="false" outlineLevel="0" collapsed="false">
      <c r="A11" s="24" t="s">
        <v>57</v>
      </c>
      <c r="B11" s="13" t="n">
        <v>2000</v>
      </c>
    </row>
    <row r="12" customFormat="false" ht="15" hidden="false" customHeight="false" outlineLevel="0" collapsed="false">
      <c r="A12" s="24" t="s">
        <v>58</v>
      </c>
      <c r="B12" s="13" t="n">
        <v>1500</v>
      </c>
    </row>
    <row r="13" customFormat="false" ht="15" hidden="false" customHeight="false" outlineLevel="0" collapsed="false">
      <c r="A13" s="24" t="s">
        <v>59</v>
      </c>
      <c r="B13" s="13" t="n">
        <v>300</v>
      </c>
    </row>
    <row r="14" customFormat="false" ht="15" hidden="false" customHeight="false" outlineLevel="0" collapsed="false">
      <c r="A14" s="24" t="s">
        <v>60</v>
      </c>
      <c r="B14" s="13" t="n">
        <v>300</v>
      </c>
    </row>
    <row r="15" customFormat="false" ht="15" hidden="false" customHeight="false" outlineLevel="0" collapsed="false">
      <c r="A15" s="24" t="s">
        <v>61</v>
      </c>
      <c r="B15" s="13" t="n">
        <v>800</v>
      </c>
    </row>
    <row r="16" customFormat="false" ht="15" hidden="false" customHeight="false" outlineLevel="0" collapsed="false">
      <c r="A16" s="24" t="s">
        <v>62</v>
      </c>
      <c r="B16" s="13" t="n">
        <v>200</v>
      </c>
    </row>
    <row r="17" customFormat="false" ht="15" hidden="false" customHeight="false" outlineLevel="0" collapsed="false">
      <c r="A17" s="24" t="s">
        <v>63</v>
      </c>
      <c r="B17" s="13" t="n">
        <v>200</v>
      </c>
    </row>
    <row r="18" customFormat="false" ht="15" hidden="false" customHeight="false" outlineLevel="0" collapsed="false">
      <c r="A18" s="24" t="s">
        <v>64</v>
      </c>
      <c r="B18" s="13" t="n">
        <v>300</v>
      </c>
    </row>
    <row r="19" customFormat="false" ht="15" hidden="false" customHeight="false" outlineLevel="0" collapsed="false">
      <c r="A19" s="20" t="s">
        <v>65</v>
      </c>
      <c r="B19" s="21" t="n">
        <f aca="false">SUM(B11:B18)</f>
        <v>5600</v>
      </c>
    </row>
    <row r="21" customFormat="false" ht="15" hidden="false" customHeight="false" outlineLevel="0" collapsed="false">
      <c r="A21" s="22" t="s">
        <v>66</v>
      </c>
      <c r="B21" s="23"/>
    </row>
    <row r="22" customFormat="false" ht="15" hidden="false" customHeight="false" outlineLevel="0" collapsed="false">
      <c r="A22" s="25" t="s">
        <v>67</v>
      </c>
      <c r="B22" s="26" t="n">
        <f aca="false">债务清单!F15</f>
        <v>4822</v>
      </c>
      <c r="C22" s="8" t="s">
        <v>68</v>
      </c>
    </row>
    <row r="23" customFormat="false" ht="15" hidden="false" customHeight="false" outlineLevel="0" collapsed="false">
      <c r="A23" s="20" t="s">
        <v>69</v>
      </c>
      <c r="B23" s="27" t="n">
        <f aca="false">B19+B22</f>
        <v>10422</v>
      </c>
      <c r="C23" s="8" t="s">
        <v>70</v>
      </c>
    </row>
    <row r="24" customFormat="false" ht="15" hidden="false" customHeight="false" outlineLevel="0" collapsed="false">
      <c r="A24" s="25" t="s">
        <v>71</v>
      </c>
      <c r="B24" s="28" t="n">
        <f aca="false">B8-B19-B22</f>
        <v>1078</v>
      </c>
      <c r="C24" s="29" t="str">
        <f aca="false">IF(B24&lt;0,"【注意】收入不够还最低还款。先看 SOP 第三步，去协商降低月供","收入够覆盖最低还款")</f>
        <v>收入够覆盖最低还款</v>
      </c>
    </row>
    <row r="26" customFormat="false" ht="15" hidden="false" customHeight="false" outlineLevel="0" collapsed="false">
      <c r="A26" s="20" t="s">
        <v>72</v>
      </c>
      <c r="B26" s="13" t="n">
        <v>1000</v>
      </c>
      <c r="C26" s="29" t="str">
        <f aca="false">IF(N(B26)&gt;MAX(0,B24),"【注意】加速钱比结余还多，月底会不够用","最多可以拿出 "&amp;TEXT(MAX(0,B24),"#,##0")&amp;" 元")</f>
        <v>最多可以拿出 1,078 元</v>
      </c>
    </row>
    <row r="27" customFormat="false" ht="15" hidden="false" customHeight="false" outlineLevel="0" collapsed="false">
      <c r="A27" s="25" t="s">
        <v>73</v>
      </c>
      <c r="B27" s="28" t="n">
        <f aca="false">B22+N(B26)</f>
        <v>5822</v>
      </c>
    </row>
    <row r="29" customFormat="false" ht="15" hidden="false" customHeight="false" outlineLevel="0" collapsed="false">
      <c r="A29" s="20" t="s">
        <v>74</v>
      </c>
      <c r="B29" s="12" t="s">
        <v>75</v>
      </c>
      <c r="C29" s="8" t="s">
        <v>76</v>
      </c>
    </row>
    <row r="30" customFormat="false" ht="15" hidden="false" customHeight="false" outlineLevel="0" collapsed="false">
      <c r="A30" s="25" t="s">
        <v>77</v>
      </c>
      <c r="B30" s="30" t="n">
        <v>46327</v>
      </c>
    </row>
    <row r="32" customFormat="false" ht="15" hidden="false" customHeight="false" outlineLevel="0" collapsed="false">
      <c r="A32" s="22" t="s">
        <v>78</v>
      </c>
      <c r="B32" s="23"/>
    </row>
    <row r="33" customFormat="false" ht="15" hidden="false" customHeight="false" outlineLevel="0" collapsed="false">
      <c r="A33" s="24" t="s">
        <v>79</v>
      </c>
      <c r="B33" s="31" t="n">
        <f aca="false">IF($B$29="雪崩法",计算_雪崩!C18,计算_雪球!C18)</f>
        <v>19</v>
      </c>
    </row>
    <row r="34" customFormat="false" ht="15" hidden="false" customHeight="false" outlineLevel="0" collapsed="false">
      <c r="A34" s="24" t="s">
        <v>80</v>
      </c>
      <c r="B34" s="32" t="n">
        <f aca="false">IF(ISNUMBER(B33),IF(B33&gt;0,EDATE(B30,B33-1),""),B33)</f>
        <v>46874</v>
      </c>
    </row>
    <row r="35" customFormat="false" ht="15" hidden="false" customHeight="false" outlineLevel="0" collapsed="false">
      <c r="A35" s="24" t="s">
        <v>81</v>
      </c>
      <c r="B35" s="27" t="n">
        <f aca="false">IF($B$29="雪崩法",计算_雪崩!C19,计算_雪球!C19)</f>
        <v>12947.34</v>
      </c>
    </row>
    <row r="36" customFormat="false" ht="15" hidden="false" customHeight="false" outlineLevel="0" collapsed="false">
      <c r="A36" s="24" t="s">
        <v>82</v>
      </c>
      <c r="B36" s="33" t="n">
        <f aca="false">IF($B$29="雪崩法",计算_雪崩!C20,计算_雪球!C20)</f>
        <v>7</v>
      </c>
    </row>
  </sheetData>
  <conditionalFormatting sqref="C24">
    <cfRule type="expression" priority="2" aboveAverage="0" equalAverage="0" bottom="0" percent="0" rank="0" text="" dxfId="1">
      <formula>$B$24&lt;0</formula>
    </cfRule>
  </conditionalFormatting>
  <conditionalFormatting sqref="C26">
    <cfRule type="expression" priority="3" aboveAverage="0" equalAverage="0" bottom="0" percent="0" rank="0" text="" dxfId="1">
      <formula>N($B$26)&gt;MAX(0,$B$24)</formula>
    </cfRule>
  </conditionalFormatting>
  <dataValidations count="1">
    <dataValidation allowBlank="false" errorStyle="stop" operator="between" showDropDown="false" showErrorMessage="false" showInputMessage="false" sqref="B29" type="list">
      <formula1>"雪球法,雪崩法"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7" t="s">
        <v>83</v>
      </c>
    </row>
    <row r="2" customFormat="false" ht="15" hidden="false" customHeight="false" outlineLevel="0" collapsed="false">
      <c r="A2" s="8" t="s">
        <v>84</v>
      </c>
    </row>
    <row r="4" customFormat="false" ht="15" hidden="false" customHeight="false" outlineLevel="0" collapsed="false">
      <c r="A4" s="9"/>
      <c r="B4" s="10" t="s">
        <v>85</v>
      </c>
      <c r="C4" s="10" t="s">
        <v>86</v>
      </c>
    </row>
    <row r="5" customFormat="false" ht="15" hidden="false" customHeight="false" outlineLevel="0" collapsed="false">
      <c r="A5" s="34" t="s">
        <v>79</v>
      </c>
      <c r="B5" s="35" t="n">
        <f aca="false">计算_雪球!C18</f>
        <v>19</v>
      </c>
      <c r="C5" s="35" t="n">
        <f aca="false">计算_雪崩!C18</f>
        <v>19</v>
      </c>
    </row>
    <row r="6" customFormat="false" ht="15" hidden="false" customHeight="false" outlineLevel="0" collapsed="false">
      <c r="A6" s="34" t="s">
        <v>80</v>
      </c>
      <c r="B6" s="36" t="n">
        <f aca="false">IF(ISNUMBER(B5),IF(B5&gt;0,EDATE(每月预算!$B$30,B5-1),""),B5)</f>
        <v>46874</v>
      </c>
      <c r="C6" s="36" t="n">
        <f aca="false">IF(ISNUMBER(C5),IF(C5&gt;0,EDATE(每月预算!$B$30,C5-1),""),C5)</f>
        <v>46874</v>
      </c>
    </row>
    <row r="7" customFormat="false" ht="15" hidden="false" customHeight="false" outlineLevel="0" collapsed="false">
      <c r="A7" s="34" t="s">
        <v>81</v>
      </c>
      <c r="B7" s="37" t="n">
        <f aca="false">计算_雪球!C19</f>
        <v>12947.34</v>
      </c>
      <c r="C7" s="37" t="n">
        <f aca="false">计算_雪崩!C19</f>
        <v>10505.63</v>
      </c>
    </row>
    <row r="8" customFormat="false" ht="15" hidden="false" customHeight="false" outlineLevel="0" collapsed="false">
      <c r="A8" s="34" t="s">
        <v>82</v>
      </c>
      <c r="B8" s="17" t="n">
        <f aca="false">计算_雪球!C20</f>
        <v>7</v>
      </c>
      <c r="C8" s="17" t="n">
        <f aca="false">计算_雪崩!C20</f>
        <v>12</v>
      </c>
    </row>
    <row r="10" customFormat="false" ht="15" hidden="false" customHeight="false" outlineLevel="0" collapsed="false">
      <c r="A10" s="38" t="s">
        <v>87</v>
      </c>
    </row>
    <row r="11" customFormat="false" ht="30" hidden="false" customHeight="true" outlineLevel="0" collapsed="false">
      <c r="A11" s="39" t="str">
        <f aca="false">IF(AND(ISNUMBER(B7),ISNUMBER(C7)),IF(B7-C7&gt;=1,"雪崩法能少付 "&amp;TEXT(B7-C7,"#,##0")&amp;" 元利息；雪球法清掉第一笔会早一些（第 "&amp;B8&amp;" 个月 vs 第 "&amp;C8&amp;" 个月）。想省钱选雪崩法，怕坚持不住选雪球法。","两种办法差别不大，选让你更有动力的那个就行。"),"")</f>
        <v>雪崩法能少付 2,442 元利息；雪球法清掉第一笔会早一些（第 7 个月 vs 第 12 个月）。想省钱选雪崩法，怕坚持不住选雪球法。</v>
      </c>
      <c r="B11" s="39"/>
      <c r="C11" s="39"/>
    </row>
    <row r="12" customFormat="false" ht="15" hidden="false" customHeight="false" outlineLevel="0" collapsed="false">
      <c r="A12" s="39"/>
      <c r="B12" s="39"/>
      <c r="C12" s="39"/>
    </row>
    <row r="14" customFormat="false" ht="15" hidden="false" customHeight="false" outlineLevel="0" collapsed="false">
      <c r="A14" s="10" t="s">
        <v>88</v>
      </c>
      <c r="B14" s="10" t="s">
        <v>89</v>
      </c>
      <c r="C14" s="10" t="s">
        <v>90</v>
      </c>
      <c r="D14" s="10" t="s">
        <v>91</v>
      </c>
      <c r="E14" s="10" t="s">
        <v>90</v>
      </c>
    </row>
    <row r="15" customFormat="false" ht="15" hidden="false" customHeight="false" outlineLevel="0" collapsed="false">
      <c r="A15" s="16" t="n">
        <v>1</v>
      </c>
      <c r="B15" s="40" t="str">
        <f aca="false">计算_雪球!C5</f>
        <v>信用卡B（分期）</v>
      </c>
      <c r="C15" s="17" t="n">
        <f aca="false">计算_雪球!G5</f>
        <v>7</v>
      </c>
      <c r="D15" s="40" t="str">
        <f aca="false">计算_雪崩!C5</f>
        <v>网贷X</v>
      </c>
      <c r="E15" s="17" t="n">
        <f aca="false">计算_雪崩!G5</f>
        <v>13</v>
      </c>
    </row>
    <row r="16" customFormat="false" ht="15" hidden="false" customHeight="false" outlineLevel="0" collapsed="false">
      <c r="A16" s="16" t="n">
        <v>2</v>
      </c>
      <c r="B16" s="40" t="str">
        <f aca="false">计算_雪球!C6</f>
        <v>亲友借款（老王）</v>
      </c>
      <c r="C16" s="17" t="n">
        <f aca="false">计算_雪球!G6</f>
        <v>13</v>
      </c>
      <c r="D16" s="40" t="str">
        <f aca="false">计算_雪崩!C6</f>
        <v>信用卡A</v>
      </c>
      <c r="E16" s="17" t="n">
        <f aca="false">计算_雪崩!G6</f>
        <v>17</v>
      </c>
    </row>
    <row r="17" customFormat="false" ht="15" hidden="false" customHeight="false" outlineLevel="0" collapsed="false">
      <c r="A17" s="16" t="n">
        <v>3</v>
      </c>
      <c r="B17" s="40" t="str">
        <f aca="false">计算_雪球!C7</f>
        <v>网贷X</v>
      </c>
      <c r="C17" s="17" t="n">
        <f aca="false">计算_雪球!G7</f>
        <v>17</v>
      </c>
      <c r="D17" s="40" t="str">
        <f aca="false">计算_雪崩!C7</f>
        <v>信用卡B（分期）</v>
      </c>
      <c r="E17" s="17" t="n">
        <f aca="false">计算_雪崩!G7</f>
        <v>12</v>
      </c>
    </row>
    <row r="18" customFormat="false" ht="15" hidden="false" customHeight="false" outlineLevel="0" collapsed="false">
      <c r="A18" s="16" t="n">
        <v>4</v>
      </c>
      <c r="B18" s="40" t="str">
        <f aca="false">计算_雪球!C8</f>
        <v>信用卡A</v>
      </c>
      <c r="C18" s="17" t="n">
        <f aca="false">计算_雪球!G8</f>
        <v>19</v>
      </c>
      <c r="D18" s="40" t="str">
        <f aca="false">计算_雪崩!C8</f>
        <v>亲友借款（老王）</v>
      </c>
      <c r="E18" s="17" t="n">
        <f aca="false">计算_雪崩!G8</f>
        <v>19</v>
      </c>
    </row>
    <row r="19" customFormat="false" ht="15" hidden="false" customHeight="false" outlineLevel="0" collapsed="false">
      <c r="A19" s="16" t="n">
        <v>5</v>
      </c>
      <c r="B19" s="40" t="str">
        <f aca="false">计算_雪球!C9</f>
        <v/>
      </c>
      <c r="C19" s="17" t="str">
        <f aca="false">计算_雪球!G9</f>
        <v/>
      </c>
      <c r="D19" s="40" t="str">
        <f aca="false">计算_雪崩!C9</f>
        <v/>
      </c>
      <c r="E19" s="17" t="str">
        <f aca="false">计算_雪崩!G9</f>
        <v/>
      </c>
    </row>
    <row r="20" customFormat="false" ht="15" hidden="false" customHeight="false" outlineLevel="0" collapsed="false">
      <c r="A20" s="16" t="n">
        <v>6</v>
      </c>
      <c r="B20" s="40" t="str">
        <f aca="false">计算_雪球!C10</f>
        <v/>
      </c>
      <c r="C20" s="17" t="str">
        <f aca="false">计算_雪球!G10</f>
        <v/>
      </c>
      <c r="D20" s="40" t="str">
        <f aca="false">计算_雪崩!C10</f>
        <v/>
      </c>
      <c r="E20" s="17" t="str">
        <f aca="false">计算_雪崩!G10</f>
        <v/>
      </c>
    </row>
    <row r="21" customFormat="false" ht="15" hidden="false" customHeight="false" outlineLevel="0" collapsed="false">
      <c r="A21" s="16" t="n">
        <v>7</v>
      </c>
      <c r="B21" s="40" t="str">
        <f aca="false">计算_雪球!C11</f>
        <v/>
      </c>
      <c r="C21" s="17" t="str">
        <f aca="false">计算_雪球!G11</f>
        <v/>
      </c>
      <c r="D21" s="40" t="str">
        <f aca="false">计算_雪崩!C11</f>
        <v/>
      </c>
      <c r="E21" s="17" t="str">
        <f aca="false">计算_雪崩!G11</f>
        <v/>
      </c>
    </row>
    <row r="22" customFormat="false" ht="15" hidden="false" customHeight="false" outlineLevel="0" collapsed="false">
      <c r="A22" s="16" t="n">
        <v>8</v>
      </c>
      <c r="B22" s="40" t="str">
        <f aca="false">计算_雪球!C12</f>
        <v/>
      </c>
      <c r="C22" s="17" t="str">
        <f aca="false">计算_雪球!G12</f>
        <v/>
      </c>
      <c r="D22" s="40" t="str">
        <f aca="false">计算_雪崩!C12</f>
        <v/>
      </c>
      <c r="E22" s="17" t="str">
        <f aca="false">计算_雪崩!G12</f>
        <v/>
      </c>
    </row>
    <row r="23" customFormat="false" ht="15" hidden="false" customHeight="false" outlineLevel="0" collapsed="false">
      <c r="A23" s="16" t="n">
        <v>9</v>
      </c>
      <c r="B23" s="40" t="str">
        <f aca="false">计算_雪球!C13</f>
        <v/>
      </c>
      <c r="C23" s="17" t="str">
        <f aca="false">计算_雪球!G13</f>
        <v/>
      </c>
      <c r="D23" s="40" t="str">
        <f aca="false">计算_雪崩!C13</f>
        <v/>
      </c>
      <c r="E23" s="17" t="str">
        <f aca="false">计算_雪崩!G13</f>
        <v/>
      </c>
    </row>
    <row r="24" customFormat="false" ht="15" hidden="false" customHeight="false" outlineLevel="0" collapsed="false">
      <c r="A24" s="16" t="n">
        <v>10</v>
      </c>
      <c r="B24" s="40" t="str">
        <f aca="false">计算_雪球!C14</f>
        <v/>
      </c>
      <c r="C24" s="17" t="str">
        <f aca="false">计算_雪球!G14</f>
        <v/>
      </c>
      <c r="D24" s="40" t="str">
        <f aca="false">计算_雪崩!C14</f>
        <v/>
      </c>
      <c r="E24" s="17" t="str">
        <f aca="false">计算_雪崩!G14</f>
        <v/>
      </c>
    </row>
  </sheetData>
  <mergeCells count="1">
    <mergeCell ref="A11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13" min="3" style="0" width="13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41" t="str">
        <f aca="false">"每月还款表（"&amp;每月预算!B29&amp;"）"</f>
        <v>每月还款表（雪球法）</v>
      </c>
    </row>
    <row r="2" customFormat="false" ht="15" hidden="false" customHeight="false" outlineLevel="0" collapsed="false">
      <c r="A2" s="8" t="s">
        <v>92</v>
      </c>
      <c r="Q2" s="8" t="s">
        <v>93</v>
      </c>
      <c r="R2" s="18" t="n">
        <f aca="false">IF(ISNUMBER(每月预算!B33),每月预算!B33,240)</f>
        <v>19</v>
      </c>
    </row>
    <row r="4" customFormat="false" ht="31.5" hidden="false" customHeight="true" outlineLevel="0" collapsed="false">
      <c r="A4" s="10" t="s">
        <v>94</v>
      </c>
      <c r="B4" s="10" t="s">
        <v>95</v>
      </c>
      <c r="C4" s="9" t="str">
        <f aca="false">IF(每月预算!$B$29="雪崩法",计算_雪崩!$C$5,计算_雪球!$C$5)</f>
        <v>信用卡B（分期）</v>
      </c>
      <c r="D4" s="9" t="str">
        <f aca="false">IF(每月预算!$B$29="雪崩法",计算_雪崩!$C$6,计算_雪球!$C$6)</f>
        <v>亲友借款（老王）</v>
      </c>
      <c r="E4" s="9" t="str">
        <f aca="false">IF(每月预算!$B$29="雪崩法",计算_雪崩!$C$7,计算_雪球!$C$7)</f>
        <v>网贷X</v>
      </c>
      <c r="F4" s="9" t="str">
        <f aca="false">IF(每月预算!$B$29="雪崩法",计算_雪崩!$C$8,计算_雪球!$C$8)</f>
        <v>信用卡A</v>
      </c>
      <c r="G4" s="9" t="str">
        <f aca="false">IF(每月预算!$B$29="雪崩法",计算_雪崩!$C$9,计算_雪球!$C$9)</f>
        <v/>
      </c>
      <c r="H4" s="9" t="str">
        <f aca="false">IF(每月预算!$B$29="雪崩法",计算_雪崩!$C$10,计算_雪球!$C$10)</f>
        <v/>
      </c>
      <c r="I4" s="9" t="str">
        <f aca="false">IF(每月预算!$B$29="雪崩法",计算_雪崩!$C$11,计算_雪球!$C$11)</f>
        <v/>
      </c>
      <c r="J4" s="9" t="str">
        <f aca="false">IF(每月预算!$B$29="雪崩法",计算_雪崩!$C$12,计算_雪球!$C$12)</f>
        <v/>
      </c>
      <c r="K4" s="9" t="str">
        <f aca="false">IF(每月预算!$B$29="雪崩法",计算_雪崩!$C$13,计算_雪球!$C$13)</f>
        <v/>
      </c>
      <c r="L4" s="9" t="str">
        <f aca="false">IF(每月预算!$B$29="雪崩法",计算_雪崩!$C$14,计算_雪球!$C$14)</f>
        <v/>
      </c>
      <c r="M4" s="10" t="s">
        <v>96</v>
      </c>
      <c r="N4" s="10" t="s">
        <v>97</v>
      </c>
      <c r="O4" s="10" t="s">
        <v>98</v>
      </c>
    </row>
    <row r="5" customFormat="false" ht="15" hidden="false" customHeight="false" outlineLevel="0" collapsed="false">
      <c r="A5" s="24" t="n">
        <f aca="false">IF(1&lt;=$R$2,1,"")</f>
        <v>1</v>
      </c>
      <c r="B5" s="42" t="n">
        <f aca="false">IF($A5="","",计算_雪球!B24)</f>
        <v>46327</v>
      </c>
      <c r="C5" s="43" t="n">
        <f aca="false">IF(OR($A5="",C$4=""),"",IF(每月预算!$B$29="雪崩法",计算_雪崩!I24,计算_雪球!I24))</f>
        <v>2072</v>
      </c>
      <c r="D5" s="43" t="n">
        <f aca="false">IF(OR($A5="",D$4=""),"",IF(每月预算!$B$29="雪崩法",计算_雪崩!N24,计算_雪球!N24))</f>
        <v>500</v>
      </c>
      <c r="E5" s="43" t="n">
        <f aca="false">IF(OR($A5="",E$4=""),"",IF(每月预算!$B$29="雪崩法",计算_雪崩!S24,计算_雪球!S24))</f>
        <v>1350</v>
      </c>
      <c r="F5" s="43" t="n">
        <f aca="false">IF(OR($A5="",F$4=""),"",IF(每月预算!$B$29="雪崩法",计算_雪崩!X24,计算_雪球!X24))</f>
        <v>1900</v>
      </c>
      <c r="G5" s="43" t="str">
        <f aca="false">IF(OR($A5="",G$4=""),"",IF(每月预算!$B$29="雪崩法",计算_雪崩!AC24,计算_雪球!AC24))</f>
        <v/>
      </c>
      <c r="H5" s="43" t="str">
        <f aca="false">IF(OR($A5="",H$4=""),"",IF(每月预算!$B$29="雪崩法",计算_雪崩!AH24,计算_雪球!AH24))</f>
        <v/>
      </c>
      <c r="I5" s="43" t="str">
        <f aca="false">IF(OR($A5="",I$4=""),"",IF(每月预算!$B$29="雪崩法",计算_雪崩!AM24,计算_雪球!AM24))</f>
        <v/>
      </c>
      <c r="J5" s="43" t="str">
        <f aca="false">IF(OR($A5="",J$4=""),"",IF(每月预算!$B$29="雪崩法",计算_雪崩!AR24,计算_雪球!AR24))</f>
        <v/>
      </c>
      <c r="K5" s="43" t="str">
        <f aca="false">IF(OR($A5="",K$4=""),"",IF(每月预算!$B$29="雪崩法",计算_雪崩!AW24,计算_雪球!AW24))</f>
        <v/>
      </c>
      <c r="L5" s="43" t="str">
        <f aca="false">IF(OR($A5="",L$4=""),"",IF(每月预算!$B$29="雪崩法",计算_雪崩!BB24,计算_雪球!BB24))</f>
        <v/>
      </c>
      <c r="M5" s="43" t="n">
        <f aca="false">IF($A5="","",IF(每月预算!$B$29="雪崩法",计算_雪崩!BC24,计算_雪球!BC24))</f>
        <v>5822</v>
      </c>
      <c r="N5" s="43" t="str">
        <f aca="false">IF($A5="","",IF(每月预算!$B$29="雪崩法",计算_雪崩!BE24,计算_雪球!BE24))</f>
        <v>信用卡B（分期）</v>
      </c>
      <c r="O5" s="43" t="n">
        <f aca="false">IF($A5="","",IF(每月预算!$B$29="雪崩法",计算_雪崩!BD24,计算_雪球!BD24))</f>
        <v>90378</v>
      </c>
    </row>
    <row r="6" customFormat="false" ht="15" hidden="false" customHeight="false" outlineLevel="0" collapsed="false">
      <c r="A6" s="24" t="n">
        <f aca="false">IF(2&lt;=$R$2,2,"")</f>
        <v>2</v>
      </c>
      <c r="B6" s="42" t="n">
        <f aca="false">IF($A6="","",计算_雪球!B25)</f>
        <v>46357</v>
      </c>
      <c r="C6" s="43" t="n">
        <f aca="false">IF(OR($A6="",C$4=""),"",IF(每月预算!$B$29="雪崩法",计算_雪崩!I25,计算_雪球!I25))</f>
        <v>2072</v>
      </c>
      <c r="D6" s="43" t="n">
        <f aca="false">IF(OR($A6="",D$4=""),"",IF(每月预算!$B$29="雪崩法",计算_雪崩!N25,计算_雪球!N25))</f>
        <v>500</v>
      </c>
      <c r="E6" s="43" t="n">
        <f aca="false">IF(OR($A6="",E$4=""),"",IF(每月预算!$B$29="雪崩法",计算_雪崩!S25,计算_雪球!S25))</f>
        <v>1350</v>
      </c>
      <c r="F6" s="43" t="n">
        <f aca="false">IF(OR($A6="",F$4=""),"",IF(每月预算!$B$29="雪崩法",计算_雪崩!X25,计算_雪球!X25))</f>
        <v>1900</v>
      </c>
      <c r="G6" s="43" t="str">
        <f aca="false">IF(OR($A6="",G$4=""),"",IF(每月预算!$B$29="雪崩法",计算_雪崩!AC25,计算_雪球!AC25))</f>
        <v/>
      </c>
      <c r="H6" s="43" t="str">
        <f aca="false">IF(OR($A6="",H$4=""),"",IF(每月预算!$B$29="雪崩法",计算_雪崩!AH25,计算_雪球!AH25))</f>
        <v/>
      </c>
      <c r="I6" s="43" t="str">
        <f aca="false">IF(OR($A6="",I$4=""),"",IF(每月预算!$B$29="雪崩法",计算_雪崩!AM25,计算_雪球!AM25))</f>
        <v/>
      </c>
      <c r="J6" s="43" t="str">
        <f aca="false">IF(OR($A6="",J$4=""),"",IF(每月预算!$B$29="雪崩法",计算_雪崩!AR25,计算_雪球!AR25))</f>
        <v/>
      </c>
      <c r="K6" s="43" t="str">
        <f aca="false">IF(OR($A6="",K$4=""),"",IF(每月预算!$B$29="雪崩法",计算_雪崩!AW25,计算_雪球!AW25))</f>
        <v/>
      </c>
      <c r="L6" s="43" t="str">
        <f aca="false">IF(OR($A6="",L$4=""),"",IF(每月预算!$B$29="雪崩法",计算_雪崩!BB25,计算_雪球!BB25))</f>
        <v/>
      </c>
      <c r="M6" s="43" t="n">
        <f aca="false">IF($A6="","",IF(每月预算!$B$29="雪崩法",计算_雪崩!BC25,计算_雪球!BC25))</f>
        <v>5822</v>
      </c>
      <c r="N6" s="43" t="str">
        <f aca="false">IF($A6="","",IF(每月预算!$B$29="雪崩法",计算_雪崩!BE25,计算_雪球!BE25))</f>
        <v>信用卡B（分期）</v>
      </c>
      <c r="O6" s="43" t="n">
        <f aca="false">IF($A6="","",IF(每月预算!$B$29="雪崩法",计算_雪崩!BD25,计算_雪球!BD25))</f>
        <v>85698.01</v>
      </c>
    </row>
    <row r="7" customFormat="false" ht="15" hidden="false" customHeight="false" outlineLevel="0" collapsed="false">
      <c r="A7" s="24" t="n">
        <f aca="false">IF(3&lt;=$R$2,3,"")</f>
        <v>3</v>
      </c>
      <c r="B7" s="42" t="n">
        <f aca="false">IF($A7="","",计算_雪球!B26)</f>
        <v>46388</v>
      </c>
      <c r="C7" s="43" t="n">
        <f aca="false">IF(OR($A7="",C$4=""),"",IF(每月预算!$B$29="雪崩法",计算_雪崩!I26,计算_雪球!I26))</f>
        <v>2072</v>
      </c>
      <c r="D7" s="43" t="n">
        <f aca="false">IF(OR($A7="",D$4=""),"",IF(每月预算!$B$29="雪崩法",计算_雪崩!N26,计算_雪球!N26))</f>
        <v>500</v>
      </c>
      <c r="E7" s="43" t="n">
        <f aca="false">IF(OR($A7="",E$4=""),"",IF(每月预算!$B$29="雪崩法",计算_雪崩!S26,计算_雪球!S26))</f>
        <v>1350</v>
      </c>
      <c r="F7" s="43" t="n">
        <f aca="false">IF(OR($A7="",F$4=""),"",IF(每月预算!$B$29="雪崩法",计算_雪崩!X26,计算_雪球!X26))</f>
        <v>1900</v>
      </c>
      <c r="G7" s="43" t="str">
        <f aca="false">IF(OR($A7="",G$4=""),"",IF(每月预算!$B$29="雪崩法",计算_雪崩!AC26,计算_雪球!AC26))</f>
        <v/>
      </c>
      <c r="H7" s="43" t="str">
        <f aca="false">IF(OR($A7="",H$4=""),"",IF(每月预算!$B$29="雪崩法",计算_雪崩!AH26,计算_雪球!AH26))</f>
        <v/>
      </c>
      <c r="I7" s="43" t="str">
        <f aca="false">IF(OR($A7="",I$4=""),"",IF(每月预算!$B$29="雪崩法",计算_雪崩!AM26,计算_雪球!AM26))</f>
        <v/>
      </c>
      <c r="J7" s="43" t="str">
        <f aca="false">IF(OR($A7="",J$4=""),"",IF(每月预算!$B$29="雪崩法",计算_雪崩!AR26,计算_雪球!AR26))</f>
        <v/>
      </c>
      <c r="K7" s="43" t="str">
        <f aca="false">IF(OR($A7="",K$4=""),"",IF(每月预算!$B$29="雪崩法",计算_雪崩!AW26,计算_雪球!AW26))</f>
        <v/>
      </c>
      <c r="L7" s="43" t="str">
        <f aca="false">IF(OR($A7="",L$4=""),"",IF(每月预算!$B$29="雪崩法",计算_雪崩!BB26,计算_雪球!BB26))</f>
        <v/>
      </c>
      <c r="M7" s="43" t="n">
        <f aca="false">IF($A7="","",IF(每月预算!$B$29="雪崩法",计算_雪崩!BC26,计算_雪球!BC26))</f>
        <v>5822</v>
      </c>
      <c r="N7" s="43" t="str">
        <f aca="false">IF($A7="","",IF(每月预算!$B$29="雪崩法",计算_雪崩!BE26,计算_雪球!BE26))</f>
        <v>信用卡B（分期）</v>
      </c>
      <c r="O7" s="43" t="n">
        <f aca="false">IF($A7="","",IF(每月预算!$B$29="雪崩法",计算_雪崩!BD26,计算_雪球!BD26))</f>
        <v>80959.17</v>
      </c>
    </row>
    <row r="8" customFormat="false" ht="15" hidden="false" customHeight="false" outlineLevel="0" collapsed="false">
      <c r="A8" s="24" t="n">
        <f aca="false">IF(4&lt;=$R$2,4,"")</f>
        <v>4</v>
      </c>
      <c r="B8" s="42" t="n">
        <f aca="false">IF($A8="","",计算_雪球!B27)</f>
        <v>46419</v>
      </c>
      <c r="C8" s="43" t="n">
        <f aca="false">IF(OR($A8="",C$4=""),"",IF(每月预算!$B$29="雪崩法",计算_雪崩!I27,计算_雪球!I27))</f>
        <v>2072</v>
      </c>
      <c r="D8" s="43" t="n">
        <f aca="false">IF(OR($A8="",D$4=""),"",IF(每月预算!$B$29="雪崩法",计算_雪崩!N27,计算_雪球!N27))</f>
        <v>500</v>
      </c>
      <c r="E8" s="43" t="n">
        <f aca="false">IF(OR($A8="",E$4=""),"",IF(每月预算!$B$29="雪崩法",计算_雪崩!S27,计算_雪球!S27))</f>
        <v>1350</v>
      </c>
      <c r="F8" s="43" t="n">
        <f aca="false">IF(OR($A8="",F$4=""),"",IF(每月预算!$B$29="雪崩法",计算_雪崩!X27,计算_雪球!X27))</f>
        <v>1900</v>
      </c>
      <c r="G8" s="43" t="str">
        <f aca="false">IF(OR($A8="",G$4=""),"",IF(每月预算!$B$29="雪崩法",计算_雪崩!AC27,计算_雪球!AC27))</f>
        <v/>
      </c>
      <c r="H8" s="43" t="str">
        <f aca="false">IF(OR($A8="",H$4=""),"",IF(每月预算!$B$29="雪崩法",计算_雪崩!AH27,计算_雪球!AH27))</f>
        <v/>
      </c>
      <c r="I8" s="43" t="str">
        <f aca="false">IF(OR($A8="",I$4=""),"",IF(每月预算!$B$29="雪崩法",计算_雪崩!AM27,计算_雪球!AM27))</f>
        <v/>
      </c>
      <c r="J8" s="43" t="str">
        <f aca="false">IF(OR($A8="",J$4=""),"",IF(每月预算!$B$29="雪崩法",计算_雪崩!AR27,计算_雪球!AR27))</f>
        <v/>
      </c>
      <c r="K8" s="43" t="str">
        <f aca="false">IF(OR($A8="",K$4=""),"",IF(每月预算!$B$29="雪崩法",计算_雪崩!AW27,计算_雪球!AW27))</f>
        <v/>
      </c>
      <c r="L8" s="43" t="str">
        <f aca="false">IF(OR($A8="",L$4=""),"",IF(每月预算!$B$29="雪崩法",计算_雪崩!BB27,计算_雪球!BB27))</f>
        <v/>
      </c>
      <c r="M8" s="43" t="n">
        <f aca="false">IF($A8="","",IF(每月预算!$B$29="雪崩法",计算_雪崩!BC27,计算_雪球!BC27))</f>
        <v>5822</v>
      </c>
      <c r="N8" s="43" t="str">
        <f aca="false">IF($A8="","",IF(每月预算!$B$29="雪崩法",计算_雪崩!BE27,计算_雪球!BE27))</f>
        <v>信用卡B（分期）</v>
      </c>
      <c r="O8" s="43" t="n">
        <f aca="false">IF($A8="","",IF(每月预算!$B$29="雪崩法",计算_雪崩!BD27,计算_雪球!BD27))</f>
        <v>76160.59</v>
      </c>
    </row>
    <row r="9" customFormat="false" ht="15" hidden="false" customHeight="false" outlineLevel="0" collapsed="false">
      <c r="A9" s="24" t="n">
        <f aca="false">IF(5&lt;=$R$2,5,"")</f>
        <v>5</v>
      </c>
      <c r="B9" s="42" t="n">
        <f aca="false">IF($A9="","",计算_雪球!B28)</f>
        <v>46447</v>
      </c>
      <c r="C9" s="43" t="n">
        <f aca="false">IF(OR($A9="",C$4=""),"",IF(每月预算!$B$29="雪崩法",计算_雪崩!I28,计算_雪球!I28))</f>
        <v>2072</v>
      </c>
      <c r="D9" s="43" t="n">
        <f aca="false">IF(OR($A9="",D$4=""),"",IF(每月预算!$B$29="雪崩法",计算_雪崩!N28,计算_雪球!N28))</f>
        <v>500</v>
      </c>
      <c r="E9" s="43" t="n">
        <f aca="false">IF(OR($A9="",E$4=""),"",IF(每月预算!$B$29="雪崩法",计算_雪崩!S28,计算_雪球!S28))</f>
        <v>1350</v>
      </c>
      <c r="F9" s="43" t="n">
        <f aca="false">IF(OR($A9="",F$4=""),"",IF(每月预算!$B$29="雪崩法",计算_雪崩!X28,计算_雪球!X28))</f>
        <v>1900</v>
      </c>
      <c r="G9" s="43" t="str">
        <f aca="false">IF(OR($A9="",G$4=""),"",IF(每月预算!$B$29="雪崩法",计算_雪崩!AC28,计算_雪球!AC28))</f>
        <v/>
      </c>
      <c r="H9" s="43" t="str">
        <f aca="false">IF(OR($A9="",H$4=""),"",IF(每月预算!$B$29="雪崩法",计算_雪崩!AH28,计算_雪球!AH28))</f>
        <v/>
      </c>
      <c r="I9" s="43" t="str">
        <f aca="false">IF(OR($A9="",I$4=""),"",IF(每月预算!$B$29="雪崩法",计算_雪崩!AM28,计算_雪球!AM28))</f>
        <v/>
      </c>
      <c r="J9" s="43" t="str">
        <f aca="false">IF(OR($A9="",J$4=""),"",IF(每月预算!$B$29="雪崩法",计算_雪崩!AR28,计算_雪球!AR28))</f>
        <v/>
      </c>
      <c r="K9" s="43" t="str">
        <f aca="false">IF(OR($A9="",K$4=""),"",IF(每月预算!$B$29="雪崩法",计算_雪崩!AW28,计算_雪球!AW28))</f>
        <v/>
      </c>
      <c r="L9" s="43" t="str">
        <f aca="false">IF(OR($A9="",L$4=""),"",IF(每月预算!$B$29="雪崩法",计算_雪崩!BB28,计算_雪球!BB28))</f>
        <v/>
      </c>
      <c r="M9" s="43" t="n">
        <f aca="false">IF($A9="","",IF(每月预算!$B$29="雪崩法",计算_雪崩!BC28,计算_雪球!BC28))</f>
        <v>5822</v>
      </c>
      <c r="N9" s="43" t="str">
        <f aca="false">IF($A9="","",IF(每月预算!$B$29="雪崩法",计算_雪崩!BE28,计算_雪球!BE28))</f>
        <v>信用卡B（分期）</v>
      </c>
      <c r="O9" s="43" t="n">
        <f aca="false">IF($A9="","",IF(每月预算!$B$29="雪崩法",计算_雪崩!BD28,计算_雪球!BD28))</f>
        <v>71301.38</v>
      </c>
    </row>
    <row r="10" customFormat="false" ht="15" hidden="false" customHeight="false" outlineLevel="0" collapsed="false">
      <c r="A10" s="24" t="n">
        <f aca="false">IF(6&lt;=$R$2,6,"")</f>
        <v>6</v>
      </c>
      <c r="B10" s="42" t="n">
        <f aca="false">IF($A10="","",计算_雪球!B29)</f>
        <v>46478</v>
      </c>
      <c r="C10" s="43" t="n">
        <f aca="false">IF(OR($A10="",C$4=""),"",IF(每月预算!$B$29="雪崩法",计算_雪崩!I29,计算_雪球!I29))</f>
        <v>2072</v>
      </c>
      <c r="D10" s="43" t="n">
        <f aca="false">IF(OR($A10="",D$4=""),"",IF(每月预算!$B$29="雪崩法",计算_雪崩!N29,计算_雪球!N29))</f>
        <v>500</v>
      </c>
      <c r="E10" s="43" t="n">
        <f aca="false">IF(OR($A10="",E$4=""),"",IF(每月预算!$B$29="雪崩法",计算_雪崩!S29,计算_雪球!S29))</f>
        <v>1350</v>
      </c>
      <c r="F10" s="43" t="n">
        <f aca="false">IF(OR($A10="",F$4=""),"",IF(每月预算!$B$29="雪崩法",计算_雪崩!X29,计算_雪球!X29))</f>
        <v>1900</v>
      </c>
      <c r="G10" s="43" t="str">
        <f aca="false">IF(OR($A10="",G$4=""),"",IF(每月预算!$B$29="雪崩法",计算_雪崩!AC29,计算_雪球!AC29))</f>
        <v/>
      </c>
      <c r="H10" s="43" t="str">
        <f aca="false">IF(OR($A10="",H$4=""),"",IF(每月预算!$B$29="雪崩法",计算_雪崩!AH29,计算_雪球!AH29))</f>
        <v/>
      </c>
      <c r="I10" s="43" t="str">
        <f aca="false">IF(OR($A10="",I$4=""),"",IF(每月预算!$B$29="雪崩法",计算_雪崩!AM29,计算_雪球!AM29))</f>
        <v/>
      </c>
      <c r="J10" s="43" t="str">
        <f aca="false">IF(OR($A10="",J$4=""),"",IF(每月预算!$B$29="雪崩法",计算_雪崩!AR29,计算_雪球!AR29))</f>
        <v/>
      </c>
      <c r="K10" s="43" t="str">
        <f aca="false">IF(OR($A10="",K$4=""),"",IF(每月预算!$B$29="雪崩法",计算_雪崩!AW29,计算_雪球!AW29))</f>
        <v/>
      </c>
      <c r="L10" s="43" t="str">
        <f aca="false">IF(OR($A10="",L$4=""),"",IF(每月预算!$B$29="雪崩法",计算_雪崩!BB29,计算_雪球!BB29))</f>
        <v/>
      </c>
      <c r="M10" s="43" t="n">
        <f aca="false">IF($A10="","",IF(每月预算!$B$29="雪崩法",计算_雪崩!BC29,计算_雪球!BC29))</f>
        <v>5822</v>
      </c>
      <c r="N10" s="43" t="str">
        <f aca="false">IF($A10="","",IF(每月预算!$B$29="雪崩法",计算_雪崩!BE29,计算_雪球!BE29))</f>
        <v>信用卡B（分期）</v>
      </c>
      <c r="O10" s="43" t="n">
        <f aca="false">IF($A10="","",IF(每月预算!$B$29="雪崩法",计算_雪崩!BD29,计算_雪球!BD29))</f>
        <v>66380.62</v>
      </c>
    </row>
    <row r="11" customFormat="false" ht="15" hidden="false" customHeight="false" outlineLevel="0" collapsed="false">
      <c r="A11" s="24" t="n">
        <f aca="false">IF(7&lt;=$R$2,7,"")</f>
        <v>7</v>
      </c>
      <c r="B11" s="42" t="n">
        <f aca="false">IF($A11="","",计算_雪球!B30)</f>
        <v>46508</v>
      </c>
      <c r="C11" s="43" t="n">
        <f aca="false">IF(OR($A11="",C$4=""),"",IF(每月预算!$B$29="雪崩法",计算_雪崩!I30,计算_雪球!I30))</f>
        <v>28.13</v>
      </c>
      <c r="D11" s="43" t="n">
        <f aca="false">IF(OR($A11="",D$4=""),"",IF(每月预算!$B$29="雪崩法",计算_雪崩!N30,计算_雪球!N30))</f>
        <v>2543.87</v>
      </c>
      <c r="E11" s="43" t="n">
        <f aca="false">IF(OR($A11="",E$4=""),"",IF(每月预算!$B$29="雪崩法",计算_雪崩!S30,计算_雪球!S30))</f>
        <v>1350</v>
      </c>
      <c r="F11" s="43" t="n">
        <f aca="false">IF(OR($A11="",F$4=""),"",IF(每月预算!$B$29="雪崩法",计算_雪崩!X30,计算_雪球!X30))</f>
        <v>1900</v>
      </c>
      <c r="G11" s="43" t="str">
        <f aca="false">IF(OR($A11="",G$4=""),"",IF(每月预算!$B$29="雪崩法",计算_雪崩!AC30,计算_雪球!AC30))</f>
        <v/>
      </c>
      <c r="H11" s="43" t="str">
        <f aca="false">IF(OR($A11="",H$4=""),"",IF(每月预算!$B$29="雪崩法",计算_雪崩!AH30,计算_雪球!AH30))</f>
        <v/>
      </c>
      <c r="I11" s="43" t="str">
        <f aca="false">IF(OR($A11="",I$4=""),"",IF(每月预算!$B$29="雪崩法",计算_雪崩!AM30,计算_雪球!AM30))</f>
        <v/>
      </c>
      <c r="J11" s="43" t="str">
        <f aca="false">IF(OR($A11="",J$4=""),"",IF(每月预算!$B$29="雪崩法",计算_雪崩!AR30,计算_雪球!AR30))</f>
        <v/>
      </c>
      <c r="K11" s="43" t="str">
        <f aca="false">IF(OR($A11="",K$4=""),"",IF(每月预算!$B$29="雪崩法",计算_雪崩!AW30,计算_雪球!AW30))</f>
        <v/>
      </c>
      <c r="L11" s="43" t="str">
        <f aca="false">IF(OR($A11="",L$4=""),"",IF(每月预算!$B$29="雪崩法",计算_雪崩!BB30,计算_雪球!BB30))</f>
        <v/>
      </c>
      <c r="M11" s="43" t="n">
        <f aca="false">IF($A11="","",IF(每月预算!$B$29="雪崩法",计算_雪崩!BC30,计算_雪球!BC30))</f>
        <v>5822</v>
      </c>
      <c r="N11" s="43" t="str">
        <f aca="false">IF($A11="","",IF(每月预算!$B$29="雪崩法",计算_雪崩!BE30,计算_雪球!BE30))</f>
        <v>亲友借款（老王）</v>
      </c>
      <c r="O11" s="43" t="n">
        <f aca="false">IF($A11="","",IF(每月预算!$B$29="雪崩法",计算_雪崩!BD30,计算_雪球!BD30))</f>
        <v>61397.4</v>
      </c>
    </row>
    <row r="12" customFormat="false" ht="15" hidden="false" customHeight="false" outlineLevel="0" collapsed="false">
      <c r="A12" s="24" t="n">
        <f aca="false">IF(8&lt;=$R$2,8,"")</f>
        <v>8</v>
      </c>
      <c r="B12" s="42" t="n">
        <f aca="false">IF($A12="","",计算_雪球!B31)</f>
        <v>46539</v>
      </c>
      <c r="C12" s="43" t="n">
        <f aca="false">IF(OR($A12="",C$4=""),"",IF(每月预算!$B$29="雪崩法",计算_雪崩!I31,计算_雪球!I31))</f>
        <v>0</v>
      </c>
      <c r="D12" s="43" t="n">
        <f aca="false">IF(OR($A12="",D$4=""),"",IF(每月预算!$B$29="雪崩法",计算_雪崩!N31,计算_雪球!N31))</f>
        <v>2572</v>
      </c>
      <c r="E12" s="43" t="n">
        <f aca="false">IF(OR($A12="",E$4=""),"",IF(每月预算!$B$29="雪崩法",计算_雪崩!S31,计算_雪球!S31))</f>
        <v>1350</v>
      </c>
      <c r="F12" s="43" t="n">
        <f aca="false">IF(OR($A12="",F$4=""),"",IF(每月预算!$B$29="雪崩法",计算_雪崩!X31,计算_雪球!X31))</f>
        <v>1900</v>
      </c>
      <c r="G12" s="43" t="str">
        <f aca="false">IF(OR($A12="",G$4=""),"",IF(每月预算!$B$29="雪崩法",计算_雪崩!AC31,计算_雪球!AC31))</f>
        <v/>
      </c>
      <c r="H12" s="43" t="str">
        <f aca="false">IF(OR($A12="",H$4=""),"",IF(每月预算!$B$29="雪崩法",计算_雪崩!AH31,计算_雪球!AH31))</f>
        <v/>
      </c>
      <c r="I12" s="43" t="str">
        <f aca="false">IF(OR($A12="",I$4=""),"",IF(每月预算!$B$29="雪崩法",计算_雪崩!AM31,计算_雪球!AM31))</f>
        <v/>
      </c>
      <c r="J12" s="43" t="str">
        <f aca="false">IF(OR($A12="",J$4=""),"",IF(每月预算!$B$29="雪崩法",计算_雪崩!AR31,计算_雪球!AR31))</f>
        <v/>
      </c>
      <c r="K12" s="43" t="str">
        <f aca="false">IF(OR($A12="",K$4=""),"",IF(每月预算!$B$29="雪崩法",计算_雪崩!AW31,计算_雪球!AW31))</f>
        <v/>
      </c>
      <c r="L12" s="43" t="str">
        <f aca="false">IF(OR($A12="",L$4=""),"",IF(每月预算!$B$29="雪崩法",计算_雪崩!BB31,计算_雪球!BB31))</f>
        <v/>
      </c>
      <c r="M12" s="43" t="n">
        <f aca="false">IF($A12="","",IF(每月预算!$B$29="雪崩法",计算_雪崩!BC31,计算_雪球!BC31))</f>
        <v>5822</v>
      </c>
      <c r="N12" s="43" t="str">
        <f aca="false">IF($A12="","",IF(每月预算!$B$29="雪崩法",计算_雪崩!BE31,计算_雪球!BE31))</f>
        <v>亲友借款（老王）</v>
      </c>
      <c r="O12" s="43" t="n">
        <f aca="false">IF($A12="","",IF(每月预算!$B$29="雪崩法",计算_雪崩!BD31,计算_雪球!BD31))</f>
        <v>56372.93</v>
      </c>
    </row>
    <row r="13" customFormat="false" ht="15" hidden="false" customHeight="false" outlineLevel="0" collapsed="false">
      <c r="A13" s="24" t="n">
        <f aca="false">IF(9&lt;=$R$2,9,"")</f>
        <v>9</v>
      </c>
      <c r="B13" s="42" t="n">
        <f aca="false">IF($A13="","",计算_雪球!B32)</f>
        <v>46569</v>
      </c>
      <c r="C13" s="43" t="n">
        <f aca="false">IF(OR($A13="",C$4=""),"",IF(每月预算!$B$29="雪崩法",计算_雪崩!I32,计算_雪球!I32))</f>
        <v>0</v>
      </c>
      <c r="D13" s="43" t="n">
        <f aca="false">IF(OR($A13="",D$4=""),"",IF(每月预算!$B$29="雪崩法",计算_雪崩!N32,计算_雪球!N32))</f>
        <v>2572</v>
      </c>
      <c r="E13" s="43" t="n">
        <f aca="false">IF(OR($A13="",E$4=""),"",IF(每月预算!$B$29="雪崩法",计算_雪崩!S32,计算_雪球!S32))</f>
        <v>1350</v>
      </c>
      <c r="F13" s="43" t="n">
        <f aca="false">IF(OR($A13="",F$4=""),"",IF(每月预算!$B$29="雪崩法",计算_雪崩!X32,计算_雪球!X32))</f>
        <v>1900</v>
      </c>
      <c r="G13" s="43" t="str">
        <f aca="false">IF(OR($A13="",G$4=""),"",IF(每月预算!$B$29="雪崩法",计算_雪崩!AC32,计算_雪球!AC32))</f>
        <v/>
      </c>
      <c r="H13" s="43" t="str">
        <f aca="false">IF(OR($A13="",H$4=""),"",IF(每月预算!$B$29="雪崩法",计算_雪崩!AH32,计算_雪球!AH32))</f>
        <v/>
      </c>
      <c r="I13" s="43" t="str">
        <f aca="false">IF(OR($A13="",I$4=""),"",IF(每月预算!$B$29="雪崩法",计算_雪崩!AM32,计算_雪球!AM32))</f>
        <v/>
      </c>
      <c r="J13" s="43" t="str">
        <f aca="false">IF(OR($A13="",J$4=""),"",IF(每月预算!$B$29="雪崩法",计算_雪崩!AR32,计算_雪球!AR32))</f>
        <v/>
      </c>
      <c r="K13" s="43" t="str">
        <f aca="false">IF(OR($A13="",K$4=""),"",IF(每月预算!$B$29="雪崩法",计算_雪崩!AW32,计算_雪球!AW32))</f>
        <v/>
      </c>
      <c r="L13" s="43" t="str">
        <f aca="false">IF(OR($A13="",L$4=""),"",IF(每月预算!$B$29="雪崩法",计算_雪崩!BB32,计算_雪球!BB32))</f>
        <v/>
      </c>
      <c r="M13" s="43" t="n">
        <f aca="false">IF($A13="","",IF(每月预算!$B$29="雪崩法",计算_雪崩!BC32,计算_雪球!BC32))</f>
        <v>5822</v>
      </c>
      <c r="N13" s="43" t="str">
        <f aca="false">IF($A13="","",IF(每月预算!$B$29="雪崩法",计算_雪崩!BE32,计算_雪球!BE32))</f>
        <v>亲友借款（老王）</v>
      </c>
      <c r="O13" s="43" t="n">
        <f aca="false">IF($A13="","",IF(每月预算!$B$29="雪崩法",计算_雪崩!BD32,计算_雪球!BD32))</f>
        <v>51306.78</v>
      </c>
    </row>
    <row r="14" customFormat="false" ht="15" hidden="false" customHeight="false" outlineLevel="0" collapsed="false">
      <c r="A14" s="24" t="n">
        <f aca="false">IF(10&lt;=$R$2,10,"")</f>
        <v>10</v>
      </c>
      <c r="B14" s="42" t="n">
        <f aca="false">IF($A14="","",计算_雪球!B33)</f>
        <v>46600</v>
      </c>
      <c r="C14" s="43" t="n">
        <f aca="false">IF(OR($A14="",C$4=""),"",IF(每月预算!$B$29="雪崩法",计算_雪崩!I33,计算_雪球!I33))</f>
        <v>0</v>
      </c>
      <c r="D14" s="43" t="n">
        <f aca="false">IF(OR($A14="",D$4=""),"",IF(每月预算!$B$29="雪崩法",计算_雪崩!N33,计算_雪球!N33))</f>
        <v>2572</v>
      </c>
      <c r="E14" s="43" t="n">
        <f aca="false">IF(OR($A14="",E$4=""),"",IF(每月预算!$B$29="雪崩法",计算_雪崩!S33,计算_雪球!S33))</f>
        <v>1350</v>
      </c>
      <c r="F14" s="43" t="n">
        <f aca="false">IF(OR($A14="",F$4=""),"",IF(每月预算!$B$29="雪崩法",计算_雪崩!X33,计算_雪球!X33))</f>
        <v>1900</v>
      </c>
      <c r="G14" s="43" t="str">
        <f aca="false">IF(OR($A14="",G$4=""),"",IF(每月预算!$B$29="雪崩法",计算_雪崩!AC33,计算_雪球!AC33))</f>
        <v/>
      </c>
      <c r="H14" s="43" t="str">
        <f aca="false">IF(OR($A14="",H$4=""),"",IF(每月预算!$B$29="雪崩法",计算_雪崩!AH33,计算_雪球!AH33))</f>
        <v/>
      </c>
      <c r="I14" s="43" t="str">
        <f aca="false">IF(OR($A14="",I$4=""),"",IF(每月预算!$B$29="雪崩法",计算_雪崩!AM33,计算_雪球!AM33))</f>
        <v/>
      </c>
      <c r="J14" s="43" t="str">
        <f aca="false">IF(OR($A14="",J$4=""),"",IF(每月预算!$B$29="雪崩法",计算_雪崩!AR33,计算_雪球!AR33))</f>
        <v/>
      </c>
      <c r="K14" s="43" t="str">
        <f aca="false">IF(OR($A14="",K$4=""),"",IF(每月预算!$B$29="雪崩法",计算_雪崩!AW33,计算_雪球!AW33))</f>
        <v/>
      </c>
      <c r="L14" s="43" t="str">
        <f aca="false">IF(OR($A14="",L$4=""),"",IF(每月预算!$B$29="雪崩法",计算_雪崩!BB33,计算_雪球!BB33))</f>
        <v/>
      </c>
      <c r="M14" s="43" t="n">
        <f aca="false">IF($A14="","",IF(每月预算!$B$29="雪崩法",计算_雪崩!BC33,计算_雪球!BC33))</f>
        <v>5822</v>
      </c>
      <c r="N14" s="43" t="str">
        <f aca="false">IF($A14="","",IF(每月预算!$B$29="雪崩法",计算_雪崩!BE33,计算_雪球!BE33))</f>
        <v>亲友借款（老王）</v>
      </c>
      <c r="O14" s="43" t="n">
        <f aca="false">IF($A14="","",IF(每月预算!$B$29="雪崩法",计算_雪崩!BD33,计算_雪球!BD33))</f>
        <v>46198.24</v>
      </c>
    </row>
    <row r="15" customFormat="false" ht="15" hidden="false" customHeight="false" outlineLevel="0" collapsed="false">
      <c r="A15" s="24" t="n">
        <f aca="false">IF(11&lt;=$R$2,11,"")</f>
        <v>11</v>
      </c>
      <c r="B15" s="42" t="n">
        <f aca="false">IF($A15="","",计算_雪球!B34)</f>
        <v>46631</v>
      </c>
      <c r="C15" s="43" t="n">
        <f aca="false">IF(OR($A15="",C$4=""),"",IF(每月预算!$B$29="雪崩法",计算_雪崩!I34,计算_雪球!I34))</f>
        <v>0</v>
      </c>
      <c r="D15" s="43" t="n">
        <f aca="false">IF(OR($A15="",D$4=""),"",IF(每月预算!$B$29="雪崩法",计算_雪崩!N34,计算_雪球!N34))</f>
        <v>2572</v>
      </c>
      <c r="E15" s="43" t="n">
        <f aca="false">IF(OR($A15="",E$4=""),"",IF(每月预算!$B$29="雪崩法",计算_雪崩!S34,计算_雪球!S34))</f>
        <v>1350</v>
      </c>
      <c r="F15" s="43" t="n">
        <f aca="false">IF(OR($A15="",F$4=""),"",IF(每月预算!$B$29="雪崩法",计算_雪崩!X34,计算_雪球!X34))</f>
        <v>1900</v>
      </c>
      <c r="G15" s="43" t="str">
        <f aca="false">IF(OR($A15="",G$4=""),"",IF(每月预算!$B$29="雪崩法",计算_雪崩!AC34,计算_雪球!AC34))</f>
        <v/>
      </c>
      <c r="H15" s="43" t="str">
        <f aca="false">IF(OR($A15="",H$4=""),"",IF(每月预算!$B$29="雪崩法",计算_雪崩!AH34,计算_雪球!AH34))</f>
        <v/>
      </c>
      <c r="I15" s="43" t="str">
        <f aca="false">IF(OR($A15="",I$4=""),"",IF(每月预算!$B$29="雪崩法",计算_雪崩!AM34,计算_雪球!AM34))</f>
        <v/>
      </c>
      <c r="J15" s="43" t="str">
        <f aca="false">IF(OR($A15="",J$4=""),"",IF(每月预算!$B$29="雪崩法",计算_雪崩!AR34,计算_雪球!AR34))</f>
        <v/>
      </c>
      <c r="K15" s="43" t="str">
        <f aca="false">IF(OR($A15="",K$4=""),"",IF(每月预算!$B$29="雪崩法",计算_雪崩!AW34,计算_雪球!AW34))</f>
        <v/>
      </c>
      <c r="L15" s="43" t="str">
        <f aca="false">IF(OR($A15="",L$4=""),"",IF(每月预算!$B$29="雪崩法",计算_雪崩!BB34,计算_雪球!BB34))</f>
        <v/>
      </c>
      <c r="M15" s="43" t="n">
        <f aca="false">IF($A15="","",IF(每月预算!$B$29="雪崩法",计算_雪崩!BC34,计算_雪球!BC34))</f>
        <v>5822</v>
      </c>
      <c r="N15" s="43" t="str">
        <f aca="false">IF($A15="","",IF(每月预算!$B$29="雪崩法",计算_雪崩!BE34,计算_雪球!BE34))</f>
        <v>亲友借款（老王）</v>
      </c>
      <c r="O15" s="43" t="n">
        <f aca="false">IF($A15="","",IF(每月预算!$B$29="雪崩法",计算_雪崩!BD34,计算_雪球!BD34))</f>
        <v>41046.57</v>
      </c>
    </row>
    <row r="16" customFormat="false" ht="15" hidden="false" customHeight="false" outlineLevel="0" collapsed="false">
      <c r="A16" s="24" t="n">
        <f aca="false">IF(12&lt;=$R$2,12,"")</f>
        <v>12</v>
      </c>
      <c r="B16" s="42" t="n">
        <f aca="false">IF($A16="","",计算_雪球!B35)</f>
        <v>46661</v>
      </c>
      <c r="C16" s="43" t="n">
        <f aca="false">IF(OR($A16="",C$4=""),"",IF(每月预算!$B$29="雪崩法",计算_雪崩!I35,计算_雪球!I35))</f>
        <v>0</v>
      </c>
      <c r="D16" s="43" t="n">
        <f aca="false">IF(OR($A16="",D$4=""),"",IF(每月预算!$B$29="雪崩法",计算_雪崩!N35,计算_雪球!N35))</f>
        <v>2572</v>
      </c>
      <c r="E16" s="43" t="n">
        <f aca="false">IF(OR($A16="",E$4=""),"",IF(每月预算!$B$29="雪崩法",计算_雪崩!S35,计算_雪球!S35))</f>
        <v>1350</v>
      </c>
      <c r="F16" s="43" t="n">
        <f aca="false">IF(OR($A16="",F$4=""),"",IF(每月预算!$B$29="雪崩法",计算_雪崩!X35,计算_雪球!X35))</f>
        <v>1900</v>
      </c>
      <c r="G16" s="43" t="str">
        <f aca="false">IF(OR($A16="",G$4=""),"",IF(每月预算!$B$29="雪崩法",计算_雪崩!AC35,计算_雪球!AC35))</f>
        <v/>
      </c>
      <c r="H16" s="43" t="str">
        <f aca="false">IF(OR($A16="",H$4=""),"",IF(每月预算!$B$29="雪崩法",计算_雪崩!AH35,计算_雪球!AH35))</f>
        <v/>
      </c>
      <c r="I16" s="43" t="str">
        <f aca="false">IF(OR($A16="",I$4=""),"",IF(每月预算!$B$29="雪崩法",计算_雪崩!AM35,计算_雪球!AM35))</f>
        <v/>
      </c>
      <c r="J16" s="43" t="str">
        <f aca="false">IF(OR($A16="",J$4=""),"",IF(每月预算!$B$29="雪崩法",计算_雪崩!AR35,计算_雪球!AR35))</f>
        <v/>
      </c>
      <c r="K16" s="43" t="str">
        <f aca="false">IF(OR($A16="",K$4=""),"",IF(每月预算!$B$29="雪崩法",计算_雪崩!AW35,计算_雪球!AW35))</f>
        <v/>
      </c>
      <c r="L16" s="43" t="str">
        <f aca="false">IF(OR($A16="",L$4=""),"",IF(每月预算!$B$29="雪崩法",计算_雪崩!BB35,计算_雪球!BB35))</f>
        <v/>
      </c>
      <c r="M16" s="43" t="n">
        <f aca="false">IF($A16="","",IF(每月预算!$B$29="雪崩法",计算_雪崩!BC35,计算_雪球!BC35))</f>
        <v>5822</v>
      </c>
      <c r="N16" s="43" t="str">
        <f aca="false">IF($A16="","",IF(每月预算!$B$29="雪崩法",计算_雪崩!BE35,计算_雪球!BE35))</f>
        <v>亲友借款（老王）</v>
      </c>
      <c r="O16" s="43" t="n">
        <f aca="false">IF($A16="","",IF(每月预算!$B$29="雪崩法",计算_雪崩!BD35,计算_雪球!BD35))</f>
        <v>35851.03</v>
      </c>
    </row>
    <row r="17" customFormat="false" ht="15" hidden="false" customHeight="false" outlineLevel="0" collapsed="false">
      <c r="A17" s="24" t="n">
        <f aca="false">IF(13&lt;=$R$2,13,"")</f>
        <v>13</v>
      </c>
      <c r="B17" s="42" t="n">
        <f aca="false">IF($A17="","",计算_雪球!B36)</f>
        <v>46692</v>
      </c>
      <c r="C17" s="43" t="n">
        <f aca="false">IF(OR($A17="",C$4=""),"",IF(每月预算!$B$29="雪崩法",计算_雪崩!I36,计算_雪球!I36))</f>
        <v>0</v>
      </c>
      <c r="D17" s="43" t="n">
        <f aca="false">IF(OR($A17="",D$4=""),"",IF(每月预算!$B$29="雪崩法",计算_雪崩!N36,计算_雪球!N36))</f>
        <v>1596.13</v>
      </c>
      <c r="E17" s="43" t="n">
        <f aca="false">IF(OR($A17="",E$4=""),"",IF(每月预算!$B$29="雪崩法",计算_雪崩!S36,计算_雪球!S36))</f>
        <v>2325.87</v>
      </c>
      <c r="F17" s="43" t="n">
        <f aca="false">IF(OR($A17="",F$4=""),"",IF(每月预算!$B$29="雪崩法",计算_雪崩!X36,计算_雪球!X36))</f>
        <v>1900</v>
      </c>
      <c r="G17" s="43" t="str">
        <f aca="false">IF(OR($A17="",G$4=""),"",IF(每月预算!$B$29="雪崩法",计算_雪崩!AC36,计算_雪球!AC36))</f>
        <v/>
      </c>
      <c r="H17" s="43" t="str">
        <f aca="false">IF(OR($A17="",H$4=""),"",IF(每月预算!$B$29="雪崩法",计算_雪崩!AH36,计算_雪球!AH36))</f>
        <v/>
      </c>
      <c r="I17" s="43" t="str">
        <f aca="false">IF(OR($A17="",I$4=""),"",IF(每月预算!$B$29="雪崩法",计算_雪崩!AM36,计算_雪球!AM36))</f>
        <v/>
      </c>
      <c r="J17" s="43" t="str">
        <f aca="false">IF(OR($A17="",J$4=""),"",IF(每月预算!$B$29="雪崩法",计算_雪崩!AR36,计算_雪球!AR36))</f>
        <v/>
      </c>
      <c r="K17" s="43" t="str">
        <f aca="false">IF(OR($A17="",K$4=""),"",IF(每月预算!$B$29="雪崩法",计算_雪崩!AW36,计算_雪球!AW36))</f>
        <v/>
      </c>
      <c r="L17" s="43" t="str">
        <f aca="false">IF(OR($A17="",L$4=""),"",IF(每月预算!$B$29="雪崩法",计算_雪崩!BB36,计算_雪球!BB36))</f>
        <v/>
      </c>
      <c r="M17" s="43" t="n">
        <f aca="false">IF($A17="","",IF(每月预算!$B$29="雪崩法",计算_雪崩!BC36,计算_雪球!BC36))</f>
        <v>5822</v>
      </c>
      <c r="N17" s="43" t="str">
        <f aca="false">IF($A17="","",IF(每月预算!$B$29="雪崩法",计算_雪崩!BE36,计算_雪球!BE36))</f>
        <v>亲友借款（老王）</v>
      </c>
      <c r="O17" s="43" t="n">
        <f aca="false">IF($A17="","",IF(每月预算!$B$29="雪崩法",计算_雪崩!BD36,计算_雪球!BD36))</f>
        <v>30610.85</v>
      </c>
    </row>
    <row r="18" customFormat="false" ht="15" hidden="false" customHeight="false" outlineLevel="0" collapsed="false">
      <c r="A18" s="24" t="n">
        <f aca="false">IF(14&lt;=$R$2,14,"")</f>
        <v>14</v>
      </c>
      <c r="B18" s="42" t="n">
        <f aca="false">IF($A18="","",计算_雪球!B37)</f>
        <v>46722</v>
      </c>
      <c r="C18" s="43" t="n">
        <f aca="false">IF(OR($A18="",C$4=""),"",IF(每月预算!$B$29="雪崩法",计算_雪崩!I37,计算_雪球!I37))</f>
        <v>0</v>
      </c>
      <c r="D18" s="43" t="n">
        <f aca="false">IF(OR($A18="",D$4=""),"",IF(每月预算!$B$29="雪崩法",计算_雪崩!N37,计算_雪球!N37))</f>
        <v>0</v>
      </c>
      <c r="E18" s="43" t="n">
        <f aca="false">IF(OR($A18="",E$4=""),"",IF(每月预算!$B$29="雪崩法",计算_雪崩!S37,计算_雪球!S37))</f>
        <v>3922</v>
      </c>
      <c r="F18" s="43" t="n">
        <f aca="false">IF(OR($A18="",F$4=""),"",IF(每月预算!$B$29="雪崩法",计算_雪崩!X37,计算_雪球!X37))</f>
        <v>1900</v>
      </c>
      <c r="G18" s="43" t="str">
        <f aca="false">IF(OR($A18="",G$4=""),"",IF(每月预算!$B$29="雪崩法",计算_雪崩!AC37,计算_雪球!AC37))</f>
        <v/>
      </c>
      <c r="H18" s="43" t="str">
        <f aca="false">IF(OR($A18="",H$4=""),"",IF(每月预算!$B$29="雪崩法",计算_雪崩!AH37,计算_雪球!AH37))</f>
        <v/>
      </c>
      <c r="I18" s="43" t="str">
        <f aca="false">IF(OR($A18="",I$4=""),"",IF(每月预算!$B$29="雪崩法",计算_雪崩!AM37,计算_雪球!AM37))</f>
        <v/>
      </c>
      <c r="J18" s="43" t="str">
        <f aca="false">IF(OR($A18="",J$4=""),"",IF(每月预算!$B$29="雪崩法",计算_雪崩!AR37,计算_雪球!AR37))</f>
        <v/>
      </c>
      <c r="K18" s="43" t="str">
        <f aca="false">IF(OR($A18="",K$4=""),"",IF(每月预算!$B$29="雪崩法",计算_雪崩!AW37,计算_雪球!AW37))</f>
        <v/>
      </c>
      <c r="L18" s="43" t="str">
        <f aca="false">IF(OR($A18="",L$4=""),"",IF(每月预算!$B$29="雪崩法",计算_雪崩!BB37,计算_雪球!BB37))</f>
        <v/>
      </c>
      <c r="M18" s="43" t="n">
        <f aca="false">IF($A18="","",IF(每月预算!$B$29="雪崩法",计算_雪崩!BC37,计算_雪球!BC37))</f>
        <v>5822</v>
      </c>
      <c r="N18" s="43" t="str">
        <f aca="false">IF($A18="","",IF(每月预算!$B$29="雪崩法",计算_雪崩!BE37,计算_雪球!BE37))</f>
        <v>网贷X</v>
      </c>
      <c r="O18" s="43" t="n">
        <f aca="false">IF($A18="","",IF(每月预算!$B$29="雪崩法",计算_雪崩!BD37,计算_雪球!BD37))</f>
        <v>25305.75</v>
      </c>
    </row>
    <row r="19" customFormat="false" ht="15" hidden="false" customHeight="false" outlineLevel="0" collapsed="false">
      <c r="A19" s="24" t="n">
        <f aca="false">IF(15&lt;=$R$2,15,"")</f>
        <v>15</v>
      </c>
      <c r="B19" s="42" t="n">
        <f aca="false">IF($A19="","",计算_雪球!B38)</f>
        <v>46753</v>
      </c>
      <c r="C19" s="43" t="n">
        <f aca="false">IF(OR($A19="",C$4=""),"",IF(每月预算!$B$29="雪崩法",计算_雪崩!I38,计算_雪球!I38))</f>
        <v>0</v>
      </c>
      <c r="D19" s="43" t="n">
        <f aca="false">IF(OR($A19="",D$4=""),"",IF(每月预算!$B$29="雪崩法",计算_雪崩!N38,计算_雪球!N38))</f>
        <v>0</v>
      </c>
      <c r="E19" s="43" t="n">
        <f aca="false">IF(OR($A19="",E$4=""),"",IF(每月预算!$B$29="雪崩法",计算_雪崩!S38,计算_雪球!S38))</f>
        <v>3922</v>
      </c>
      <c r="F19" s="43" t="n">
        <f aca="false">IF(OR($A19="",F$4=""),"",IF(每月预算!$B$29="雪崩法",计算_雪崩!X38,计算_雪球!X38))</f>
        <v>1900</v>
      </c>
      <c r="G19" s="43" t="str">
        <f aca="false">IF(OR($A19="",G$4=""),"",IF(每月预算!$B$29="雪崩法",计算_雪崩!AC38,计算_雪球!AC38))</f>
        <v/>
      </c>
      <c r="H19" s="43" t="str">
        <f aca="false">IF(OR($A19="",H$4=""),"",IF(每月预算!$B$29="雪崩法",计算_雪崩!AH38,计算_雪球!AH38))</f>
        <v/>
      </c>
      <c r="I19" s="43" t="str">
        <f aca="false">IF(OR($A19="",I$4=""),"",IF(每月预算!$B$29="雪崩法",计算_雪崩!AM38,计算_雪球!AM38))</f>
        <v/>
      </c>
      <c r="J19" s="43" t="str">
        <f aca="false">IF(OR($A19="",J$4=""),"",IF(每月预算!$B$29="雪崩法",计算_雪崩!AR38,计算_雪球!AR38))</f>
        <v/>
      </c>
      <c r="K19" s="43" t="str">
        <f aca="false">IF(OR($A19="",K$4=""),"",IF(每月预算!$B$29="雪崩法",计算_雪崩!AW38,计算_雪球!AW38))</f>
        <v/>
      </c>
      <c r="L19" s="43" t="str">
        <f aca="false">IF(OR($A19="",L$4=""),"",IF(每月预算!$B$29="雪崩法",计算_雪崩!BB38,计算_雪球!BB38))</f>
        <v/>
      </c>
      <c r="M19" s="43" t="n">
        <f aca="false">IF($A19="","",IF(每月预算!$B$29="雪崩法",计算_雪崩!BC38,计算_雪球!BC38))</f>
        <v>5822</v>
      </c>
      <c r="N19" s="43" t="str">
        <f aca="false">IF($A19="","",IF(每月预算!$B$29="雪崩法",计算_雪崩!BE38,计算_雪球!BE38))</f>
        <v>网贷X</v>
      </c>
      <c r="O19" s="43" t="n">
        <f aca="false">IF($A19="","",IF(每月预算!$B$29="雪崩法",计算_雪崩!BD38,计算_雪球!BD38))</f>
        <v>19902.62</v>
      </c>
    </row>
    <row r="20" customFormat="false" ht="15" hidden="false" customHeight="false" outlineLevel="0" collapsed="false">
      <c r="A20" s="24" t="n">
        <f aca="false">IF(16&lt;=$R$2,16,"")</f>
        <v>16</v>
      </c>
      <c r="B20" s="42" t="n">
        <f aca="false">IF($A20="","",计算_雪球!B39)</f>
        <v>46784</v>
      </c>
      <c r="C20" s="43" t="n">
        <f aca="false">IF(OR($A20="",C$4=""),"",IF(每月预算!$B$29="雪崩法",计算_雪崩!I39,计算_雪球!I39))</f>
        <v>0</v>
      </c>
      <c r="D20" s="43" t="n">
        <f aca="false">IF(OR($A20="",D$4=""),"",IF(每月预算!$B$29="雪崩法",计算_雪崩!N39,计算_雪球!N39))</f>
        <v>0</v>
      </c>
      <c r="E20" s="43" t="n">
        <f aca="false">IF(OR($A20="",E$4=""),"",IF(每月预算!$B$29="雪崩法",计算_雪崩!S39,计算_雪球!S39))</f>
        <v>3922</v>
      </c>
      <c r="F20" s="43" t="n">
        <f aca="false">IF(OR($A20="",F$4=""),"",IF(每月预算!$B$29="雪崩法",计算_雪崩!X39,计算_雪球!X39))</f>
        <v>1900</v>
      </c>
      <c r="G20" s="43" t="str">
        <f aca="false">IF(OR($A20="",G$4=""),"",IF(每月预算!$B$29="雪崩法",计算_雪崩!AC39,计算_雪球!AC39))</f>
        <v/>
      </c>
      <c r="H20" s="43" t="str">
        <f aca="false">IF(OR($A20="",H$4=""),"",IF(每月预算!$B$29="雪崩法",计算_雪崩!AH39,计算_雪球!AH39))</f>
        <v/>
      </c>
      <c r="I20" s="43" t="str">
        <f aca="false">IF(OR($A20="",I$4=""),"",IF(每月预算!$B$29="雪崩法",计算_雪崩!AM39,计算_雪球!AM39))</f>
        <v/>
      </c>
      <c r="J20" s="43" t="str">
        <f aca="false">IF(OR($A20="",J$4=""),"",IF(每月预算!$B$29="雪崩法",计算_雪崩!AR39,计算_雪球!AR39))</f>
        <v/>
      </c>
      <c r="K20" s="43" t="str">
        <f aca="false">IF(OR($A20="",K$4=""),"",IF(每月预算!$B$29="雪崩法",计算_雪崩!AW39,计算_雪球!AW39))</f>
        <v/>
      </c>
      <c r="L20" s="43" t="str">
        <f aca="false">IF(OR($A20="",L$4=""),"",IF(每月预算!$B$29="雪崩法",计算_雪崩!BB39,计算_雪球!BB39))</f>
        <v/>
      </c>
      <c r="M20" s="43" t="n">
        <f aca="false">IF($A20="","",IF(每月预算!$B$29="雪崩法",计算_雪崩!BC39,计算_雪球!BC39))</f>
        <v>5822</v>
      </c>
      <c r="N20" s="43" t="str">
        <f aca="false">IF($A20="","",IF(每月预算!$B$29="雪崩法",计算_雪崩!BE39,计算_雪球!BE39))</f>
        <v>网贷X</v>
      </c>
      <c r="O20" s="43" t="n">
        <f aca="false">IF($A20="","",IF(每月预算!$B$29="雪崩法",计算_雪崩!BD39,计算_雪球!BD39))</f>
        <v>14399.61</v>
      </c>
    </row>
    <row r="21" customFormat="false" ht="15" hidden="false" customHeight="false" outlineLevel="0" collapsed="false">
      <c r="A21" s="24" t="n">
        <f aca="false">IF(17&lt;=$R$2,17,"")</f>
        <v>17</v>
      </c>
      <c r="B21" s="42" t="n">
        <f aca="false">IF($A21="","",计算_雪球!B40)</f>
        <v>46813</v>
      </c>
      <c r="C21" s="43" t="n">
        <f aca="false">IF(OR($A21="",C$4=""),"",IF(每月预算!$B$29="雪崩法",计算_雪崩!I40,计算_雪球!I40))</f>
        <v>0</v>
      </c>
      <c r="D21" s="43" t="n">
        <f aca="false">IF(OR($A21="",D$4=""),"",IF(每月预算!$B$29="雪崩法",计算_雪崩!N40,计算_雪球!N40))</f>
        <v>0</v>
      </c>
      <c r="E21" s="43" t="n">
        <f aca="false">IF(OR($A21="",E$4=""),"",IF(每月预算!$B$29="雪崩法",计算_雪崩!S40,计算_雪球!S40))</f>
        <v>254.64</v>
      </c>
      <c r="F21" s="43" t="n">
        <f aca="false">IF(OR($A21="",F$4=""),"",IF(每月预算!$B$29="雪崩法",计算_雪崩!X40,计算_雪球!X40))</f>
        <v>5567.36</v>
      </c>
      <c r="G21" s="43" t="str">
        <f aca="false">IF(OR($A21="",G$4=""),"",IF(每月预算!$B$29="雪崩法",计算_雪崩!AC40,计算_雪球!AC40))</f>
        <v/>
      </c>
      <c r="H21" s="43" t="str">
        <f aca="false">IF(OR($A21="",H$4=""),"",IF(每月预算!$B$29="雪崩法",计算_雪崩!AH40,计算_雪球!AH40))</f>
        <v/>
      </c>
      <c r="I21" s="43" t="str">
        <f aca="false">IF(OR($A21="",I$4=""),"",IF(每月预算!$B$29="雪崩法",计算_雪崩!AM40,计算_雪球!AM40))</f>
        <v/>
      </c>
      <c r="J21" s="43" t="str">
        <f aca="false">IF(OR($A21="",J$4=""),"",IF(每月预算!$B$29="雪崩法",计算_雪崩!AR40,计算_雪球!AR40))</f>
        <v/>
      </c>
      <c r="K21" s="43" t="str">
        <f aca="false">IF(OR($A21="",K$4=""),"",IF(每月预算!$B$29="雪崩法",计算_雪崩!AW40,计算_雪球!AW40))</f>
        <v/>
      </c>
      <c r="L21" s="43" t="str">
        <f aca="false">IF(OR($A21="",L$4=""),"",IF(每月预算!$B$29="雪崩法",计算_雪崩!BB40,计算_雪球!BB40))</f>
        <v/>
      </c>
      <c r="M21" s="43" t="n">
        <f aca="false">IF($A21="","",IF(每月预算!$B$29="雪崩法",计算_雪崩!BC40,计算_雪球!BC40))</f>
        <v>5822</v>
      </c>
      <c r="N21" s="43" t="str">
        <f aca="false">IF($A21="","",IF(每月预算!$B$29="雪崩法",计算_雪崩!BE40,计算_雪球!BE40))</f>
        <v>信用卡A</v>
      </c>
      <c r="O21" s="43" t="n">
        <f aca="false">IF($A21="","",IF(每月预算!$B$29="雪崩法",计算_雪崩!BD40,计算_雪球!BD40))</f>
        <v>8794.85</v>
      </c>
    </row>
    <row r="22" customFormat="false" ht="15" hidden="false" customHeight="false" outlineLevel="0" collapsed="false">
      <c r="A22" s="24" t="n">
        <f aca="false">IF(18&lt;=$R$2,18,"")</f>
        <v>18</v>
      </c>
      <c r="B22" s="42" t="n">
        <f aca="false">IF($A22="","",计算_雪球!B41)</f>
        <v>46844</v>
      </c>
      <c r="C22" s="43" t="n">
        <f aca="false">IF(OR($A22="",C$4=""),"",IF(每月预算!$B$29="雪崩法",计算_雪崩!I41,计算_雪球!I41))</f>
        <v>0</v>
      </c>
      <c r="D22" s="43" t="n">
        <f aca="false">IF(OR($A22="",D$4=""),"",IF(每月预算!$B$29="雪崩法",计算_雪崩!N41,计算_雪球!N41))</f>
        <v>0</v>
      </c>
      <c r="E22" s="43" t="n">
        <f aca="false">IF(OR($A22="",E$4=""),"",IF(每月预算!$B$29="雪崩法",计算_雪崩!S41,计算_雪球!S41))</f>
        <v>0</v>
      </c>
      <c r="F22" s="43" t="n">
        <f aca="false">IF(OR($A22="",F$4=""),"",IF(每月预算!$B$29="雪崩法",计算_雪崩!X41,计算_雪球!X41))</f>
        <v>5822</v>
      </c>
      <c r="G22" s="43" t="str">
        <f aca="false">IF(OR($A22="",G$4=""),"",IF(每月预算!$B$29="雪崩法",计算_雪崩!AC41,计算_雪球!AC41))</f>
        <v/>
      </c>
      <c r="H22" s="43" t="str">
        <f aca="false">IF(OR($A22="",H$4=""),"",IF(每月预算!$B$29="雪崩法",计算_雪崩!AH41,计算_雪球!AH41))</f>
        <v/>
      </c>
      <c r="I22" s="43" t="str">
        <f aca="false">IF(OR($A22="",I$4=""),"",IF(每月预算!$B$29="雪崩法",计算_雪崩!AM41,计算_雪球!AM41))</f>
        <v/>
      </c>
      <c r="J22" s="43" t="str">
        <f aca="false">IF(OR($A22="",J$4=""),"",IF(每月预算!$B$29="雪崩法",计算_雪崩!AR41,计算_雪球!AR41))</f>
        <v/>
      </c>
      <c r="K22" s="43" t="str">
        <f aca="false">IF(OR($A22="",K$4=""),"",IF(每月预算!$B$29="雪崩法",计算_雪崩!AW41,计算_雪球!AW41))</f>
        <v/>
      </c>
      <c r="L22" s="43" t="str">
        <f aca="false">IF(OR($A22="",L$4=""),"",IF(每月预算!$B$29="雪崩法",计算_雪崩!BB41,计算_雪球!BB41))</f>
        <v/>
      </c>
      <c r="M22" s="43" t="n">
        <f aca="false">IF($A22="","",IF(每月预算!$B$29="雪崩法",计算_雪崩!BC41,计算_雪球!BC41))</f>
        <v>5822</v>
      </c>
      <c r="N22" s="43" t="str">
        <f aca="false">IF($A22="","",IF(每月预算!$B$29="雪崩法",计算_雪崩!BE41,计算_雪球!BE41))</f>
        <v>信用卡A</v>
      </c>
      <c r="O22" s="43" t="n">
        <f aca="false">IF($A22="","",IF(每月预算!$B$29="雪崩法",计算_雪崩!BD41,计算_雪球!BD41))</f>
        <v>3104.77</v>
      </c>
    </row>
    <row r="23" customFormat="false" ht="15" hidden="false" customHeight="false" outlineLevel="0" collapsed="false">
      <c r="A23" s="24" t="n">
        <f aca="false">IF(19&lt;=$R$2,19,"")</f>
        <v>19</v>
      </c>
      <c r="B23" s="42" t="n">
        <f aca="false">IF($A23="","",计算_雪球!B42)</f>
        <v>46874</v>
      </c>
      <c r="C23" s="43" t="n">
        <f aca="false">IF(OR($A23="",C$4=""),"",IF(每月预算!$B$29="雪崩法",计算_雪崩!I42,计算_雪球!I42))</f>
        <v>0</v>
      </c>
      <c r="D23" s="43" t="n">
        <f aca="false">IF(OR($A23="",D$4=""),"",IF(每月预算!$B$29="雪崩法",计算_雪崩!N42,计算_雪球!N42))</f>
        <v>0</v>
      </c>
      <c r="E23" s="43" t="n">
        <f aca="false">IF(OR($A23="",E$4=""),"",IF(每月预算!$B$29="雪崩法",计算_雪崩!S42,计算_雪球!S42))</f>
        <v>0</v>
      </c>
      <c r="F23" s="43" t="n">
        <f aca="false">IF(OR($A23="",F$4=""),"",IF(每月预算!$B$29="雪崩法",计算_雪崩!X42,计算_雪球!X42))</f>
        <v>3151.34</v>
      </c>
      <c r="G23" s="43" t="str">
        <f aca="false">IF(OR($A23="",G$4=""),"",IF(每月预算!$B$29="雪崩法",计算_雪崩!AC42,计算_雪球!AC42))</f>
        <v/>
      </c>
      <c r="H23" s="43" t="str">
        <f aca="false">IF(OR($A23="",H$4=""),"",IF(每月预算!$B$29="雪崩法",计算_雪崩!AH42,计算_雪球!AH42))</f>
        <v/>
      </c>
      <c r="I23" s="43" t="str">
        <f aca="false">IF(OR($A23="",I$4=""),"",IF(每月预算!$B$29="雪崩法",计算_雪崩!AM42,计算_雪球!AM42))</f>
        <v/>
      </c>
      <c r="J23" s="43" t="str">
        <f aca="false">IF(OR($A23="",J$4=""),"",IF(每月预算!$B$29="雪崩法",计算_雪崩!AR42,计算_雪球!AR42))</f>
        <v/>
      </c>
      <c r="K23" s="43" t="str">
        <f aca="false">IF(OR($A23="",K$4=""),"",IF(每月预算!$B$29="雪崩法",计算_雪崩!AW42,计算_雪球!AW42))</f>
        <v/>
      </c>
      <c r="L23" s="43" t="str">
        <f aca="false">IF(OR($A23="",L$4=""),"",IF(每月预算!$B$29="雪崩法",计算_雪崩!BB42,计算_雪球!BB42))</f>
        <v/>
      </c>
      <c r="M23" s="43" t="n">
        <f aca="false">IF($A23="","",IF(每月预算!$B$29="雪崩法",计算_雪崩!BC42,计算_雪球!BC42))</f>
        <v>3151.34</v>
      </c>
      <c r="N23" s="43" t="str">
        <f aca="false">IF($A23="","",IF(每月预算!$B$29="雪崩法",计算_雪崩!BE42,计算_雪球!BE42))</f>
        <v>信用卡A</v>
      </c>
      <c r="O23" s="43" t="n">
        <f aca="false">IF($A23="","",IF(每月预算!$B$29="雪崩法",计算_雪崩!BD42,计算_雪球!BD42))</f>
        <v>0</v>
      </c>
    </row>
    <row r="24" customFormat="false" ht="15" hidden="false" customHeight="false" outlineLevel="0" collapsed="false">
      <c r="A24" s="24" t="str">
        <f aca="false">IF(20&lt;=$R$2,20,"")</f>
        <v/>
      </c>
      <c r="B24" s="42" t="str">
        <f aca="false">IF($A24="","",计算_雪球!B43)</f>
        <v/>
      </c>
      <c r="C24" s="43" t="str">
        <f aca="false">IF(OR($A24="",C$4=""),"",IF(每月预算!$B$29="雪崩法",计算_雪崩!I43,计算_雪球!I43))</f>
        <v/>
      </c>
      <c r="D24" s="43" t="str">
        <f aca="false">IF(OR($A24="",D$4=""),"",IF(每月预算!$B$29="雪崩法",计算_雪崩!N43,计算_雪球!N43))</f>
        <v/>
      </c>
      <c r="E24" s="43" t="str">
        <f aca="false">IF(OR($A24="",E$4=""),"",IF(每月预算!$B$29="雪崩法",计算_雪崩!S43,计算_雪球!S43))</f>
        <v/>
      </c>
      <c r="F24" s="43" t="str">
        <f aca="false">IF(OR($A24="",F$4=""),"",IF(每月预算!$B$29="雪崩法",计算_雪崩!X43,计算_雪球!X43))</f>
        <v/>
      </c>
      <c r="G24" s="43" t="str">
        <f aca="false">IF(OR($A24="",G$4=""),"",IF(每月预算!$B$29="雪崩法",计算_雪崩!AC43,计算_雪球!AC43))</f>
        <v/>
      </c>
      <c r="H24" s="43" t="str">
        <f aca="false">IF(OR($A24="",H$4=""),"",IF(每月预算!$B$29="雪崩法",计算_雪崩!AH43,计算_雪球!AH43))</f>
        <v/>
      </c>
      <c r="I24" s="43" t="str">
        <f aca="false">IF(OR($A24="",I$4=""),"",IF(每月预算!$B$29="雪崩法",计算_雪崩!AM43,计算_雪球!AM43))</f>
        <v/>
      </c>
      <c r="J24" s="43" t="str">
        <f aca="false">IF(OR($A24="",J$4=""),"",IF(每月预算!$B$29="雪崩法",计算_雪崩!AR43,计算_雪球!AR43))</f>
        <v/>
      </c>
      <c r="K24" s="43" t="str">
        <f aca="false">IF(OR($A24="",K$4=""),"",IF(每月预算!$B$29="雪崩法",计算_雪崩!AW43,计算_雪球!AW43))</f>
        <v/>
      </c>
      <c r="L24" s="43" t="str">
        <f aca="false">IF(OR($A24="",L$4=""),"",IF(每月预算!$B$29="雪崩法",计算_雪崩!BB43,计算_雪球!BB43))</f>
        <v/>
      </c>
      <c r="M24" s="43" t="str">
        <f aca="false">IF($A24="","",IF(每月预算!$B$29="雪崩法",计算_雪崩!BC43,计算_雪球!BC43))</f>
        <v/>
      </c>
      <c r="N24" s="43" t="str">
        <f aca="false">IF($A24="","",IF(每月预算!$B$29="雪崩法",计算_雪崩!BE43,计算_雪球!BE43))</f>
        <v/>
      </c>
      <c r="O24" s="43" t="str">
        <f aca="false">IF($A24="","",IF(每月预算!$B$29="雪崩法",计算_雪崩!BD43,计算_雪球!BD43))</f>
        <v/>
      </c>
    </row>
    <row r="25" customFormat="false" ht="15" hidden="false" customHeight="false" outlineLevel="0" collapsed="false">
      <c r="A25" s="24" t="str">
        <f aca="false">IF(21&lt;=$R$2,21,"")</f>
        <v/>
      </c>
      <c r="B25" s="42" t="str">
        <f aca="false">IF($A25="","",计算_雪球!B44)</f>
        <v/>
      </c>
      <c r="C25" s="43" t="str">
        <f aca="false">IF(OR($A25="",C$4=""),"",IF(每月预算!$B$29="雪崩法",计算_雪崩!I44,计算_雪球!I44))</f>
        <v/>
      </c>
      <c r="D25" s="43" t="str">
        <f aca="false">IF(OR($A25="",D$4=""),"",IF(每月预算!$B$29="雪崩法",计算_雪崩!N44,计算_雪球!N44))</f>
        <v/>
      </c>
      <c r="E25" s="43" t="str">
        <f aca="false">IF(OR($A25="",E$4=""),"",IF(每月预算!$B$29="雪崩法",计算_雪崩!S44,计算_雪球!S44))</f>
        <v/>
      </c>
      <c r="F25" s="43" t="str">
        <f aca="false">IF(OR($A25="",F$4=""),"",IF(每月预算!$B$29="雪崩法",计算_雪崩!X44,计算_雪球!X44))</f>
        <v/>
      </c>
      <c r="G25" s="43" t="str">
        <f aca="false">IF(OR($A25="",G$4=""),"",IF(每月预算!$B$29="雪崩法",计算_雪崩!AC44,计算_雪球!AC44))</f>
        <v/>
      </c>
      <c r="H25" s="43" t="str">
        <f aca="false">IF(OR($A25="",H$4=""),"",IF(每月预算!$B$29="雪崩法",计算_雪崩!AH44,计算_雪球!AH44))</f>
        <v/>
      </c>
      <c r="I25" s="43" t="str">
        <f aca="false">IF(OR($A25="",I$4=""),"",IF(每月预算!$B$29="雪崩法",计算_雪崩!AM44,计算_雪球!AM44))</f>
        <v/>
      </c>
      <c r="J25" s="43" t="str">
        <f aca="false">IF(OR($A25="",J$4=""),"",IF(每月预算!$B$29="雪崩法",计算_雪崩!AR44,计算_雪球!AR44))</f>
        <v/>
      </c>
      <c r="K25" s="43" t="str">
        <f aca="false">IF(OR($A25="",K$4=""),"",IF(每月预算!$B$29="雪崩法",计算_雪崩!AW44,计算_雪球!AW44))</f>
        <v/>
      </c>
      <c r="L25" s="43" t="str">
        <f aca="false">IF(OR($A25="",L$4=""),"",IF(每月预算!$B$29="雪崩法",计算_雪崩!BB44,计算_雪球!BB44))</f>
        <v/>
      </c>
      <c r="M25" s="43" t="str">
        <f aca="false">IF($A25="","",IF(每月预算!$B$29="雪崩法",计算_雪崩!BC44,计算_雪球!BC44))</f>
        <v/>
      </c>
      <c r="N25" s="43" t="str">
        <f aca="false">IF($A25="","",IF(每月预算!$B$29="雪崩法",计算_雪崩!BE44,计算_雪球!BE44))</f>
        <v/>
      </c>
      <c r="O25" s="43" t="str">
        <f aca="false">IF($A25="","",IF(每月预算!$B$29="雪崩法",计算_雪崩!BD44,计算_雪球!BD44))</f>
        <v/>
      </c>
    </row>
    <row r="26" customFormat="false" ht="15" hidden="false" customHeight="false" outlineLevel="0" collapsed="false">
      <c r="A26" s="24" t="str">
        <f aca="false">IF(22&lt;=$R$2,22,"")</f>
        <v/>
      </c>
      <c r="B26" s="42" t="str">
        <f aca="false">IF($A26="","",计算_雪球!B45)</f>
        <v/>
      </c>
      <c r="C26" s="43" t="str">
        <f aca="false">IF(OR($A26="",C$4=""),"",IF(每月预算!$B$29="雪崩法",计算_雪崩!I45,计算_雪球!I45))</f>
        <v/>
      </c>
      <c r="D26" s="43" t="str">
        <f aca="false">IF(OR($A26="",D$4=""),"",IF(每月预算!$B$29="雪崩法",计算_雪崩!N45,计算_雪球!N45))</f>
        <v/>
      </c>
      <c r="E26" s="43" t="str">
        <f aca="false">IF(OR($A26="",E$4=""),"",IF(每月预算!$B$29="雪崩法",计算_雪崩!S45,计算_雪球!S45))</f>
        <v/>
      </c>
      <c r="F26" s="43" t="str">
        <f aca="false">IF(OR($A26="",F$4=""),"",IF(每月预算!$B$29="雪崩法",计算_雪崩!X45,计算_雪球!X45))</f>
        <v/>
      </c>
      <c r="G26" s="43" t="str">
        <f aca="false">IF(OR($A26="",G$4=""),"",IF(每月预算!$B$29="雪崩法",计算_雪崩!AC45,计算_雪球!AC45))</f>
        <v/>
      </c>
      <c r="H26" s="43" t="str">
        <f aca="false">IF(OR($A26="",H$4=""),"",IF(每月预算!$B$29="雪崩法",计算_雪崩!AH45,计算_雪球!AH45))</f>
        <v/>
      </c>
      <c r="I26" s="43" t="str">
        <f aca="false">IF(OR($A26="",I$4=""),"",IF(每月预算!$B$29="雪崩法",计算_雪崩!AM45,计算_雪球!AM45))</f>
        <v/>
      </c>
      <c r="J26" s="43" t="str">
        <f aca="false">IF(OR($A26="",J$4=""),"",IF(每月预算!$B$29="雪崩法",计算_雪崩!AR45,计算_雪球!AR45))</f>
        <v/>
      </c>
      <c r="K26" s="43" t="str">
        <f aca="false">IF(OR($A26="",K$4=""),"",IF(每月预算!$B$29="雪崩法",计算_雪崩!AW45,计算_雪球!AW45))</f>
        <v/>
      </c>
      <c r="L26" s="43" t="str">
        <f aca="false">IF(OR($A26="",L$4=""),"",IF(每月预算!$B$29="雪崩法",计算_雪崩!BB45,计算_雪球!BB45))</f>
        <v/>
      </c>
      <c r="M26" s="43" t="str">
        <f aca="false">IF($A26="","",IF(每月预算!$B$29="雪崩法",计算_雪崩!BC45,计算_雪球!BC45))</f>
        <v/>
      </c>
      <c r="N26" s="43" t="str">
        <f aca="false">IF($A26="","",IF(每月预算!$B$29="雪崩法",计算_雪崩!BE45,计算_雪球!BE45))</f>
        <v/>
      </c>
      <c r="O26" s="43" t="str">
        <f aca="false">IF($A26="","",IF(每月预算!$B$29="雪崩法",计算_雪崩!BD45,计算_雪球!BD45))</f>
        <v/>
      </c>
    </row>
    <row r="27" customFormat="false" ht="15" hidden="false" customHeight="false" outlineLevel="0" collapsed="false">
      <c r="A27" s="24" t="str">
        <f aca="false">IF(23&lt;=$R$2,23,"")</f>
        <v/>
      </c>
      <c r="B27" s="42" t="str">
        <f aca="false">IF($A27="","",计算_雪球!B46)</f>
        <v/>
      </c>
      <c r="C27" s="43" t="str">
        <f aca="false">IF(OR($A27="",C$4=""),"",IF(每月预算!$B$29="雪崩法",计算_雪崩!I46,计算_雪球!I46))</f>
        <v/>
      </c>
      <c r="D27" s="43" t="str">
        <f aca="false">IF(OR($A27="",D$4=""),"",IF(每月预算!$B$29="雪崩法",计算_雪崩!N46,计算_雪球!N46))</f>
        <v/>
      </c>
      <c r="E27" s="43" t="str">
        <f aca="false">IF(OR($A27="",E$4=""),"",IF(每月预算!$B$29="雪崩法",计算_雪崩!S46,计算_雪球!S46))</f>
        <v/>
      </c>
      <c r="F27" s="43" t="str">
        <f aca="false">IF(OR($A27="",F$4=""),"",IF(每月预算!$B$29="雪崩法",计算_雪崩!X46,计算_雪球!X46))</f>
        <v/>
      </c>
      <c r="G27" s="43" t="str">
        <f aca="false">IF(OR($A27="",G$4=""),"",IF(每月预算!$B$29="雪崩法",计算_雪崩!AC46,计算_雪球!AC46))</f>
        <v/>
      </c>
      <c r="H27" s="43" t="str">
        <f aca="false">IF(OR($A27="",H$4=""),"",IF(每月预算!$B$29="雪崩法",计算_雪崩!AH46,计算_雪球!AH46))</f>
        <v/>
      </c>
      <c r="I27" s="43" t="str">
        <f aca="false">IF(OR($A27="",I$4=""),"",IF(每月预算!$B$29="雪崩法",计算_雪崩!AM46,计算_雪球!AM46))</f>
        <v/>
      </c>
      <c r="J27" s="43" t="str">
        <f aca="false">IF(OR($A27="",J$4=""),"",IF(每月预算!$B$29="雪崩法",计算_雪崩!AR46,计算_雪球!AR46))</f>
        <v/>
      </c>
      <c r="K27" s="43" t="str">
        <f aca="false">IF(OR($A27="",K$4=""),"",IF(每月预算!$B$29="雪崩法",计算_雪崩!AW46,计算_雪球!AW46))</f>
        <v/>
      </c>
      <c r="L27" s="43" t="str">
        <f aca="false">IF(OR($A27="",L$4=""),"",IF(每月预算!$B$29="雪崩法",计算_雪崩!BB46,计算_雪球!BB46))</f>
        <v/>
      </c>
      <c r="M27" s="43" t="str">
        <f aca="false">IF($A27="","",IF(每月预算!$B$29="雪崩法",计算_雪崩!BC46,计算_雪球!BC46))</f>
        <v/>
      </c>
      <c r="N27" s="43" t="str">
        <f aca="false">IF($A27="","",IF(每月预算!$B$29="雪崩法",计算_雪崩!BE46,计算_雪球!BE46))</f>
        <v/>
      </c>
      <c r="O27" s="43" t="str">
        <f aca="false">IF($A27="","",IF(每月预算!$B$29="雪崩法",计算_雪崩!BD46,计算_雪球!BD46))</f>
        <v/>
      </c>
    </row>
    <row r="28" customFormat="false" ht="15" hidden="false" customHeight="false" outlineLevel="0" collapsed="false">
      <c r="A28" s="24" t="str">
        <f aca="false">IF(24&lt;=$R$2,24,"")</f>
        <v/>
      </c>
      <c r="B28" s="42" t="str">
        <f aca="false">IF($A28="","",计算_雪球!B47)</f>
        <v/>
      </c>
      <c r="C28" s="43" t="str">
        <f aca="false">IF(OR($A28="",C$4=""),"",IF(每月预算!$B$29="雪崩法",计算_雪崩!I47,计算_雪球!I47))</f>
        <v/>
      </c>
      <c r="D28" s="43" t="str">
        <f aca="false">IF(OR($A28="",D$4=""),"",IF(每月预算!$B$29="雪崩法",计算_雪崩!N47,计算_雪球!N47))</f>
        <v/>
      </c>
      <c r="E28" s="43" t="str">
        <f aca="false">IF(OR($A28="",E$4=""),"",IF(每月预算!$B$29="雪崩法",计算_雪崩!S47,计算_雪球!S47))</f>
        <v/>
      </c>
      <c r="F28" s="43" t="str">
        <f aca="false">IF(OR($A28="",F$4=""),"",IF(每月预算!$B$29="雪崩法",计算_雪崩!X47,计算_雪球!X47))</f>
        <v/>
      </c>
      <c r="G28" s="43" t="str">
        <f aca="false">IF(OR($A28="",G$4=""),"",IF(每月预算!$B$29="雪崩法",计算_雪崩!AC47,计算_雪球!AC47))</f>
        <v/>
      </c>
      <c r="H28" s="43" t="str">
        <f aca="false">IF(OR($A28="",H$4=""),"",IF(每月预算!$B$29="雪崩法",计算_雪崩!AH47,计算_雪球!AH47))</f>
        <v/>
      </c>
      <c r="I28" s="43" t="str">
        <f aca="false">IF(OR($A28="",I$4=""),"",IF(每月预算!$B$29="雪崩法",计算_雪崩!AM47,计算_雪球!AM47))</f>
        <v/>
      </c>
      <c r="J28" s="43" t="str">
        <f aca="false">IF(OR($A28="",J$4=""),"",IF(每月预算!$B$29="雪崩法",计算_雪崩!AR47,计算_雪球!AR47))</f>
        <v/>
      </c>
      <c r="K28" s="43" t="str">
        <f aca="false">IF(OR($A28="",K$4=""),"",IF(每月预算!$B$29="雪崩法",计算_雪崩!AW47,计算_雪球!AW47))</f>
        <v/>
      </c>
      <c r="L28" s="43" t="str">
        <f aca="false">IF(OR($A28="",L$4=""),"",IF(每月预算!$B$29="雪崩法",计算_雪崩!BB47,计算_雪球!BB47))</f>
        <v/>
      </c>
      <c r="M28" s="43" t="str">
        <f aca="false">IF($A28="","",IF(每月预算!$B$29="雪崩法",计算_雪崩!BC47,计算_雪球!BC47))</f>
        <v/>
      </c>
      <c r="N28" s="43" t="str">
        <f aca="false">IF($A28="","",IF(每月预算!$B$29="雪崩法",计算_雪崩!BE47,计算_雪球!BE47))</f>
        <v/>
      </c>
      <c r="O28" s="43" t="str">
        <f aca="false">IF($A28="","",IF(每月预算!$B$29="雪崩法",计算_雪崩!BD47,计算_雪球!BD47))</f>
        <v/>
      </c>
    </row>
    <row r="29" customFormat="false" ht="15" hidden="false" customHeight="false" outlineLevel="0" collapsed="false">
      <c r="A29" s="24" t="str">
        <f aca="false">IF(25&lt;=$R$2,25,"")</f>
        <v/>
      </c>
      <c r="B29" s="42" t="str">
        <f aca="false">IF($A29="","",计算_雪球!B48)</f>
        <v/>
      </c>
      <c r="C29" s="43" t="str">
        <f aca="false">IF(OR($A29="",C$4=""),"",IF(每月预算!$B$29="雪崩法",计算_雪崩!I48,计算_雪球!I48))</f>
        <v/>
      </c>
      <c r="D29" s="43" t="str">
        <f aca="false">IF(OR($A29="",D$4=""),"",IF(每月预算!$B$29="雪崩法",计算_雪崩!N48,计算_雪球!N48))</f>
        <v/>
      </c>
      <c r="E29" s="43" t="str">
        <f aca="false">IF(OR($A29="",E$4=""),"",IF(每月预算!$B$29="雪崩法",计算_雪崩!S48,计算_雪球!S48))</f>
        <v/>
      </c>
      <c r="F29" s="43" t="str">
        <f aca="false">IF(OR($A29="",F$4=""),"",IF(每月预算!$B$29="雪崩法",计算_雪崩!X48,计算_雪球!X48))</f>
        <v/>
      </c>
      <c r="G29" s="43" t="str">
        <f aca="false">IF(OR($A29="",G$4=""),"",IF(每月预算!$B$29="雪崩法",计算_雪崩!AC48,计算_雪球!AC48))</f>
        <v/>
      </c>
      <c r="H29" s="43" t="str">
        <f aca="false">IF(OR($A29="",H$4=""),"",IF(每月预算!$B$29="雪崩法",计算_雪崩!AH48,计算_雪球!AH48))</f>
        <v/>
      </c>
      <c r="I29" s="43" t="str">
        <f aca="false">IF(OR($A29="",I$4=""),"",IF(每月预算!$B$29="雪崩法",计算_雪崩!AM48,计算_雪球!AM48))</f>
        <v/>
      </c>
      <c r="J29" s="43" t="str">
        <f aca="false">IF(OR($A29="",J$4=""),"",IF(每月预算!$B$29="雪崩法",计算_雪崩!AR48,计算_雪球!AR48))</f>
        <v/>
      </c>
      <c r="K29" s="43" t="str">
        <f aca="false">IF(OR($A29="",K$4=""),"",IF(每月预算!$B$29="雪崩法",计算_雪崩!AW48,计算_雪球!AW48))</f>
        <v/>
      </c>
      <c r="L29" s="43" t="str">
        <f aca="false">IF(OR($A29="",L$4=""),"",IF(每月预算!$B$29="雪崩法",计算_雪崩!BB48,计算_雪球!BB48))</f>
        <v/>
      </c>
      <c r="M29" s="43" t="str">
        <f aca="false">IF($A29="","",IF(每月预算!$B$29="雪崩法",计算_雪崩!BC48,计算_雪球!BC48))</f>
        <v/>
      </c>
      <c r="N29" s="43" t="str">
        <f aca="false">IF($A29="","",IF(每月预算!$B$29="雪崩法",计算_雪崩!BE48,计算_雪球!BE48))</f>
        <v/>
      </c>
      <c r="O29" s="43" t="str">
        <f aca="false">IF($A29="","",IF(每月预算!$B$29="雪崩法",计算_雪崩!BD48,计算_雪球!BD48))</f>
        <v/>
      </c>
    </row>
    <row r="30" customFormat="false" ht="15" hidden="false" customHeight="false" outlineLevel="0" collapsed="false">
      <c r="A30" s="24" t="str">
        <f aca="false">IF(26&lt;=$R$2,26,"")</f>
        <v/>
      </c>
      <c r="B30" s="42" t="str">
        <f aca="false">IF($A30="","",计算_雪球!B49)</f>
        <v/>
      </c>
      <c r="C30" s="43" t="str">
        <f aca="false">IF(OR($A30="",C$4=""),"",IF(每月预算!$B$29="雪崩法",计算_雪崩!I49,计算_雪球!I49))</f>
        <v/>
      </c>
      <c r="D30" s="43" t="str">
        <f aca="false">IF(OR($A30="",D$4=""),"",IF(每月预算!$B$29="雪崩法",计算_雪崩!N49,计算_雪球!N49))</f>
        <v/>
      </c>
      <c r="E30" s="43" t="str">
        <f aca="false">IF(OR($A30="",E$4=""),"",IF(每月预算!$B$29="雪崩法",计算_雪崩!S49,计算_雪球!S49))</f>
        <v/>
      </c>
      <c r="F30" s="43" t="str">
        <f aca="false">IF(OR($A30="",F$4=""),"",IF(每月预算!$B$29="雪崩法",计算_雪崩!X49,计算_雪球!X49))</f>
        <v/>
      </c>
      <c r="G30" s="43" t="str">
        <f aca="false">IF(OR($A30="",G$4=""),"",IF(每月预算!$B$29="雪崩法",计算_雪崩!AC49,计算_雪球!AC49))</f>
        <v/>
      </c>
      <c r="H30" s="43" t="str">
        <f aca="false">IF(OR($A30="",H$4=""),"",IF(每月预算!$B$29="雪崩法",计算_雪崩!AH49,计算_雪球!AH49))</f>
        <v/>
      </c>
      <c r="I30" s="43" t="str">
        <f aca="false">IF(OR($A30="",I$4=""),"",IF(每月预算!$B$29="雪崩法",计算_雪崩!AM49,计算_雪球!AM49))</f>
        <v/>
      </c>
      <c r="J30" s="43" t="str">
        <f aca="false">IF(OR($A30="",J$4=""),"",IF(每月预算!$B$29="雪崩法",计算_雪崩!AR49,计算_雪球!AR49))</f>
        <v/>
      </c>
      <c r="K30" s="43" t="str">
        <f aca="false">IF(OR($A30="",K$4=""),"",IF(每月预算!$B$29="雪崩法",计算_雪崩!AW49,计算_雪球!AW49))</f>
        <v/>
      </c>
      <c r="L30" s="43" t="str">
        <f aca="false">IF(OR($A30="",L$4=""),"",IF(每月预算!$B$29="雪崩法",计算_雪崩!BB49,计算_雪球!BB49))</f>
        <v/>
      </c>
      <c r="M30" s="43" t="str">
        <f aca="false">IF($A30="","",IF(每月预算!$B$29="雪崩法",计算_雪崩!BC49,计算_雪球!BC49))</f>
        <v/>
      </c>
      <c r="N30" s="43" t="str">
        <f aca="false">IF($A30="","",IF(每月预算!$B$29="雪崩法",计算_雪崩!BE49,计算_雪球!BE49))</f>
        <v/>
      </c>
      <c r="O30" s="43" t="str">
        <f aca="false">IF($A30="","",IF(每月预算!$B$29="雪崩法",计算_雪崩!BD49,计算_雪球!BD49))</f>
        <v/>
      </c>
    </row>
    <row r="31" customFormat="false" ht="15" hidden="false" customHeight="false" outlineLevel="0" collapsed="false">
      <c r="A31" s="24" t="str">
        <f aca="false">IF(27&lt;=$R$2,27,"")</f>
        <v/>
      </c>
      <c r="B31" s="42" t="str">
        <f aca="false">IF($A31="","",计算_雪球!B50)</f>
        <v/>
      </c>
      <c r="C31" s="43" t="str">
        <f aca="false">IF(OR($A31="",C$4=""),"",IF(每月预算!$B$29="雪崩法",计算_雪崩!I50,计算_雪球!I50))</f>
        <v/>
      </c>
      <c r="D31" s="43" t="str">
        <f aca="false">IF(OR($A31="",D$4=""),"",IF(每月预算!$B$29="雪崩法",计算_雪崩!N50,计算_雪球!N50))</f>
        <v/>
      </c>
      <c r="E31" s="43" t="str">
        <f aca="false">IF(OR($A31="",E$4=""),"",IF(每月预算!$B$29="雪崩法",计算_雪崩!S50,计算_雪球!S50))</f>
        <v/>
      </c>
      <c r="F31" s="43" t="str">
        <f aca="false">IF(OR($A31="",F$4=""),"",IF(每月预算!$B$29="雪崩法",计算_雪崩!X50,计算_雪球!X50))</f>
        <v/>
      </c>
      <c r="G31" s="43" t="str">
        <f aca="false">IF(OR($A31="",G$4=""),"",IF(每月预算!$B$29="雪崩法",计算_雪崩!AC50,计算_雪球!AC50))</f>
        <v/>
      </c>
      <c r="H31" s="43" t="str">
        <f aca="false">IF(OR($A31="",H$4=""),"",IF(每月预算!$B$29="雪崩法",计算_雪崩!AH50,计算_雪球!AH50))</f>
        <v/>
      </c>
      <c r="I31" s="43" t="str">
        <f aca="false">IF(OR($A31="",I$4=""),"",IF(每月预算!$B$29="雪崩法",计算_雪崩!AM50,计算_雪球!AM50))</f>
        <v/>
      </c>
      <c r="J31" s="43" t="str">
        <f aca="false">IF(OR($A31="",J$4=""),"",IF(每月预算!$B$29="雪崩法",计算_雪崩!AR50,计算_雪球!AR50))</f>
        <v/>
      </c>
      <c r="K31" s="43" t="str">
        <f aca="false">IF(OR($A31="",K$4=""),"",IF(每月预算!$B$29="雪崩法",计算_雪崩!AW50,计算_雪球!AW50))</f>
        <v/>
      </c>
      <c r="L31" s="43" t="str">
        <f aca="false">IF(OR($A31="",L$4=""),"",IF(每月预算!$B$29="雪崩法",计算_雪崩!BB50,计算_雪球!BB50))</f>
        <v/>
      </c>
      <c r="M31" s="43" t="str">
        <f aca="false">IF($A31="","",IF(每月预算!$B$29="雪崩法",计算_雪崩!BC50,计算_雪球!BC50))</f>
        <v/>
      </c>
      <c r="N31" s="43" t="str">
        <f aca="false">IF($A31="","",IF(每月预算!$B$29="雪崩法",计算_雪崩!BE50,计算_雪球!BE50))</f>
        <v/>
      </c>
      <c r="O31" s="43" t="str">
        <f aca="false">IF($A31="","",IF(每月预算!$B$29="雪崩法",计算_雪崩!BD50,计算_雪球!BD50))</f>
        <v/>
      </c>
    </row>
    <row r="32" customFormat="false" ht="15" hidden="false" customHeight="false" outlineLevel="0" collapsed="false">
      <c r="A32" s="24" t="str">
        <f aca="false">IF(28&lt;=$R$2,28,"")</f>
        <v/>
      </c>
      <c r="B32" s="42" t="str">
        <f aca="false">IF($A32="","",计算_雪球!B51)</f>
        <v/>
      </c>
      <c r="C32" s="43" t="str">
        <f aca="false">IF(OR($A32="",C$4=""),"",IF(每月预算!$B$29="雪崩法",计算_雪崩!I51,计算_雪球!I51))</f>
        <v/>
      </c>
      <c r="D32" s="43" t="str">
        <f aca="false">IF(OR($A32="",D$4=""),"",IF(每月预算!$B$29="雪崩法",计算_雪崩!N51,计算_雪球!N51))</f>
        <v/>
      </c>
      <c r="E32" s="43" t="str">
        <f aca="false">IF(OR($A32="",E$4=""),"",IF(每月预算!$B$29="雪崩法",计算_雪崩!S51,计算_雪球!S51))</f>
        <v/>
      </c>
      <c r="F32" s="43" t="str">
        <f aca="false">IF(OR($A32="",F$4=""),"",IF(每月预算!$B$29="雪崩法",计算_雪崩!X51,计算_雪球!X51))</f>
        <v/>
      </c>
      <c r="G32" s="43" t="str">
        <f aca="false">IF(OR($A32="",G$4=""),"",IF(每月预算!$B$29="雪崩法",计算_雪崩!AC51,计算_雪球!AC51))</f>
        <v/>
      </c>
      <c r="H32" s="43" t="str">
        <f aca="false">IF(OR($A32="",H$4=""),"",IF(每月预算!$B$29="雪崩法",计算_雪崩!AH51,计算_雪球!AH51))</f>
        <v/>
      </c>
      <c r="I32" s="43" t="str">
        <f aca="false">IF(OR($A32="",I$4=""),"",IF(每月预算!$B$29="雪崩法",计算_雪崩!AM51,计算_雪球!AM51))</f>
        <v/>
      </c>
      <c r="J32" s="43" t="str">
        <f aca="false">IF(OR($A32="",J$4=""),"",IF(每月预算!$B$29="雪崩法",计算_雪崩!AR51,计算_雪球!AR51))</f>
        <v/>
      </c>
      <c r="K32" s="43" t="str">
        <f aca="false">IF(OR($A32="",K$4=""),"",IF(每月预算!$B$29="雪崩法",计算_雪崩!AW51,计算_雪球!AW51))</f>
        <v/>
      </c>
      <c r="L32" s="43" t="str">
        <f aca="false">IF(OR($A32="",L$4=""),"",IF(每月预算!$B$29="雪崩法",计算_雪崩!BB51,计算_雪球!BB51))</f>
        <v/>
      </c>
      <c r="M32" s="43" t="str">
        <f aca="false">IF($A32="","",IF(每月预算!$B$29="雪崩法",计算_雪崩!BC51,计算_雪球!BC51))</f>
        <v/>
      </c>
      <c r="N32" s="43" t="str">
        <f aca="false">IF($A32="","",IF(每月预算!$B$29="雪崩法",计算_雪崩!BE51,计算_雪球!BE51))</f>
        <v/>
      </c>
      <c r="O32" s="43" t="str">
        <f aca="false">IF($A32="","",IF(每月预算!$B$29="雪崩法",计算_雪崩!BD51,计算_雪球!BD51))</f>
        <v/>
      </c>
    </row>
    <row r="33" customFormat="false" ht="15" hidden="false" customHeight="false" outlineLevel="0" collapsed="false">
      <c r="A33" s="24" t="str">
        <f aca="false">IF(29&lt;=$R$2,29,"")</f>
        <v/>
      </c>
      <c r="B33" s="42" t="str">
        <f aca="false">IF($A33="","",计算_雪球!B52)</f>
        <v/>
      </c>
      <c r="C33" s="43" t="str">
        <f aca="false">IF(OR($A33="",C$4=""),"",IF(每月预算!$B$29="雪崩法",计算_雪崩!I52,计算_雪球!I52))</f>
        <v/>
      </c>
      <c r="D33" s="43" t="str">
        <f aca="false">IF(OR($A33="",D$4=""),"",IF(每月预算!$B$29="雪崩法",计算_雪崩!N52,计算_雪球!N52))</f>
        <v/>
      </c>
      <c r="E33" s="43" t="str">
        <f aca="false">IF(OR($A33="",E$4=""),"",IF(每月预算!$B$29="雪崩法",计算_雪崩!S52,计算_雪球!S52))</f>
        <v/>
      </c>
      <c r="F33" s="43" t="str">
        <f aca="false">IF(OR($A33="",F$4=""),"",IF(每月预算!$B$29="雪崩法",计算_雪崩!X52,计算_雪球!X52))</f>
        <v/>
      </c>
      <c r="G33" s="43" t="str">
        <f aca="false">IF(OR($A33="",G$4=""),"",IF(每月预算!$B$29="雪崩法",计算_雪崩!AC52,计算_雪球!AC52))</f>
        <v/>
      </c>
      <c r="H33" s="43" t="str">
        <f aca="false">IF(OR($A33="",H$4=""),"",IF(每月预算!$B$29="雪崩法",计算_雪崩!AH52,计算_雪球!AH52))</f>
        <v/>
      </c>
      <c r="I33" s="43" t="str">
        <f aca="false">IF(OR($A33="",I$4=""),"",IF(每月预算!$B$29="雪崩法",计算_雪崩!AM52,计算_雪球!AM52))</f>
        <v/>
      </c>
      <c r="J33" s="43" t="str">
        <f aca="false">IF(OR($A33="",J$4=""),"",IF(每月预算!$B$29="雪崩法",计算_雪崩!AR52,计算_雪球!AR52))</f>
        <v/>
      </c>
      <c r="K33" s="43" t="str">
        <f aca="false">IF(OR($A33="",K$4=""),"",IF(每月预算!$B$29="雪崩法",计算_雪崩!AW52,计算_雪球!AW52))</f>
        <v/>
      </c>
      <c r="L33" s="43" t="str">
        <f aca="false">IF(OR($A33="",L$4=""),"",IF(每月预算!$B$29="雪崩法",计算_雪崩!BB52,计算_雪球!BB52))</f>
        <v/>
      </c>
      <c r="M33" s="43" t="str">
        <f aca="false">IF($A33="","",IF(每月预算!$B$29="雪崩法",计算_雪崩!BC52,计算_雪球!BC52))</f>
        <v/>
      </c>
      <c r="N33" s="43" t="str">
        <f aca="false">IF($A33="","",IF(每月预算!$B$29="雪崩法",计算_雪崩!BE52,计算_雪球!BE52))</f>
        <v/>
      </c>
      <c r="O33" s="43" t="str">
        <f aca="false">IF($A33="","",IF(每月预算!$B$29="雪崩法",计算_雪崩!BD52,计算_雪球!BD52))</f>
        <v/>
      </c>
    </row>
    <row r="34" customFormat="false" ht="15" hidden="false" customHeight="false" outlineLevel="0" collapsed="false">
      <c r="A34" s="24" t="str">
        <f aca="false">IF(30&lt;=$R$2,30,"")</f>
        <v/>
      </c>
      <c r="B34" s="42" t="str">
        <f aca="false">IF($A34="","",计算_雪球!B53)</f>
        <v/>
      </c>
      <c r="C34" s="43" t="str">
        <f aca="false">IF(OR($A34="",C$4=""),"",IF(每月预算!$B$29="雪崩法",计算_雪崩!I53,计算_雪球!I53))</f>
        <v/>
      </c>
      <c r="D34" s="43" t="str">
        <f aca="false">IF(OR($A34="",D$4=""),"",IF(每月预算!$B$29="雪崩法",计算_雪崩!N53,计算_雪球!N53))</f>
        <v/>
      </c>
      <c r="E34" s="43" t="str">
        <f aca="false">IF(OR($A34="",E$4=""),"",IF(每月预算!$B$29="雪崩法",计算_雪崩!S53,计算_雪球!S53))</f>
        <v/>
      </c>
      <c r="F34" s="43" t="str">
        <f aca="false">IF(OR($A34="",F$4=""),"",IF(每月预算!$B$29="雪崩法",计算_雪崩!X53,计算_雪球!X53))</f>
        <v/>
      </c>
      <c r="G34" s="43" t="str">
        <f aca="false">IF(OR($A34="",G$4=""),"",IF(每月预算!$B$29="雪崩法",计算_雪崩!AC53,计算_雪球!AC53))</f>
        <v/>
      </c>
      <c r="H34" s="43" t="str">
        <f aca="false">IF(OR($A34="",H$4=""),"",IF(每月预算!$B$29="雪崩法",计算_雪崩!AH53,计算_雪球!AH53))</f>
        <v/>
      </c>
      <c r="I34" s="43" t="str">
        <f aca="false">IF(OR($A34="",I$4=""),"",IF(每月预算!$B$29="雪崩法",计算_雪崩!AM53,计算_雪球!AM53))</f>
        <v/>
      </c>
      <c r="J34" s="43" t="str">
        <f aca="false">IF(OR($A34="",J$4=""),"",IF(每月预算!$B$29="雪崩法",计算_雪崩!AR53,计算_雪球!AR53))</f>
        <v/>
      </c>
      <c r="K34" s="43" t="str">
        <f aca="false">IF(OR($A34="",K$4=""),"",IF(每月预算!$B$29="雪崩法",计算_雪崩!AW53,计算_雪球!AW53))</f>
        <v/>
      </c>
      <c r="L34" s="43" t="str">
        <f aca="false">IF(OR($A34="",L$4=""),"",IF(每月预算!$B$29="雪崩法",计算_雪崩!BB53,计算_雪球!BB53))</f>
        <v/>
      </c>
      <c r="M34" s="43" t="str">
        <f aca="false">IF($A34="","",IF(每月预算!$B$29="雪崩法",计算_雪崩!BC53,计算_雪球!BC53))</f>
        <v/>
      </c>
      <c r="N34" s="43" t="str">
        <f aca="false">IF($A34="","",IF(每月预算!$B$29="雪崩法",计算_雪崩!BE53,计算_雪球!BE53))</f>
        <v/>
      </c>
      <c r="O34" s="43" t="str">
        <f aca="false">IF($A34="","",IF(每月预算!$B$29="雪崩法",计算_雪崩!BD53,计算_雪球!BD53))</f>
        <v/>
      </c>
    </row>
    <row r="35" customFormat="false" ht="15" hidden="false" customHeight="false" outlineLevel="0" collapsed="false">
      <c r="A35" s="24" t="str">
        <f aca="false">IF(31&lt;=$R$2,31,"")</f>
        <v/>
      </c>
      <c r="B35" s="42" t="str">
        <f aca="false">IF($A35="","",计算_雪球!B54)</f>
        <v/>
      </c>
      <c r="C35" s="43" t="str">
        <f aca="false">IF(OR($A35="",C$4=""),"",IF(每月预算!$B$29="雪崩法",计算_雪崩!I54,计算_雪球!I54))</f>
        <v/>
      </c>
      <c r="D35" s="43" t="str">
        <f aca="false">IF(OR($A35="",D$4=""),"",IF(每月预算!$B$29="雪崩法",计算_雪崩!N54,计算_雪球!N54))</f>
        <v/>
      </c>
      <c r="E35" s="43" t="str">
        <f aca="false">IF(OR($A35="",E$4=""),"",IF(每月预算!$B$29="雪崩法",计算_雪崩!S54,计算_雪球!S54))</f>
        <v/>
      </c>
      <c r="F35" s="43" t="str">
        <f aca="false">IF(OR($A35="",F$4=""),"",IF(每月预算!$B$29="雪崩法",计算_雪崩!X54,计算_雪球!X54))</f>
        <v/>
      </c>
      <c r="G35" s="43" t="str">
        <f aca="false">IF(OR($A35="",G$4=""),"",IF(每月预算!$B$29="雪崩法",计算_雪崩!AC54,计算_雪球!AC54))</f>
        <v/>
      </c>
      <c r="H35" s="43" t="str">
        <f aca="false">IF(OR($A35="",H$4=""),"",IF(每月预算!$B$29="雪崩法",计算_雪崩!AH54,计算_雪球!AH54))</f>
        <v/>
      </c>
      <c r="I35" s="43" t="str">
        <f aca="false">IF(OR($A35="",I$4=""),"",IF(每月预算!$B$29="雪崩法",计算_雪崩!AM54,计算_雪球!AM54))</f>
        <v/>
      </c>
      <c r="J35" s="43" t="str">
        <f aca="false">IF(OR($A35="",J$4=""),"",IF(每月预算!$B$29="雪崩法",计算_雪崩!AR54,计算_雪球!AR54))</f>
        <v/>
      </c>
      <c r="K35" s="43" t="str">
        <f aca="false">IF(OR($A35="",K$4=""),"",IF(每月预算!$B$29="雪崩法",计算_雪崩!AW54,计算_雪球!AW54))</f>
        <v/>
      </c>
      <c r="L35" s="43" t="str">
        <f aca="false">IF(OR($A35="",L$4=""),"",IF(每月预算!$B$29="雪崩法",计算_雪崩!BB54,计算_雪球!BB54))</f>
        <v/>
      </c>
      <c r="M35" s="43" t="str">
        <f aca="false">IF($A35="","",IF(每月预算!$B$29="雪崩法",计算_雪崩!BC54,计算_雪球!BC54))</f>
        <v/>
      </c>
      <c r="N35" s="43" t="str">
        <f aca="false">IF($A35="","",IF(每月预算!$B$29="雪崩法",计算_雪崩!BE54,计算_雪球!BE54))</f>
        <v/>
      </c>
      <c r="O35" s="43" t="str">
        <f aca="false">IF($A35="","",IF(每月预算!$B$29="雪崩法",计算_雪崩!BD54,计算_雪球!BD54))</f>
        <v/>
      </c>
    </row>
    <row r="36" customFormat="false" ht="15" hidden="false" customHeight="false" outlineLevel="0" collapsed="false">
      <c r="A36" s="24" t="str">
        <f aca="false">IF(32&lt;=$R$2,32,"")</f>
        <v/>
      </c>
      <c r="B36" s="42" t="str">
        <f aca="false">IF($A36="","",计算_雪球!B55)</f>
        <v/>
      </c>
      <c r="C36" s="43" t="str">
        <f aca="false">IF(OR($A36="",C$4=""),"",IF(每月预算!$B$29="雪崩法",计算_雪崩!I55,计算_雪球!I55))</f>
        <v/>
      </c>
      <c r="D36" s="43" t="str">
        <f aca="false">IF(OR($A36="",D$4=""),"",IF(每月预算!$B$29="雪崩法",计算_雪崩!N55,计算_雪球!N55))</f>
        <v/>
      </c>
      <c r="E36" s="43" t="str">
        <f aca="false">IF(OR($A36="",E$4=""),"",IF(每月预算!$B$29="雪崩法",计算_雪崩!S55,计算_雪球!S55))</f>
        <v/>
      </c>
      <c r="F36" s="43" t="str">
        <f aca="false">IF(OR($A36="",F$4=""),"",IF(每月预算!$B$29="雪崩法",计算_雪崩!X55,计算_雪球!X55))</f>
        <v/>
      </c>
      <c r="G36" s="43" t="str">
        <f aca="false">IF(OR($A36="",G$4=""),"",IF(每月预算!$B$29="雪崩法",计算_雪崩!AC55,计算_雪球!AC55))</f>
        <v/>
      </c>
      <c r="H36" s="43" t="str">
        <f aca="false">IF(OR($A36="",H$4=""),"",IF(每月预算!$B$29="雪崩法",计算_雪崩!AH55,计算_雪球!AH55))</f>
        <v/>
      </c>
      <c r="I36" s="43" t="str">
        <f aca="false">IF(OR($A36="",I$4=""),"",IF(每月预算!$B$29="雪崩法",计算_雪崩!AM55,计算_雪球!AM55))</f>
        <v/>
      </c>
      <c r="J36" s="43" t="str">
        <f aca="false">IF(OR($A36="",J$4=""),"",IF(每月预算!$B$29="雪崩法",计算_雪崩!AR55,计算_雪球!AR55))</f>
        <v/>
      </c>
      <c r="K36" s="43" t="str">
        <f aca="false">IF(OR($A36="",K$4=""),"",IF(每月预算!$B$29="雪崩法",计算_雪崩!AW55,计算_雪球!AW55))</f>
        <v/>
      </c>
      <c r="L36" s="43" t="str">
        <f aca="false">IF(OR($A36="",L$4=""),"",IF(每月预算!$B$29="雪崩法",计算_雪崩!BB55,计算_雪球!BB55))</f>
        <v/>
      </c>
      <c r="M36" s="43" t="str">
        <f aca="false">IF($A36="","",IF(每月预算!$B$29="雪崩法",计算_雪崩!BC55,计算_雪球!BC55))</f>
        <v/>
      </c>
      <c r="N36" s="43" t="str">
        <f aca="false">IF($A36="","",IF(每月预算!$B$29="雪崩法",计算_雪崩!BE55,计算_雪球!BE55))</f>
        <v/>
      </c>
      <c r="O36" s="43" t="str">
        <f aca="false">IF($A36="","",IF(每月预算!$B$29="雪崩法",计算_雪崩!BD55,计算_雪球!BD55))</f>
        <v/>
      </c>
    </row>
    <row r="37" customFormat="false" ht="15" hidden="false" customHeight="false" outlineLevel="0" collapsed="false">
      <c r="A37" s="24" t="str">
        <f aca="false">IF(33&lt;=$R$2,33,"")</f>
        <v/>
      </c>
      <c r="B37" s="42" t="str">
        <f aca="false">IF($A37="","",计算_雪球!B56)</f>
        <v/>
      </c>
      <c r="C37" s="43" t="str">
        <f aca="false">IF(OR($A37="",C$4=""),"",IF(每月预算!$B$29="雪崩法",计算_雪崩!I56,计算_雪球!I56))</f>
        <v/>
      </c>
      <c r="D37" s="43" t="str">
        <f aca="false">IF(OR($A37="",D$4=""),"",IF(每月预算!$B$29="雪崩法",计算_雪崩!N56,计算_雪球!N56))</f>
        <v/>
      </c>
      <c r="E37" s="43" t="str">
        <f aca="false">IF(OR($A37="",E$4=""),"",IF(每月预算!$B$29="雪崩法",计算_雪崩!S56,计算_雪球!S56))</f>
        <v/>
      </c>
      <c r="F37" s="43" t="str">
        <f aca="false">IF(OR($A37="",F$4=""),"",IF(每月预算!$B$29="雪崩法",计算_雪崩!X56,计算_雪球!X56))</f>
        <v/>
      </c>
      <c r="G37" s="43" t="str">
        <f aca="false">IF(OR($A37="",G$4=""),"",IF(每月预算!$B$29="雪崩法",计算_雪崩!AC56,计算_雪球!AC56))</f>
        <v/>
      </c>
      <c r="H37" s="43" t="str">
        <f aca="false">IF(OR($A37="",H$4=""),"",IF(每月预算!$B$29="雪崩法",计算_雪崩!AH56,计算_雪球!AH56))</f>
        <v/>
      </c>
      <c r="I37" s="43" t="str">
        <f aca="false">IF(OR($A37="",I$4=""),"",IF(每月预算!$B$29="雪崩法",计算_雪崩!AM56,计算_雪球!AM56))</f>
        <v/>
      </c>
      <c r="J37" s="43" t="str">
        <f aca="false">IF(OR($A37="",J$4=""),"",IF(每月预算!$B$29="雪崩法",计算_雪崩!AR56,计算_雪球!AR56))</f>
        <v/>
      </c>
      <c r="K37" s="43" t="str">
        <f aca="false">IF(OR($A37="",K$4=""),"",IF(每月预算!$B$29="雪崩法",计算_雪崩!AW56,计算_雪球!AW56))</f>
        <v/>
      </c>
      <c r="L37" s="43" t="str">
        <f aca="false">IF(OR($A37="",L$4=""),"",IF(每月预算!$B$29="雪崩法",计算_雪崩!BB56,计算_雪球!BB56))</f>
        <v/>
      </c>
      <c r="M37" s="43" t="str">
        <f aca="false">IF($A37="","",IF(每月预算!$B$29="雪崩法",计算_雪崩!BC56,计算_雪球!BC56))</f>
        <v/>
      </c>
      <c r="N37" s="43" t="str">
        <f aca="false">IF($A37="","",IF(每月预算!$B$29="雪崩法",计算_雪崩!BE56,计算_雪球!BE56))</f>
        <v/>
      </c>
      <c r="O37" s="43" t="str">
        <f aca="false">IF($A37="","",IF(每月预算!$B$29="雪崩法",计算_雪崩!BD56,计算_雪球!BD56))</f>
        <v/>
      </c>
    </row>
    <row r="38" customFormat="false" ht="15" hidden="false" customHeight="false" outlineLevel="0" collapsed="false">
      <c r="A38" s="24" t="str">
        <f aca="false">IF(34&lt;=$R$2,34,"")</f>
        <v/>
      </c>
      <c r="B38" s="42" t="str">
        <f aca="false">IF($A38="","",计算_雪球!B57)</f>
        <v/>
      </c>
      <c r="C38" s="43" t="str">
        <f aca="false">IF(OR($A38="",C$4=""),"",IF(每月预算!$B$29="雪崩法",计算_雪崩!I57,计算_雪球!I57))</f>
        <v/>
      </c>
      <c r="D38" s="43" t="str">
        <f aca="false">IF(OR($A38="",D$4=""),"",IF(每月预算!$B$29="雪崩法",计算_雪崩!N57,计算_雪球!N57))</f>
        <v/>
      </c>
      <c r="E38" s="43" t="str">
        <f aca="false">IF(OR($A38="",E$4=""),"",IF(每月预算!$B$29="雪崩法",计算_雪崩!S57,计算_雪球!S57))</f>
        <v/>
      </c>
      <c r="F38" s="43" t="str">
        <f aca="false">IF(OR($A38="",F$4=""),"",IF(每月预算!$B$29="雪崩法",计算_雪崩!X57,计算_雪球!X57))</f>
        <v/>
      </c>
      <c r="G38" s="43" t="str">
        <f aca="false">IF(OR($A38="",G$4=""),"",IF(每月预算!$B$29="雪崩法",计算_雪崩!AC57,计算_雪球!AC57))</f>
        <v/>
      </c>
      <c r="H38" s="43" t="str">
        <f aca="false">IF(OR($A38="",H$4=""),"",IF(每月预算!$B$29="雪崩法",计算_雪崩!AH57,计算_雪球!AH57))</f>
        <v/>
      </c>
      <c r="I38" s="43" t="str">
        <f aca="false">IF(OR($A38="",I$4=""),"",IF(每月预算!$B$29="雪崩法",计算_雪崩!AM57,计算_雪球!AM57))</f>
        <v/>
      </c>
      <c r="J38" s="43" t="str">
        <f aca="false">IF(OR($A38="",J$4=""),"",IF(每月预算!$B$29="雪崩法",计算_雪崩!AR57,计算_雪球!AR57))</f>
        <v/>
      </c>
      <c r="K38" s="43" t="str">
        <f aca="false">IF(OR($A38="",K$4=""),"",IF(每月预算!$B$29="雪崩法",计算_雪崩!AW57,计算_雪球!AW57))</f>
        <v/>
      </c>
      <c r="L38" s="43" t="str">
        <f aca="false">IF(OR($A38="",L$4=""),"",IF(每月预算!$B$29="雪崩法",计算_雪崩!BB57,计算_雪球!BB57))</f>
        <v/>
      </c>
      <c r="M38" s="43" t="str">
        <f aca="false">IF($A38="","",IF(每月预算!$B$29="雪崩法",计算_雪崩!BC57,计算_雪球!BC57))</f>
        <v/>
      </c>
      <c r="N38" s="43" t="str">
        <f aca="false">IF($A38="","",IF(每月预算!$B$29="雪崩法",计算_雪崩!BE57,计算_雪球!BE57))</f>
        <v/>
      </c>
      <c r="O38" s="43" t="str">
        <f aca="false">IF($A38="","",IF(每月预算!$B$29="雪崩法",计算_雪崩!BD57,计算_雪球!BD57))</f>
        <v/>
      </c>
    </row>
    <row r="39" customFormat="false" ht="15" hidden="false" customHeight="false" outlineLevel="0" collapsed="false">
      <c r="A39" s="24" t="str">
        <f aca="false">IF(35&lt;=$R$2,35,"")</f>
        <v/>
      </c>
      <c r="B39" s="42" t="str">
        <f aca="false">IF($A39="","",计算_雪球!B58)</f>
        <v/>
      </c>
      <c r="C39" s="43" t="str">
        <f aca="false">IF(OR($A39="",C$4=""),"",IF(每月预算!$B$29="雪崩法",计算_雪崩!I58,计算_雪球!I58))</f>
        <v/>
      </c>
      <c r="D39" s="43" t="str">
        <f aca="false">IF(OR($A39="",D$4=""),"",IF(每月预算!$B$29="雪崩法",计算_雪崩!N58,计算_雪球!N58))</f>
        <v/>
      </c>
      <c r="E39" s="43" t="str">
        <f aca="false">IF(OR($A39="",E$4=""),"",IF(每月预算!$B$29="雪崩法",计算_雪崩!S58,计算_雪球!S58))</f>
        <v/>
      </c>
      <c r="F39" s="43" t="str">
        <f aca="false">IF(OR($A39="",F$4=""),"",IF(每月预算!$B$29="雪崩法",计算_雪崩!X58,计算_雪球!X58))</f>
        <v/>
      </c>
      <c r="G39" s="43" t="str">
        <f aca="false">IF(OR($A39="",G$4=""),"",IF(每月预算!$B$29="雪崩法",计算_雪崩!AC58,计算_雪球!AC58))</f>
        <v/>
      </c>
      <c r="H39" s="43" t="str">
        <f aca="false">IF(OR($A39="",H$4=""),"",IF(每月预算!$B$29="雪崩法",计算_雪崩!AH58,计算_雪球!AH58))</f>
        <v/>
      </c>
      <c r="I39" s="43" t="str">
        <f aca="false">IF(OR($A39="",I$4=""),"",IF(每月预算!$B$29="雪崩法",计算_雪崩!AM58,计算_雪球!AM58))</f>
        <v/>
      </c>
      <c r="J39" s="43" t="str">
        <f aca="false">IF(OR($A39="",J$4=""),"",IF(每月预算!$B$29="雪崩法",计算_雪崩!AR58,计算_雪球!AR58))</f>
        <v/>
      </c>
      <c r="K39" s="43" t="str">
        <f aca="false">IF(OR($A39="",K$4=""),"",IF(每月预算!$B$29="雪崩法",计算_雪崩!AW58,计算_雪球!AW58))</f>
        <v/>
      </c>
      <c r="L39" s="43" t="str">
        <f aca="false">IF(OR($A39="",L$4=""),"",IF(每月预算!$B$29="雪崩法",计算_雪崩!BB58,计算_雪球!BB58))</f>
        <v/>
      </c>
      <c r="M39" s="43" t="str">
        <f aca="false">IF($A39="","",IF(每月预算!$B$29="雪崩法",计算_雪崩!BC58,计算_雪球!BC58))</f>
        <v/>
      </c>
      <c r="N39" s="43" t="str">
        <f aca="false">IF($A39="","",IF(每月预算!$B$29="雪崩法",计算_雪崩!BE58,计算_雪球!BE58))</f>
        <v/>
      </c>
      <c r="O39" s="43" t="str">
        <f aca="false">IF($A39="","",IF(每月预算!$B$29="雪崩法",计算_雪崩!BD58,计算_雪球!BD58))</f>
        <v/>
      </c>
    </row>
    <row r="40" customFormat="false" ht="15" hidden="false" customHeight="false" outlineLevel="0" collapsed="false">
      <c r="A40" s="24" t="str">
        <f aca="false">IF(36&lt;=$R$2,36,"")</f>
        <v/>
      </c>
      <c r="B40" s="42" t="str">
        <f aca="false">IF($A40="","",计算_雪球!B59)</f>
        <v/>
      </c>
      <c r="C40" s="43" t="str">
        <f aca="false">IF(OR($A40="",C$4=""),"",IF(每月预算!$B$29="雪崩法",计算_雪崩!I59,计算_雪球!I59))</f>
        <v/>
      </c>
      <c r="D40" s="43" t="str">
        <f aca="false">IF(OR($A40="",D$4=""),"",IF(每月预算!$B$29="雪崩法",计算_雪崩!N59,计算_雪球!N59))</f>
        <v/>
      </c>
      <c r="E40" s="43" t="str">
        <f aca="false">IF(OR($A40="",E$4=""),"",IF(每月预算!$B$29="雪崩法",计算_雪崩!S59,计算_雪球!S59))</f>
        <v/>
      </c>
      <c r="F40" s="43" t="str">
        <f aca="false">IF(OR($A40="",F$4=""),"",IF(每月预算!$B$29="雪崩法",计算_雪崩!X59,计算_雪球!X59))</f>
        <v/>
      </c>
      <c r="G40" s="43" t="str">
        <f aca="false">IF(OR($A40="",G$4=""),"",IF(每月预算!$B$29="雪崩法",计算_雪崩!AC59,计算_雪球!AC59))</f>
        <v/>
      </c>
      <c r="H40" s="43" t="str">
        <f aca="false">IF(OR($A40="",H$4=""),"",IF(每月预算!$B$29="雪崩法",计算_雪崩!AH59,计算_雪球!AH59))</f>
        <v/>
      </c>
      <c r="I40" s="43" t="str">
        <f aca="false">IF(OR($A40="",I$4=""),"",IF(每月预算!$B$29="雪崩法",计算_雪崩!AM59,计算_雪球!AM59))</f>
        <v/>
      </c>
      <c r="J40" s="43" t="str">
        <f aca="false">IF(OR($A40="",J$4=""),"",IF(每月预算!$B$29="雪崩法",计算_雪崩!AR59,计算_雪球!AR59))</f>
        <v/>
      </c>
      <c r="K40" s="43" t="str">
        <f aca="false">IF(OR($A40="",K$4=""),"",IF(每月预算!$B$29="雪崩法",计算_雪崩!AW59,计算_雪球!AW59))</f>
        <v/>
      </c>
      <c r="L40" s="43" t="str">
        <f aca="false">IF(OR($A40="",L$4=""),"",IF(每月预算!$B$29="雪崩法",计算_雪崩!BB59,计算_雪球!BB59))</f>
        <v/>
      </c>
      <c r="M40" s="43" t="str">
        <f aca="false">IF($A40="","",IF(每月预算!$B$29="雪崩法",计算_雪崩!BC59,计算_雪球!BC59))</f>
        <v/>
      </c>
      <c r="N40" s="43" t="str">
        <f aca="false">IF($A40="","",IF(每月预算!$B$29="雪崩法",计算_雪崩!BE59,计算_雪球!BE59))</f>
        <v/>
      </c>
      <c r="O40" s="43" t="str">
        <f aca="false">IF($A40="","",IF(每月预算!$B$29="雪崩法",计算_雪崩!BD59,计算_雪球!BD59))</f>
        <v/>
      </c>
    </row>
    <row r="41" customFormat="false" ht="15" hidden="false" customHeight="false" outlineLevel="0" collapsed="false">
      <c r="A41" s="24" t="str">
        <f aca="false">IF(37&lt;=$R$2,37,"")</f>
        <v/>
      </c>
      <c r="B41" s="42" t="str">
        <f aca="false">IF($A41="","",计算_雪球!B60)</f>
        <v/>
      </c>
      <c r="C41" s="43" t="str">
        <f aca="false">IF(OR($A41="",C$4=""),"",IF(每月预算!$B$29="雪崩法",计算_雪崩!I60,计算_雪球!I60))</f>
        <v/>
      </c>
      <c r="D41" s="43" t="str">
        <f aca="false">IF(OR($A41="",D$4=""),"",IF(每月预算!$B$29="雪崩法",计算_雪崩!N60,计算_雪球!N60))</f>
        <v/>
      </c>
      <c r="E41" s="43" t="str">
        <f aca="false">IF(OR($A41="",E$4=""),"",IF(每月预算!$B$29="雪崩法",计算_雪崩!S60,计算_雪球!S60))</f>
        <v/>
      </c>
      <c r="F41" s="43" t="str">
        <f aca="false">IF(OR($A41="",F$4=""),"",IF(每月预算!$B$29="雪崩法",计算_雪崩!X60,计算_雪球!X60))</f>
        <v/>
      </c>
      <c r="G41" s="43" t="str">
        <f aca="false">IF(OR($A41="",G$4=""),"",IF(每月预算!$B$29="雪崩法",计算_雪崩!AC60,计算_雪球!AC60))</f>
        <v/>
      </c>
      <c r="H41" s="43" t="str">
        <f aca="false">IF(OR($A41="",H$4=""),"",IF(每月预算!$B$29="雪崩法",计算_雪崩!AH60,计算_雪球!AH60))</f>
        <v/>
      </c>
      <c r="I41" s="43" t="str">
        <f aca="false">IF(OR($A41="",I$4=""),"",IF(每月预算!$B$29="雪崩法",计算_雪崩!AM60,计算_雪球!AM60))</f>
        <v/>
      </c>
      <c r="J41" s="43" t="str">
        <f aca="false">IF(OR($A41="",J$4=""),"",IF(每月预算!$B$29="雪崩法",计算_雪崩!AR60,计算_雪球!AR60))</f>
        <v/>
      </c>
      <c r="K41" s="43" t="str">
        <f aca="false">IF(OR($A41="",K$4=""),"",IF(每月预算!$B$29="雪崩法",计算_雪崩!AW60,计算_雪球!AW60))</f>
        <v/>
      </c>
      <c r="L41" s="43" t="str">
        <f aca="false">IF(OR($A41="",L$4=""),"",IF(每月预算!$B$29="雪崩法",计算_雪崩!BB60,计算_雪球!BB60))</f>
        <v/>
      </c>
      <c r="M41" s="43" t="str">
        <f aca="false">IF($A41="","",IF(每月预算!$B$29="雪崩法",计算_雪崩!BC60,计算_雪球!BC60))</f>
        <v/>
      </c>
      <c r="N41" s="43" t="str">
        <f aca="false">IF($A41="","",IF(每月预算!$B$29="雪崩法",计算_雪崩!BE60,计算_雪球!BE60))</f>
        <v/>
      </c>
      <c r="O41" s="43" t="str">
        <f aca="false">IF($A41="","",IF(每月预算!$B$29="雪崩法",计算_雪崩!BD60,计算_雪球!BD60))</f>
        <v/>
      </c>
    </row>
    <row r="42" customFormat="false" ht="15" hidden="false" customHeight="false" outlineLevel="0" collapsed="false">
      <c r="A42" s="24" t="str">
        <f aca="false">IF(38&lt;=$R$2,38,"")</f>
        <v/>
      </c>
      <c r="B42" s="42" t="str">
        <f aca="false">IF($A42="","",计算_雪球!B61)</f>
        <v/>
      </c>
      <c r="C42" s="43" t="str">
        <f aca="false">IF(OR($A42="",C$4=""),"",IF(每月预算!$B$29="雪崩法",计算_雪崩!I61,计算_雪球!I61))</f>
        <v/>
      </c>
      <c r="D42" s="43" t="str">
        <f aca="false">IF(OR($A42="",D$4=""),"",IF(每月预算!$B$29="雪崩法",计算_雪崩!N61,计算_雪球!N61))</f>
        <v/>
      </c>
      <c r="E42" s="43" t="str">
        <f aca="false">IF(OR($A42="",E$4=""),"",IF(每月预算!$B$29="雪崩法",计算_雪崩!S61,计算_雪球!S61))</f>
        <v/>
      </c>
      <c r="F42" s="43" t="str">
        <f aca="false">IF(OR($A42="",F$4=""),"",IF(每月预算!$B$29="雪崩法",计算_雪崩!X61,计算_雪球!X61))</f>
        <v/>
      </c>
      <c r="G42" s="43" t="str">
        <f aca="false">IF(OR($A42="",G$4=""),"",IF(每月预算!$B$29="雪崩法",计算_雪崩!AC61,计算_雪球!AC61))</f>
        <v/>
      </c>
      <c r="H42" s="43" t="str">
        <f aca="false">IF(OR($A42="",H$4=""),"",IF(每月预算!$B$29="雪崩法",计算_雪崩!AH61,计算_雪球!AH61))</f>
        <v/>
      </c>
      <c r="I42" s="43" t="str">
        <f aca="false">IF(OR($A42="",I$4=""),"",IF(每月预算!$B$29="雪崩法",计算_雪崩!AM61,计算_雪球!AM61))</f>
        <v/>
      </c>
      <c r="J42" s="43" t="str">
        <f aca="false">IF(OR($A42="",J$4=""),"",IF(每月预算!$B$29="雪崩法",计算_雪崩!AR61,计算_雪球!AR61))</f>
        <v/>
      </c>
      <c r="K42" s="43" t="str">
        <f aca="false">IF(OR($A42="",K$4=""),"",IF(每月预算!$B$29="雪崩法",计算_雪崩!AW61,计算_雪球!AW61))</f>
        <v/>
      </c>
      <c r="L42" s="43" t="str">
        <f aca="false">IF(OR($A42="",L$4=""),"",IF(每月预算!$B$29="雪崩法",计算_雪崩!BB61,计算_雪球!BB61))</f>
        <v/>
      </c>
      <c r="M42" s="43" t="str">
        <f aca="false">IF($A42="","",IF(每月预算!$B$29="雪崩法",计算_雪崩!BC61,计算_雪球!BC61))</f>
        <v/>
      </c>
      <c r="N42" s="43" t="str">
        <f aca="false">IF($A42="","",IF(每月预算!$B$29="雪崩法",计算_雪崩!BE61,计算_雪球!BE61))</f>
        <v/>
      </c>
      <c r="O42" s="43" t="str">
        <f aca="false">IF($A42="","",IF(每月预算!$B$29="雪崩法",计算_雪崩!BD61,计算_雪球!BD61))</f>
        <v/>
      </c>
    </row>
    <row r="43" customFormat="false" ht="15" hidden="false" customHeight="false" outlineLevel="0" collapsed="false">
      <c r="A43" s="24" t="str">
        <f aca="false">IF(39&lt;=$R$2,39,"")</f>
        <v/>
      </c>
      <c r="B43" s="42" t="str">
        <f aca="false">IF($A43="","",计算_雪球!B62)</f>
        <v/>
      </c>
      <c r="C43" s="43" t="str">
        <f aca="false">IF(OR($A43="",C$4=""),"",IF(每月预算!$B$29="雪崩法",计算_雪崩!I62,计算_雪球!I62))</f>
        <v/>
      </c>
      <c r="D43" s="43" t="str">
        <f aca="false">IF(OR($A43="",D$4=""),"",IF(每月预算!$B$29="雪崩法",计算_雪崩!N62,计算_雪球!N62))</f>
        <v/>
      </c>
      <c r="E43" s="43" t="str">
        <f aca="false">IF(OR($A43="",E$4=""),"",IF(每月预算!$B$29="雪崩法",计算_雪崩!S62,计算_雪球!S62))</f>
        <v/>
      </c>
      <c r="F43" s="43" t="str">
        <f aca="false">IF(OR($A43="",F$4=""),"",IF(每月预算!$B$29="雪崩法",计算_雪崩!X62,计算_雪球!X62))</f>
        <v/>
      </c>
      <c r="G43" s="43" t="str">
        <f aca="false">IF(OR($A43="",G$4=""),"",IF(每月预算!$B$29="雪崩法",计算_雪崩!AC62,计算_雪球!AC62))</f>
        <v/>
      </c>
      <c r="H43" s="43" t="str">
        <f aca="false">IF(OR($A43="",H$4=""),"",IF(每月预算!$B$29="雪崩法",计算_雪崩!AH62,计算_雪球!AH62))</f>
        <v/>
      </c>
      <c r="I43" s="43" t="str">
        <f aca="false">IF(OR($A43="",I$4=""),"",IF(每月预算!$B$29="雪崩法",计算_雪崩!AM62,计算_雪球!AM62))</f>
        <v/>
      </c>
      <c r="J43" s="43" t="str">
        <f aca="false">IF(OR($A43="",J$4=""),"",IF(每月预算!$B$29="雪崩法",计算_雪崩!AR62,计算_雪球!AR62))</f>
        <v/>
      </c>
      <c r="K43" s="43" t="str">
        <f aca="false">IF(OR($A43="",K$4=""),"",IF(每月预算!$B$29="雪崩法",计算_雪崩!AW62,计算_雪球!AW62))</f>
        <v/>
      </c>
      <c r="L43" s="43" t="str">
        <f aca="false">IF(OR($A43="",L$4=""),"",IF(每月预算!$B$29="雪崩法",计算_雪崩!BB62,计算_雪球!BB62))</f>
        <v/>
      </c>
      <c r="M43" s="43" t="str">
        <f aca="false">IF($A43="","",IF(每月预算!$B$29="雪崩法",计算_雪崩!BC62,计算_雪球!BC62))</f>
        <v/>
      </c>
      <c r="N43" s="43" t="str">
        <f aca="false">IF($A43="","",IF(每月预算!$B$29="雪崩法",计算_雪崩!BE62,计算_雪球!BE62))</f>
        <v/>
      </c>
      <c r="O43" s="43" t="str">
        <f aca="false">IF($A43="","",IF(每月预算!$B$29="雪崩法",计算_雪崩!BD62,计算_雪球!BD62))</f>
        <v/>
      </c>
    </row>
    <row r="44" customFormat="false" ht="15" hidden="false" customHeight="false" outlineLevel="0" collapsed="false">
      <c r="A44" s="24" t="str">
        <f aca="false">IF(40&lt;=$R$2,40,"")</f>
        <v/>
      </c>
      <c r="B44" s="42" t="str">
        <f aca="false">IF($A44="","",计算_雪球!B63)</f>
        <v/>
      </c>
      <c r="C44" s="43" t="str">
        <f aca="false">IF(OR($A44="",C$4=""),"",IF(每月预算!$B$29="雪崩法",计算_雪崩!I63,计算_雪球!I63))</f>
        <v/>
      </c>
      <c r="D44" s="43" t="str">
        <f aca="false">IF(OR($A44="",D$4=""),"",IF(每月预算!$B$29="雪崩法",计算_雪崩!N63,计算_雪球!N63))</f>
        <v/>
      </c>
      <c r="E44" s="43" t="str">
        <f aca="false">IF(OR($A44="",E$4=""),"",IF(每月预算!$B$29="雪崩法",计算_雪崩!S63,计算_雪球!S63))</f>
        <v/>
      </c>
      <c r="F44" s="43" t="str">
        <f aca="false">IF(OR($A44="",F$4=""),"",IF(每月预算!$B$29="雪崩法",计算_雪崩!X63,计算_雪球!X63))</f>
        <v/>
      </c>
      <c r="G44" s="43" t="str">
        <f aca="false">IF(OR($A44="",G$4=""),"",IF(每月预算!$B$29="雪崩法",计算_雪崩!AC63,计算_雪球!AC63))</f>
        <v/>
      </c>
      <c r="H44" s="43" t="str">
        <f aca="false">IF(OR($A44="",H$4=""),"",IF(每月预算!$B$29="雪崩法",计算_雪崩!AH63,计算_雪球!AH63))</f>
        <v/>
      </c>
      <c r="I44" s="43" t="str">
        <f aca="false">IF(OR($A44="",I$4=""),"",IF(每月预算!$B$29="雪崩法",计算_雪崩!AM63,计算_雪球!AM63))</f>
        <v/>
      </c>
      <c r="J44" s="43" t="str">
        <f aca="false">IF(OR($A44="",J$4=""),"",IF(每月预算!$B$29="雪崩法",计算_雪崩!AR63,计算_雪球!AR63))</f>
        <v/>
      </c>
      <c r="K44" s="43" t="str">
        <f aca="false">IF(OR($A44="",K$4=""),"",IF(每月预算!$B$29="雪崩法",计算_雪崩!AW63,计算_雪球!AW63))</f>
        <v/>
      </c>
      <c r="L44" s="43" t="str">
        <f aca="false">IF(OR($A44="",L$4=""),"",IF(每月预算!$B$29="雪崩法",计算_雪崩!BB63,计算_雪球!BB63))</f>
        <v/>
      </c>
      <c r="M44" s="43" t="str">
        <f aca="false">IF($A44="","",IF(每月预算!$B$29="雪崩法",计算_雪崩!BC63,计算_雪球!BC63))</f>
        <v/>
      </c>
      <c r="N44" s="43" t="str">
        <f aca="false">IF($A44="","",IF(每月预算!$B$29="雪崩法",计算_雪崩!BE63,计算_雪球!BE63))</f>
        <v/>
      </c>
      <c r="O44" s="43" t="str">
        <f aca="false">IF($A44="","",IF(每月预算!$B$29="雪崩法",计算_雪崩!BD63,计算_雪球!BD63))</f>
        <v/>
      </c>
    </row>
    <row r="45" customFormat="false" ht="15" hidden="false" customHeight="false" outlineLevel="0" collapsed="false">
      <c r="A45" s="24" t="str">
        <f aca="false">IF(41&lt;=$R$2,41,"")</f>
        <v/>
      </c>
      <c r="B45" s="42" t="str">
        <f aca="false">IF($A45="","",计算_雪球!B64)</f>
        <v/>
      </c>
      <c r="C45" s="43" t="str">
        <f aca="false">IF(OR($A45="",C$4=""),"",IF(每月预算!$B$29="雪崩法",计算_雪崩!I64,计算_雪球!I64))</f>
        <v/>
      </c>
      <c r="D45" s="43" t="str">
        <f aca="false">IF(OR($A45="",D$4=""),"",IF(每月预算!$B$29="雪崩法",计算_雪崩!N64,计算_雪球!N64))</f>
        <v/>
      </c>
      <c r="E45" s="43" t="str">
        <f aca="false">IF(OR($A45="",E$4=""),"",IF(每月预算!$B$29="雪崩法",计算_雪崩!S64,计算_雪球!S64))</f>
        <v/>
      </c>
      <c r="F45" s="43" t="str">
        <f aca="false">IF(OR($A45="",F$4=""),"",IF(每月预算!$B$29="雪崩法",计算_雪崩!X64,计算_雪球!X64))</f>
        <v/>
      </c>
      <c r="G45" s="43" t="str">
        <f aca="false">IF(OR($A45="",G$4=""),"",IF(每月预算!$B$29="雪崩法",计算_雪崩!AC64,计算_雪球!AC64))</f>
        <v/>
      </c>
      <c r="H45" s="43" t="str">
        <f aca="false">IF(OR($A45="",H$4=""),"",IF(每月预算!$B$29="雪崩法",计算_雪崩!AH64,计算_雪球!AH64))</f>
        <v/>
      </c>
      <c r="I45" s="43" t="str">
        <f aca="false">IF(OR($A45="",I$4=""),"",IF(每月预算!$B$29="雪崩法",计算_雪崩!AM64,计算_雪球!AM64))</f>
        <v/>
      </c>
      <c r="J45" s="43" t="str">
        <f aca="false">IF(OR($A45="",J$4=""),"",IF(每月预算!$B$29="雪崩法",计算_雪崩!AR64,计算_雪球!AR64))</f>
        <v/>
      </c>
      <c r="K45" s="43" t="str">
        <f aca="false">IF(OR($A45="",K$4=""),"",IF(每月预算!$B$29="雪崩法",计算_雪崩!AW64,计算_雪球!AW64))</f>
        <v/>
      </c>
      <c r="L45" s="43" t="str">
        <f aca="false">IF(OR($A45="",L$4=""),"",IF(每月预算!$B$29="雪崩法",计算_雪崩!BB64,计算_雪球!BB64))</f>
        <v/>
      </c>
      <c r="M45" s="43" t="str">
        <f aca="false">IF($A45="","",IF(每月预算!$B$29="雪崩法",计算_雪崩!BC64,计算_雪球!BC64))</f>
        <v/>
      </c>
      <c r="N45" s="43" t="str">
        <f aca="false">IF($A45="","",IF(每月预算!$B$29="雪崩法",计算_雪崩!BE64,计算_雪球!BE64))</f>
        <v/>
      </c>
      <c r="O45" s="43" t="str">
        <f aca="false">IF($A45="","",IF(每月预算!$B$29="雪崩法",计算_雪崩!BD64,计算_雪球!BD64))</f>
        <v/>
      </c>
    </row>
    <row r="46" customFormat="false" ht="15" hidden="false" customHeight="false" outlineLevel="0" collapsed="false">
      <c r="A46" s="24" t="str">
        <f aca="false">IF(42&lt;=$R$2,42,"")</f>
        <v/>
      </c>
      <c r="B46" s="42" t="str">
        <f aca="false">IF($A46="","",计算_雪球!B65)</f>
        <v/>
      </c>
      <c r="C46" s="43" t="str">
        <f aca="false">IF(OR($A46="",C$4=""),"",IF(每月预算!$B$29="雪崩法",计算_雪崩!I65,计算_雪球!I65))</f>
        <v/>
      </c>
      <c r="D46" s="43" t="str">
        <f aca="false">IF(OR($A46="",D$4=""),"",IF(每月预算!$B$29="雪崩法",计算_雪崩!N65,计算_雪球!N65))</f>
        <v/>
      </c>
      <c r="E46" s="43" t="str">
        <f aca="false">IF(OR($A46="",E$4=""),"",IF(每月预算!$B$29="雪崩法",计算_雪崩!S65,计算_雪球!S65))</f>
        <v/>
      </c>
      <c r="F46" s="43" t="str">
        <f aca="false">IF(OR($A46="",F$4=""),"",IF(每月预算!$B$29="雪崩法",计算_雪崩!X65,计算_雪球!X65))</f>
        <v/>
      </c>
      <c r="G46" s="43" t="str">
        <f aca="false">IF(OR($A46="",G$4=""),"",IF(每月预算!$B$29="雪崩法",计算_雪崩!AC65,计算_雪球!AC65))</f>
        <v/>
      </c>
      <c r="H46" s="43" t="str">
        <f aca="false">IF(OR($A46="",H$4=""),"",IF(每月预算!$B$29="雪崩法",计算_雪崩!AH65,计算_雪球!AH65))</f>
        <v/>
      </c>
      <c r="I46" s="43" t="str">
        <f aca="false">IF(OR($A46="",I$4=""),"",IF(每月预算!$B$29="雪崩法",计算_雪崩!AM65,计算_雪球!AM65))</f>
        <v/>
      </c>
      <c r="J46" s="43" t="str">
        <f aca="false">IF(OR($A46="",J$4=""),"",IF(每月预算!$B$29="雪崩法",计算_雪崩!AR65,计算_雪球!AR65))</f>
        <v/>
      </c>
      <c r="K46" s="43" t="str">
        <f aca="false">IF(OR($A46="",K$4=""),"",IF(每月预算!$B$29="雪崩法",计算_雪崩!AW65,计算_雪球!AW65))</f>
        <v/>
      </c>
      <c r="L46" s="43" t="str">
        <f aca="false">IF(OR($A46="",L$4=""),"",IF(每月预算!$B$29="雪崩法",计算_雪崩!BB65,计算_雪球!BB65))</f>
        <v/>
      </c>
      <c r="M46" s="43" t="str">
        <f aca="false">IF($A46="","",IF(每月预算!$B$29="雪崩法",计算_雪崩!BC65,计算_雪球!BC65))</f>
        <v/>
      </c>
      <c r="N46" s="43" t="str">
        <f aca="false">IF($A46="","",IF(每月预算!$B$29="雪崩法",计算_雪崩!BE65,计算_雪球!BE65))</f>
        <v/>
      </c>
      <c r="O46" s="43" t="str">
        <f aca="false">IF($A46="","",IF(每月预算!$B$29="雪崩法",计算_雪崩!BD65,计算_雪球!BD65))</f>
        <v/>
      </c>
    </row>
    <row r="47" customFormat="false" ht="15" hidden="false" customHeight="false" outlineLevel="0" collapsed="false">
      <c r="A47" s="24" t="str">
        <f aca="false">IF(43&lt;=$R$2,43,"")</f>
        <v/>
      </c>
      <c r="B47" s="42" t="str">
        <f aca="false">IF($A47="","",计算_雪球!B66)</f>
        <v/>
      </c>
      <c r="C47" s="43" t="str">
        <f aca="false">IF(OR($A47="",C$4=""),"",IF(每月预算!$B$29="雪崩法",计算_雪崩!I66,计算_雪球!I66))</f>
        <v/>
      </c>
      <c r="D47" s="43" t="str">
        <f aca="false">IF(OR($A47="",D$4=""),"",IF(每月预算!$B$29="雪崩法",计算_雪崩!N66,计算_雪球!N66))</f>
        <v/>
      </c>
      <c r="E47" s="43" t="str">
        <f aca="false">IF(OR($A47="",E$4=""),"",IF(每月预算!$B$29="雪崩法",计算_雪崩!S66,计算_雪球!S66))</f>
        <v/>
      </c>
      <c r="F47" s="43" t="str">
        <f aca="false">IF(OR($A47="",F$4=""),"",IF(每月预算!$B$29="雪崩法",计算_雪崩!X66,计算_雪球!X66))</f>
        <v/>
      </c>
      <c r="G47" s="43" t="str">
        <f aca="false">IF(OR($A47="",G$4=""),"",IF(每月预算!$B$29="雪崩法",计算_雪崩!AC66,计算_雪球!AC66))</f>
        <v/>
      </c>
      <c r="H47" s="43" t="str">
        <f aca="false">IF(OR($A47="",H$4=""),"",IF(每月预算!$B$29="雪崩法",计算_雪崩!AH66,计算_雪球!AH66))</f>
        <v/>
      </c>
      <c r="I47" s="43" t="str">
        <f aca="false">IF(OR($A47="",I$4=""),"",IF(每月预算!$B$29="雪崩法",计算_雪崩!AM66,计算_雪球!AM66))</f>
        <v/>
      </c>
      <c r="J47" s="43" t="str">
        <f aca="false">IF(OR($A47="",J$4=""),"",IF(每月预算!$B$29="雪崩法",计算_雪崩!AR66,计算_雪球!AR66))</f>
        <v/>
      </c>
      <c r="K47" s="43" t="str">
        <f aca="false">IF(OR($A47="",K$4=""),"",IF(每月预算!$B$29="雪崩法",计算_雪崩!AW66,计算_雪球!AW66))</f>
        <v/>
      </c>
      <c r="L47" s="43" t="str">
        <f aca="false">IF(OR($A47="",L$4=""),"",IF(每月预算!$B$29="雪崩法",计算_雪崩!BB66,计算_雪球!BB66))</f>
        <v/>
      </c>
      <c r="M47" s="43" t="str">
        <f aca="false">IF($A47="","",IF(每月预算!$B$29="雪崩法",计算_雪崩!BC66,计算_雪球!BC66))</f>
        <v/>
      </c>
      <c r="N47" s="43" t="str">
        <f aca="false">IF($A47="","",IF(每月预算!$B$29="雪崩法",计算_雪崩!BE66,计算_雪球!BE66))</f>
        <v/>
      </c>
      <c r="O47" s="43" t="str">
        <f aca="false">IF($A47="","",IF(每月预算!$B$29="雪崩法",计算_雪崩!BD66,计算_雪球!BD66))</f>
        <v/>
      </c>
    </row>
    <row r="48" customFormat="false" ht="15" hidden="false" customHeight="false" outlineLevel="0" collapsed="false">
      <c r="A48" s="24" t="str">
        <f aca="false">IF(44&lt;=$R$2,44,"")</f>
        <v/>
      </c>
      <c r="B48" s="42" t="str">
        <f aca="false">IF($A48="","",计算_雪球!B67)</f>
        <v/>
      </c>
      <c r="C48" s="43" t="str">
        <f aca="false">IF(OR($A48="",C$4=""),"",IF(每月预算!$B$29="雪崩法",计算_雪崩!I67,计算_雪球!I67))</f>
        <v/>
      </c>
      <c r="D48" s="43" t="str">
        <f aca="false">IF(OR($A48="",D$4=""),"",IF(每月预算!$B$29="雪崩法",计算_雪崩!N67,计算_雪球!N67))</f>
        <v/>
      </c>
      <c r="E48" s="43" t="str">
        <f aca="false">IF(OR($A48="",E$4=""),"",IF(每月预算!$B$29="雪崩法",计算_雪崩!S67,计算_雪球!S67))</f>
        <v/>
      </c>
      <c r="F48" s="43" t="str">
        <f aca="false">IF(OR($A48="",F$4=""),"",IF(每月预算!$B$29="雪崩法",计算_雪崩!X67,计算_雪球!X67))</f>
        <v/>
      </c>
      <c r="G48" s="43" t="str">
        <f aca="false">IF(OR($A48="",G$4=""),"",IF(每月预算!$B$29="雪崩法",计算_雪崩!AC67,计算_雪球!AC67))</f>
        <v/>
      </c>
      <c r="H48" s="43" t="str">
        <f aca="false">IF(OR($A48="",H$4=""),"",IF(每月预算!$B$29="雪崩法",计算_雪崩!AH67,计算_雪球!AH67))</f>
        <v/>
      </c>
      <c r="I48" s="43" t="str">
        <f aca="false">IF(OR($A48="",I$4=""),"",IF(每月预算!$B$29="雪崩法",计算_雪崩!AM67,计算_雪球!AM67))</f>
        <v/>
      </c>
      <c r="J48" s="43" t="str">
        <f aca="false">IF(OR($A48="",J$4=""),"",IF(每月预算!$B$29="雪崩法",计算_雪崩!AR67,计算_雪球!AR67))</f>
        <v/>
      </c>
      <c r="K48" s="43" t="str">
        <f aca="false">IF(OR($A48="",K$4=""),"",IF(每月预算!$B$29="雪崩法",计算_雪崩!AW67,计算_雪球!AW67))</f>
        <v/>
      </c>
      <c r="L48" s="43" t="str">
        <f aca="false">IF(OR($A48="",L$4=""),"",IF(每月预算!$B$29="雪崩法",计算_雪崩!BB67,计算_雪球!BB67))</f>
        <v/>
      </c>
      <c r="M48" s="43" t="str">
        <f aca="false">IF($A48="","",IF(每月预算!$B$29="雪崩法",计算_雪崩!BC67,计算_雪球!BC67))</f>
        <v/>
      </c>
      <c r="N48" s="43" t="str">
        <f aca="false">IF($A48="","",IF(每月预算!$B$29="雪崩法",计算_雪崩!BE67,计算_雪球!BE67))</f>
        <v/>
      </c>
      <c r="O48" s="43" t="str">
        <f aca="false">IF($A48="","",IF(每月预算!$B$29="雪崩法",计算_雪崩!BD67,计算_雪球!BD67))</f>
        <v/>
      </c>
    </row>
    <row r="49" customFormat="false" ht="15" hidden="false" customHeight="false" outlineLevel="0" collapsed="false">
      <c r="A49" s="24" t="str">
        <f aca="false">IF(45&lt;=$R$2,45,"")</f>
        <v/>
      </c>
      <c r="B49" s="42" t="str">
        <f aca="false">IF($A49="","",计算_雪球!B68)</f>
        <v/>
      </c>
      <c r="C49" s="43" t="str">
        <f aca="false">IF(OR($A49="",C$4=""),"",IF(每月预算!$B$29="雪崩法",计算_雪崩!I68,计算_雪球!I68))</f>
        <v/>
      </c>
      <c r="D49" s="43" t="str">
        <f aca="false">IF(OR($A49="",D$4=""),"",IF(每月预算!$B$29="雪崩法",计算_雪崩!N68,计算_雪球!N68))</f>
        <v/>
      </c>
      <c r="E49" s="43" t="str">
        <f aca="false">IF(OR($A49="",E$4=""),"",IF(每月预算!$B$29="雪崩法",计算_雪崩!S68,计算_雪球!S68))</f>
        <v/>
      </c>
      <c r="F49" s="43" t="str">
        <f aca="false">IF(OR($A49="",F$4=""),"",IF(每月预算!$B$29="雪崩法",计算_雪崩!X68,计算_雪球!X68))</f>
        <v/>
      </c>
      <c r="G49" s="43" t="str">
        <f aca="false">IF(OR($A49="",G$4=""),"",IF(每月预算!$B$29="雪崩法",计算_雪崩!AC68,计算_雪球!AC68))</f>
        <v/>
      </c>
      <c r="H49" s="43" t="str">
        <f aca="false">IF(OR($A49="",H$4=""),"",IF(每月预算!$B$29="雪崩法",计算_雪崩!AH68,计算_雪球!AH68))</f>
        <v/>
      </c>
      <c r="I49" s="43" t="str">
        <f aca="false">IF(OR($A49="",I$4=""),"",IF(每月预算!$B$29="雪崩法",计算_雪崩!AM68,计算_雪球!AM68))</f>
        <v/>
      </c>
      <c r="J49" s="43" t="str">
        <f aca="false">IF(OR($A49="",J$4=""),"",IF(每月预算!$B$29="雪崩法",计算_雪崩!AR68,计算_雪球!AR68))</f>
        <v/>
      </c>
      <c r="K49" s="43" t="str">
        <f aca="false">IF(OR($A49="",K$4=""),"",IF(每月预算!$B$29="雪崩法",计算_雪崩!AW68,计算_雪球!AW68))</f>
        <v/>
      </c>
      <c r="L49" s="43" t="str">
        <f aca="false">IF(OR($A49="",L$4=""),"",IF(每月预算!$B$29="雪崩法",计算_雪崩!BB68,计算_雪球!BB68))</f>
        <v/>
      </c>
      <c r="M49" s="43" t="str">
        <f aca="false">IF($A49="","",IF(每月预算!$B$29="雪崩法",计算_雪崩!BC68,计算_雪球!BC68))</f>
        <v/>
      </c>
      <c r="N49" s="43" t="str">
        <f aca="false">IF($A49="","",IF(每月预算!$B$29="雪崩法",计算_雪崩!BE68,计算_雪球!BE68))</f>
        <v/>
      </c>
      <c r="O49" s="43" t="str">
        <f aca="false">IF($A49="","",IF(每月预算!$B$29="雪崩法",计算_雪崩!BD68,计算_雪球!BD68))</f>
        <v/>
      </c>
    </row>
    <row r="50" customFormat="false" ht="15" hidden="false" customHeight="false" outlineLevel="0" collapsed="false">
      <c r="A50" s="24" t="str">
        <f aca="false">IF(46&lt;=$R$2,46,"")</f>
        <v/>
      </c>
      <c r="B50" s="42" t="str">
        <f aca="false">IF($A50="","",计算_雪球!B69)</f>
        <v/>
      </c>
      <c r="C50" s="43" t="str">
        <f aca="false">IF(OR($A50="",C$4=""),"",IF(每月预算!$B$29="雪崩法",计算_雪崩!I69,计算_雪球!I69))</f>
        <v/>
      </c>
      <c r="D50" s="43" t="str">
        <f aca="false">IF(OR($A50="",D$4=""),"",IF(每月预算!$B$29="雪崩法",计算_雪崩!N69,计算_雪球!N69))</f>
        <v/>
      </c>
      <c r="E50" s="43" t="str">
        <f aca="false">IF(OR($A50="",E$4=""),"",IF(每月预算!$B$29="雪崩法",计算_雪崩!S69,计算_雪球!S69))</f>
        <v/>
      </c>
      <c r="F50" s="43" t="str">
        <f aca="false">IF(OR($A50="",F$4=""),"",IF(每月预算!$B$29="雪崩法",计算_雪崩!X69,计算_雪球!X69))</f>
        <v/>
      </c>
      <c r="G50" s="43" t="str">
        <f aca="false">IF(OR($A50="",G$4=""),"",IF(每月预算!$B$29="雪崩法",计算_雪崩!AC69,计算_雪球!AC69))</f>
        <v/>
      </c>
      <c r="H50" s="43" t="str">
        <f aca="false">IF(OR($A50="",H$4=""),"",IF(每月预算!$B$29="雪崩法",计算_雪崩!AH69,计算_雪球!AH69))</f>
        <v/>
      </c>
      <c r="I50" s="43" t="str">
        <f aca="false">IF(OR($A50="",I$4=""),"",IF(每月预算!$B$29="雪崩法",计算_雪崩!AM69,计算_雪球!AM69))</f>
        <v/>
      </c>
      <c r="J50" s="43" t="str">
        <f aca="false">IF(OR($A50="",J$4=""),"",IF(每月预算!$B$29="雪崩法",计算_雪崩!AR69,计算_雪球!AR69))</f>
        <v/>
      </c>
      <c r="K50" s="43" t="str">
        <f aca="false">IF(OR($A50="",K$4=""),"",IF(每月预算!$B$29="雪崩法",计算_雪崩!AW69,计算_雪球!AW69))</f>
        <v/>
      </c>
      <c r="L50" s="43" t="str">
        <f aca="false">IF(OR($A50="",L$4=""),"",IF(每月预算!$B$29="雪崩法",计算_雪崩!BB69,计算_雪球!BB69))</f>
        <v/>
      </c>
      <c r="M50" s="43" t="str">
        <f aca="false">IF($A50="","",IF(每月预算!$B$29="雪崩法",计算_雪崩!BC69,计算_雪球!BC69))</f>
        <v/>
      </c>
      <c r="N50" s="43" t="str">
        <f aca="false">IF($A50="","",IF(每月预算!$B$29="雪崩法",计算_雪崩!BE69,计算_雪球!BE69))</f>
        <v/>
      </c>
      <c r="O50" s="43" t="str">
        <f aca="false">IF($A50="","",IF(每月预算!$B$29="雪崩法",计算_雪崩!BD69,计算_雪球!BD69))</f>
        <v/>
      </c>
    </row>
    <row r="51" customFormat="false" ht="15" hidden="false" customHeight="false" outlineLevel="0" collapsed="false">
      <c r="A51" s="24" t="str">
        <f aca="false">IF(47&lt;=$R$2,47,"")</f>
        <v/>
      </c>
      <c r="B51" s="42" t="str">
        <f aca="false">IF($A51="","",计算_雪球!B70)</f>
        <v/>
      </c>
      <c r="C51" s="43" t="str">
        <f aca="false">IF(OR($A51="",C$4=""),"",IF(每月预算!$B$29="雪崩法",计算_雪崩!I70,计算_雪球!I70))</f>
        <v/>
      </c>
      <c r="D51" s="43" t="str">
        <f aca="false">IF(OR($A51="",D$4=""),"",IF(每月预算!$B$29="雪崩法",计算_雪崩!N70,计算_雪球!N70))</f>
        <v/>
      </c>
      <c r="E51" s="43" t="str">
        <f aca="false">IF(OR($A51="",E$4=""),"",IF(每月预算!$B$29="雪崩法",计算_雪崩!S70,计算_雪球!S70))</f>
        <v/>
      </c>
      <c r="F51" s="43" t="str">
        <f aca="false">IF(OR($A51="",F$4=""),"",IF(每月预算!$B$29="雪崩法",计算_雪崩!X70,计算_雪球!X70))</f>
        <v/>
      </c>
      <c r="G51" s="43" t="str">
        <f aca="false">IF(OR($A51="",G$4=""),"",IF(每月预算!$B$29="雪崩法",计算_雪崩!AC70,计算_雪球!AC70))</f>
        <v/>
      </c>
      <c r="H51" s="43" t="str">
        <f aca="false">IF(OR($A51="",H$4=""),"",IF(每月预算!$B$29="雪崩法",计算_雪崩!AH70,计算_雪球!AH70))</f>
        <v/>
      </c>
      <c r="I51" s="43" t="str">
        <f aca="false">IF(OR($A51="",I$4=""),"",IF(每月预算!$B$29="雪崩法",计算_雪崩!AM70,计算_雪球!AM70))</f>
        <v/>
      </c>
      <c r="J51" s="43" t="str">
        <f aca="false">IF(OR($A51="",J$4=""),"",IF(每月预算!$B$29="雪崩法",计算_雪崩!AR70,计算_雪球!AR70))</f>
        <v/>
      </c>
      <c r="K51" s="43" t="str">
        <f aca="false">IF(OR($A51="",K$4=""),"",IF(每月预算!$B$29="雪崩法",计算_雪崩!AW70,计算_雪球!AW70))</f>
        <v/>
      </c>
      <c r="L51" s="43" t="str">
        <f aca="false">IF(OR($A51="",L$4=""),"",IF(每月预算!$B$29="雪崩法",计算_雪崩!BB70,计算_雪球!BB70))</f>
        <v/>
      </c>
      <c r="M51" s="43" t="str">
        <f aca="false">IF($A51="","",IF(每月预算!$B$29="雪崩法",计算_雪崩!BC70,计算_雪球!BC70))</f>
        <v/>
      </c>
      <c r="N51" s="43" t="str">
        <f aca="false">IF($A51="","",IF(每月预算!$B$29="雪崩法",计算_雪崩!BE70,计算_雪球!BE70))</f>
        <v/>
      </c>
      <c r="O51" s="43" t="str">
        <f aca="false">IF($A51="","",IF(每月预算!$B$29="雪崩法",计算_雪崩!BD70,计算_雪球!BD70))</f>
        <v/>
      </c>
    </row>
    <row r="52" customFormat="false" ht="15" hidden="false" customHeight="false" outlineLevel="0" collapsed="false">
      <c r="A52" s="24" t="str">
        <f aca="false">IF(48&lt;=$R$2,48,"")</f>
        <v/>
      </c>
      <c r="B52" s="42" t="str">
        <f aca="false">IF($A52="","",计算_雪球!B71)</f>
        <v/>
      </c>
      <c r="C52" s="43" t="str">
        <f aca="false">IF(OR($A52="",C$4=""),"",IF(每月预算!$B$29="雪崩法",计算_雪崩!I71,计算_雪球!I71))</f>
        <v/>
      </c>
      <c r="D52" s="43" t="str">
        <f aca="false">IF(OR($A52="",D$4=""),"",IF(每月预算!$B$29="雪崩法",计算_雪崩!N71,计算_雪球!N71))</f>
        <v/>
      </c>
      <c r="E52" s="43" t="str">
        <f aca="false">IF(OR($A52="",E$4=""),"",IF(每月预算!$B$29="雪崩法",计算_雪崩!S71,计算_雪球!S71))</f>
        <v/>
      </c>
      <c r="F52" s="43" t="str">
        <f aca="false">IF(OR($A52="",F$4=""),"",IF(每月预算!$B$29="雪崩法",计算_雪崩!X71,计算_雪球!X71))</f>
        <v/>
      </c>
      <c r="G52" s="43" t="str">
        <f aca="false">IF(OR($A52="",G$4=""),"",IF(每月预算!$B$29="雪崩法",计算_雪崩!AC71,计算_雪球!AC71))</f>
        <v/>
      </c>
      <c r="H52" s="43" t="str">
        <f aca="false">IF(OR($A52="",H$4=""),"",IF(每月预算!$B$29="雪崩法",计算_雪崩!AH71,计算_雪球!AH71))</f>
        <v/>
      </c>
      <c r="I52" s="43" t="str">
        <f aca="false">IF(OR($A52="",I$4=""),"",IF(每月预算!$B$29="雪崩法",计算_雪崩!AM71,计算_雪球!AM71))</f>
        <v/>
      </c>
      <c r="J52" s="43" t="str">
        <f aca="false">IF(OR($A52="",J$4=""),"",IF(每月预算!$B$29="雪崩法",计算_雪崩!AR71,计算_雪球!AR71))</f>
        <v/>
      </c>
      <c r="K52" s="43" t="str">
        <f aca="false">IF(OR($A52="",K$4=""),"",IF(每月预算!$B$29="雪崩法",计算_雪崩!AW71,计算_雪球!AW71))</f>
        <v/>
      </c>
      <c r="L52" s="43" t="str">
        <f aca="false">IF(OR($A52="",L$4=""),"",IF(每月预算!$B$29="雪崩法",计算_雪崩!BB71,计算_雪球!BB71))</f>
        <v/>
      </c>
      <c r="M52" s="43" t="str">
        <f aca="false">IF($A52="","",IF(每月预算!$B$29="雪崩法",计算_雪崩!BC71,计算_雪球!BC71))</f>
        <v/>
      </c>
      <c r="N52" s="43" t="str">
        <f aca="false">IF($A52="","",IF(每月预算!$B$29="雪崩法",计算_雪崩!BE71,计算_雪球!BE71))</f>
        <v/>
      </c>
      <c r="O52" s="43" t="str">
        <f aca="false">IF($A52="","",IF(每月预算!$B$29="雪崩法",计算_雪崩!BD71,计算_雪球!BD71))</f>
        <v/>
      </c>
    </row>
    <row r="53" customFormat="false" ht="15" hidden="false" customHeight="false" outlineLevel="0" collapsed="false">
      <c r="A53" s="24" t="str">
        <f aca="false">IF(49&lt;=$R$2,49,"")</f>
        <v/>
      </c>
      <c r="B53" s="42" t="str">
        <f aca="false">IF($A53="","",计算_雪球!B72)</f>
        <v/>
      </c>
      <c r="C53" s="43" t="str">
        <f aca="false">IF(OR($A53="",C$4=""),"",IF(每月预算!$B$29="雪崩法",计算_雪崩!I72,计算_雪球!I72))</f>
        <v/>
      </c>
      <c r="D53" s="43" t="str">
        <f aca="false">IF(OR($A53="",D$4=""),"",IF(每月预算!$B$29="雪崩法",计算_雪崩!N72,计算_雪球!N72))</f>
        <v/>
      </c>
      <c r="E53" s="43" t="str">
        <f aca="false">IF(OR($A53="",E$4=""),"",IF(每月预算!$B$29="雪崩法",计算_雪崩!S72,计算_雪球!S72))</f>
        <v/>
      </c>
      <c r="F53" s="43" t="str">
        <f aca="false">IF(OR($A53="",F$4=""),"",IF(每月预算!$B$29="雪崩法",计算_雪崩!X72,计算_雪球!X72))</f>
        <v/>
      </c>
      <c r="G53" s="43" t="str">
        <f aca="false">IF(OR($A53="",G$4=""),"",IF(每月预算!$B$29="雪崩法",计算_雪崩!AC72,计算_雪球!AC72))</f>
        <v/>
      </c>
      <c r="H53" s="43" t="str">
        <f aca="false">IF(OR($A53="",H$4=""),"",IF(每月预算!$B$29="雪崩法",计算_雪崩!AH72,计算_雪球!AH72))</f>
        <v/>
      </c>
      <c r="I53" s="43" t="str">
        <f aca="false">IF(OR($A53="",I$4=""),"",IF(每月预算!$B$29="雪崩法",计算_雪崩!AM72,计算_雪球!AM72))</f>
        <v/>
      </c>
      <c r="J53" s="43" t="str">
        <f aca="false">IF(OR($A53="",J$4=""),"",IF(每月预算!$B$29="雪崩法",计算_雪崩!AR72,计算_雪球!AR72))</f>
        <v/>
      </c>
      <c r="K53" s="43" t="str">
        <f aca="false">IF(OR($A53="",K$4=""),"",IF(每月预算!$B$29="雪崩法",计算_雪崩!AW72,计算_雪球!AW72))</f>
        <v/>
      </c>
      <c r="L53" s="43" t="str">
        <f aca="false">IF(OR($A53="",L$4=""),"",IF(每月预算!$B$29="雪崩法",计算_雪崩!BB72,计算_雪球!BB72))</f>
        <v/>
      </c>
      <c r="M53" s="43" t="str">
        <f aca="false">IF($A53="","",IF(每月预算!$B$29="雪崩法",计算_雪崩!BC72,计算_雪球!BC72))</f>
        <v/>
      </c>
      <c r="N53" s="43" t="str">
        <f aca="false">IF($A53="","",IF(每月预算!$B$29="雪崩法",计算_雪崩!BE72,计算_雪球!BE72))</f>
        <v/>
      </c>
      <c r="O53" s="43" t="str">
        <f aca="false">IF($A53="","",IF(每月预算!$B$29="雪崩法",计算_雪崩!BD72,计算_雪球!BD72))</f>
        <v/>
      </c>
    </row>
    <row r="54" customFormat="false" ht="15" hidden="false" customHeight="false" outlineLevel="0" collapsed="false">
      <c r="A54" s="24" t="str">
        <f aca="false">IF(50&lt;=$R$2,50,"")</f>
        <v/>
      </c>
      <c r="B54" s="42" t="str">
        <f aca="false">IF($A54="","",计算_雪球!B73)</f>
        <v/>
      </c>
      <c r="C54" s="43" t="str">
        <f aca="false">IF(OR($A54="",C$4=""),"",IF(每月预算!$B$29="雪崩法",计算_雪崩!I73,计算_雪球!I73))</f>
        <v/>
      </c>
      <c r="D54" s="43" t="str">
        <f aca="false">IF(OR($A54="",D$4=""),"",IF(每月预算!$B$29="雪崩法",计算_雪崩!N73,计算_雪球!N73))</f>
        <v/>
      </c>
      <c r="E54" s="43" t="str">
        <f aca="false">IF(OR($A54="",E$4=""),"",IF(每月预算!$B$29="雪崩法",计算_雪崩!S73,计算_雪球!S73))</f>
        <v/>
      </c>
      <c r="F54" s="43" t="str">
        <f aca="false">IF(OR($A54="",F$4=""),"",IF(每月预算!$B$29="雪崩法",计算_雪崩!X73,计算_雪球!X73))</f>
        <v/>
      </c>
      <c r="G54" s="43" t="str">
        <f aca="false">IF(OR($A54="",G$4=""),"",IF(每月预算!$B$29="雪崩法",计算_雪崩!AC73,计算_雪球!AC73))</f>
        <v/>
      </c>
      <c r="H54" s="43" t="str">
        <f aca="false">IF(OR($A54="",H$4=""),"",IF(每月预算!$B$29="雪崩法",计算_雪崩!AH73,计算_雪球!AH73))</f>
        <v/>
      </c>
      <c r="I54" s="43" t="str">
        <f aca="false">IF(OR($A54="",I$4=""),"",IF(每月预算!$B$29="雪崩法",计算_雪崩!AM73,计算_雪球!AM73))</f>
        <v/>
      </c>
      <c r="J54" s="43" t="str">
        <f aca="false">IF(OR($A54="",J$4=""),"",IF(每月预算!$B$29="雪崩法",计算_雪崩!AR73,计算_雪球!AR73))</f>
        <v/>
      </c>
      <c r="K54" s="43" t="str">
        <f aca="false">IF(OR($A54="",K$4=""),"",IF(每月预算!$B$29="雪崩法",计算_雪崩!AW73,计算_雪球!AW73))</f>
        <v/>
      </c>
      <c r="L54" s="43" t="str">
        <f aca="false">IF(OR($A54="",L$4=""),"",IF(每月预算!$B$29="雪崩法",计算_雪崩!BB73,计算_雪球!BB73))</f>
        <v/>
      </c>
      <c r="M54" s="43" t="str">
        <f aca="false">IF($A54="","",IF(每月预算!$B$29="雪崩法",计算_雪崩!BC73,计算_雪球!BC73))</f>
        <v/>
      </c>
      <c r="N54" s="43" t="str">
        <f aca="false">IF($A54="","",IF(每月预算!$B$29="雪崩法",计算_雪崩!BE73,计算_雪球!BE73))</f>
        <v/>
      </c>
      <c r="O54" s="43" t="str">
        <f aca="false">IF($A54="","",IF(每月预算!$B$29="雪崩法",计算_雪崩!BD73,计算_雪球!BD73))</f>
        <v/>
      </c>
    </row>
    <row r="55" customFormat="false" ht="15" hidden="false" customHeight="false" outlineLevel="0" collapsed="false">
      <c r="A55" s="24" t="str">
        <f aca="false">IF(51&lt;=$R$2,51,"")</f>
        <v/>
      </c>
      <c r="B55" s="42" t="str">
        <f aca="false">IF($A55="","",计算_雪球!B74)</f>
        <v/>
      </c>
      <c r="C55" s="43" t="str">
        <f aca="false">IF(OR($A55="",C$4=""),"",IF(每月预算!$B$29="雪崩法",计算_雪崩!I74,计算_雪球!I74))</f>
        <v/>
      </c>
      <c r="D55" s="43" t="str">
        <f aca="false">IF(OR($A55="",D$4=""),"",IF(每月预算!$B$29="雪崩法",计算_雪崩!N74,计算_雪球!N74))</f>
        <v/>
      </c>
      <c r="E55" s="43" t="str">
        <f aca="false">IF(OR($A55="",E$4=""),"",IF(每月预算!$B$29="雪崩法",计算_雪崩!S74,计算_雪球!S74))</f>
        <v/>
      </c>
      <c r="F55" s="43" t="str">
        <f aca="false">IF(OR($A55="",F$4=""),"",IF(每月预算!$B$29="雪崩法",计算_雪崩!X74,计算_雪球!X74))</f>
        <v/>
      </c>
      <c r="G55" s="43" t="str">
        <f aca="false">IF(OR($A55="",G$4=""),"",IF(每月预算!$B$29="雪崩法",计算_雪崩!AC74,计算_雪球!AC74))</f>
        <v/>
      </c>
      <c r="H55" s="43" t="str">
        <f aca="false">IF(OR($A55="",H$4=""),"",IF(每月预算!$B$29="雪崩法",计算_雪崩!AH74,计算_雪球!AH74))</f>
        <v/>
      </c>
      <c r="I55" s="43" t="str">
        <f aca="false">IF(OR($A55="",I$4=""),"",IF(每月预算!$B$29="雪崩法",计算_雪崩!AM74,计算_雪球!AM74))</f>
        <v/>
      </c>
      <c r="J55" s="43" t="str">
        <f aca="false">IF(OR($A55="",J$4=""),"",IF(每月预算!$B$29="雪崩法",计算_雪崩!AR74,计算_雪球!AR74))</f>
        <v/>
      </c>
      <c r="K55" s="43" t="str">
        <f aca="false">IF(OR($A55="",K$4=""),"",IF(每月预算!$B$29="雪崩法",计算_雪崩!AW74,计算_雪球!AW74))</f>
        <v/>
      </c>
      <c r="L55" s="43" t="str">
        <f aca="false">IF(OR($A55="",L$4=""),"",IF(每月预算!$B$29="雪崩法",计算_雪崩!BB74,计算_雪球!BB74))</f>
        <v/>
      </c>
      <c r="M55" s="43" t="str">
        <f aca="false">IF($A55="","",IF(每月预算!$B$29="雪崩法",计算_雪崩!BC74,计算_雪球!BC74))</f>
        <v/>
      </c>
      <c r="N55" s="43" t="str">
        <f aca="false">IF($A55="","",IF(每月预算!$B$29="雪崩法",计算_雪崩!BE74,计算_雪球!BE74))</f>
        <v/>
      </c>
      <c r="O55" s="43" t="str">
        <f aca="false">IF($A55="","",IF(每月预算!$B$29="雪崩法",计算_雪崩!BD74,计算_雪球!BD74))</f>
        <v/>
      </c>
    </row>
    <row r="56" customFormat="false" ht="15" hidden="false" customHeight="false" outlineLevel="0" collapsed="false">
      <c r="A56" s="24" t="str">
        <f aca="false">IF(52&lt;=$R$2,52,"")</f>
        <v/>
      </c>
      <c r="B56" s="42" t="str">
        <f aca="false">IF($A56="","",计算_雪球!B75)</f>
        <v/>
      </c>
      <c r="C56" s="43" t="str">
        <f aca="false">IF(OR($A56="",C$4=""),"",IF(每月预算!$B$29="雪崩法",计算_雪崩!I75,计算_雪球!I75))</f>
        <v/>
      </c>
      <c r="D56" s="43" t="str">
        <f aca="false">IF(OR($A56="",D$4=""),"",IF(每月预算!$B$29="雪崩法",计算_雪崩!N75,计算_雪球!N75))</f>
        <v/>
      </c>
      <c r="E56" s="43" t="str">
        <f aca="false">IF(OR($A56="",E$4=""),"",IF(每月预算!$B$29="雪崩法",计算_雪崩!S75,计算_雪球!S75))</f>
        <v/>
      </c>
      <c r="F56" s="43" t="str">
        <f aca="false">IF(OR($A56="",F$4=""),"",IF(每月预算!$B$29="雪崩法",计算_雪崩!X75,计算_雪球!X75))</f>
        <v/>
      </c>
      <c r="G56" s="43" t="str">
        <f aca="false">IF(OR($A56="",G$4=""),"",IF(每月预算!$B$29="雪崩法",计算_雪崩!AC75,计算_雪球!AC75))</f>
        <v/>
      </c>
      <c r="H56" s="43" t="str">
        <f aca="false">IF(OR($A56="",H$4=""),"",IF(每月预算!$B$29="雪崩法",计算_雪崩!AH75,计算_雪球!AH75))</f>
        <v/>
      </c>
      <c r="I56" s="43" t="str">
        <f aca="false">IF(OR($A56="",I$4=""),"",IF(每月预算!$B$29="雪崩法",计算_雪崩!AM75,计算_雪球!AM75))</f>
        <v/>
      </c>
      <c r="J56" s="43" t="str">
        <f aca="false">IF(OR($A56="",J$4=""),"",IF(每月预算!$B$29="雪崩法",计算_雪崩!AR75,计算_雪球!AR75))</f>
        <v/>
      </c>
      <c r="K56" s="43" t="str">
        <f aca="false">IF(OR($A56="",K$4=""),"",IF(每月预算!$B$29="雪崩法",计算_雪崩!AW75,计算_雪球!AW75))</f>
        <v/>
      </c>
      <c r="L56" s="43" t="str">
        <f aca="false">IF(OR($A56="",L$4=""),"",IF(每月预算!$B$29="雪崩法",计算_雪崩!BB75,计算_雪球!BB75))</f>
        <v/>
      </c>
      <c r="M56" s="43" t="str">
        <f aca="false">IF($A56="","",IF(每月预算!$B$29="雪崩法",计算_雪崩!BC75,计算_雪球!BC75))</f>
        <v/>
      </c>
      <c r="N56" s="43" t="str">
        <f aca="false">IF($A56="","",IF(每月预算!$B$29="雪崩法",计算_雪崩!BE75,计算_雪球!BE75))</f>
        <v/>
      </c>
      <c r="O56" s="43" t="str">
        <f aca="false">IF($A56="","",IF(每月预算!$B$29="雪崩法",计算_雪崩!BD75,计算_雪球!BD75))</f>
        <v/>
      </c>
    </row>
    <row r="57" customFormat="false" ht="15" hidden="false" customHeight="false" outlineLevel="0" collapsed="false">
      <c r="A57" s="24" t="str">
        <f aca="false">IF(53&lt;=$R$2,53,"")</f>
        <v/>
      </c>
      <c r="B57" s="42" t="str">
        <f aca="false">IF($A57="","",计算_雪球!B76)</f>
        <v/>
      </c>
      <c r="C57" s="43" t="str">
        <f aca="false">IF(OR($A57="",C$4=""),"",IF(每月预算!$B$29="雪崩法",计算_雪崩!I76,计算_雪球!I76))</f>
        <v/>
      </c>
      <c r="D57" s="43" t="str">
        <f aca="false">IF(OR($A57="",D$4=""),"",IF(每月预算!$B$29="雪崩法",计算_雪崩!N76,计算_雪球!N76))</f>
        <v/>
      </c>
      <c r="E57" s="43" t="str">
        <f aca="false">IF(OR($A57="",E$4=""),"",IF(每月预算!$B$29="雪崩法",计算_雪崩!S76,计算_雪球!S76))</f>
        <v/>
      </c>
      <c r="F57" s="43" t="str">
        <f aca="false">IF(OR($A57="",F$4=""),"",IF(每月预算!$B$29="雪崩法",计算_雪崩!X76,计算_雪球!X76))</f>
        <v/>
      </c>
      <c r="G57" s="43" t="str">
        <f aca="false">IF(OR($A57="",G$4=""),"",IF(每月预算!$B$29="雪崩法",计算_雪崩!AC76,计算_雪球!AC76))</f>
        <v/>
      </c>
      <c r="H57" s="43" t="str">
        <f aca="false">IF(OR($A57="",H$4=""),"",IF(每月预算!$B$29="雪崩法",计算_雪崩!AH76,计算_雪球!AH76))</f>
        <v/>
      </c>
      <c r="I57" s="43" t="str">
        <f aca="false">IF(OR($A57="",I$4=""),"",IF(每月预算!$B$29="雪崩法",计算_雪崩!AM76,计算_雪球!AM76))</f>
        <v/>
      </c>
      <c r="J57" s="43" t="str">
        <f aca="false">IF(OR($A57="",J$4=""),"",IF(每月预算!$B$29="雪崩法",计算_雪崩!AR76,计算_雪球!AR76))</f>
        <v/>
      </c>
      <c r="K57" s="43" t="str">
        <f aca="false">IF(OR($A57="",K$4=""),"",IF(每月预算!$B$29="雪崩法",计算_雪崩!AW76,计算_雪球!AW76))</f>
        <v/>
      </c>
      <c r="L57" s="43" t="str">
        <f aca="false">IF(OR($A57="",L$4=""),"",IF(每月预算!$B$29="雪崩法",计算_雪崩!BB76,计算_雪球!BB76))</f>
        <v/>
      </c>
      <c r="M57" s="43" t="str">
        <f aca="false">IF($A57="","",IF(每月预算!$B$29="雪崩法",计算_雪崩!BC76,计算_雪球!BC76))</f>
        <v/>
      </c>
      <c r="N57" s="43" t="str">
        <f aca="false">IF($A57="","",IF(每月预算!$B$29="雪崩法",计算_雪崩!BE76,计算_雪球!BE76))</f>
        <v/>
      </c>
      <c r="O57" s="43" t="str">
        <f aca="false">IF($A57="","",IF(每月预算!$B$29="雪崩法",计算_雪崩!BD76,计算_雪球!BD76))</f>
        <v/>
      </c>
    </row>
    <row r="58" customFormat="false" ht="15" hidden="false" customHeight="false" outlineLevel="0" collapsed="false">
      <c r="A58" s="24" t="str">
        <f aca="false">IF(54&lt;=$R$2,54,"")</f>
        <v/>
      </c>
      <c r="B58" s="42" t="str">
        <f aca="false">IF($A58="","",计算_雪球!B77)</f>
        <v/>
      </c>
      <c r="C58" s="43" t="str">
        <f aca="false">IF(OR($A58="",C$4=""),"",IF(每月预算!$B$29="雪崩法",计算_雪崩!I77,计算_雪球!I77))</f>
        <v/>
      </c>
      <c r="D58" s="43" t="str">
        <f aca="false">IF(OR($A58="",D$4=""),"",IF(每月预算!$B$29="雪崩法",计算_雪崩!N77,计算_雪球!N77))</f>
        <v/>
      </c>
      <c r="E58" s="43" t="str">
        <f aca="false">IF(OR($A58="",E$4=""),"",IF(每月预算!$B$29="雪崩法",计算_雪崩!S77,计算_雪球!S77))</f>
        <v/>
      </c>
      <c r="F58" s="43" t="str">
        <f aca="false">IF(OR($A58="",F$4=""),"",IF(每月预算!$B$29="雪崩法",计算_雪崩!X77,计算_雪球!X77))</f>
        <v/>
      </c>
      <c r="G58" s="43" t="str">
        <f aca="false">IF(OR($A58="",G$4=""),"",IF(每月预算!$B$29="雪崩法",计算_雪崩!AC77,计算_雪球!AC77))</f>
        <v/>
      </c>
      <c r="H58" s="43" t="str">
        <f aca="false">IF(OR($A58="",H$4=""),"",IF(每月预算!$B$29="雪崩法",计算_雪崩!AH77,计算_雪球!AH77))</f>
        <v/>
      </c>
      <c r="I58" s="43" t="str">
        <f aca="false">IF(OR($A58="",I$4=""),"",IF(每月预算!$B$29="雪崩法",计算_雪崩!AM77,计算_雪球!AM77))</f>
        <v/>
      </c>
      <c r="J58" s="43" t="str">
        <f aca="false">IF(OR($A58="",J$4=""),"",IF(每月预算!$B$29="雪崩法",计算_雪崩!AR77,计算_雪球!AR77))</f>
        <v/>
      </c>
      <c r="K58" s="43" t="str">
        <f aca="false">IF(OR($A58="",K$4=""),"",IF(每月预算!$B$29="雪崩法",计算_雪崩!AW77,计算_雪球!AW77))</f>
        <v/>
      </c>
      <c r="L58" s="43" t="str">
        <f aca="false">IF(OR($A58="",L$4=""),"",IF(每月预算!$B$29="雪崩法",计算_雪崩!BB77,计算_雪球!BB77))</f>
        <v/>
      </c>
      <c r="M58" s="43" t="str">
        <f aca="false">IF($A58="","",IF(每月预算!$B$29="雪崩法",计算_雪崩!BC77,计算_雪球!BC77))</f>
        <v/>
      </c>
      <c r="N58" s="43" t="str">
        <f aca="false">IF($A58="","",IF(每月预算!$B$29="雪崩法",计算_雪崩!BE77,计算_雪球!BE77))</f>
        <v/>
      </c>
      <c r="O58" s="43" t="str">
        <f aca="false">IF($A58="","",IF(每月预算!$B$29="雪崩法",计算_雪崩!BD77,计算_雪球!BD77))</f>
        <v/>
      </c>
    </row>
    <row r="59" customFormat="false" ht="15" hidden="false" customHeight="false" outlineLevel="0" collapsed="false">
      <c r="A59" s="24" t="str">
        <f aca="false">IF(55&lt;=$R$2,55,"")</f>
        <v/>
      </c>
      <c r="B59" s="42" t="str">
        <f aca="false">IF($A59="","",计算_雪球!B78)</f>
        <v/>
      </c>
      <c r="C59" s="43" t="str">
        <f aca="false">IF(OR($A59="",C$4=""),"",IF(每月预算!$B$29="雪崩法",计算_雪崩!I78,计算_雪球!I78))</f>
        <v/>
      </c>
      <c r="D59" s="43" t="str">
        <f aca="false">IF(OR($A59="",D$4=""),"",IF(每月预算!$B$29="雪崩法",计算_雪崩!N78,计算_雪球!N78))</f>
        <v/>
      </c>
      <c r="E59" s="43" t="str">
        <f aca="false">IF(OR($A59="",E$4=""),"",IF(每月预算!$B$29="雪崩法",计算_雪崩!S78,计算_雪球!S78))</f>
        <v/>
      </c>
      <c r="F59" s="43" t="str">
        <f aca="false">IF(OR($A59="",F$4=""),"",IF(每月预算!$B$29="雪崩法",计算_雪崩!X78,计算_雪球!X78))</f>
        <v/>
      </c>
      <c r="G59" s="43" t="str">
        <f aca="false">IF(OR($A59="",G$4=""),"",IF(每月预算!$B$29="雪崩法",计算_雪崩!AC78,计算_雪球!AC78))</f>
        <v/>
      </c>
      <c r="H59" s="43" t="str">
        <f aca="false">IF(OR($A59="",H$4=""),"",IF(每月预算!$B$29="雪崩法",计算_雪崩!AH78,计算_雪球!AH78))</f>
        <v/>
      </c>
      <c r="I59" s="43" t="str">
        <f aca="false">IF(OR($A59="",I$4=""),"",IF(每月预算!$B$29="雪崩法",计算_雪崩!AM78,计算_雪球!AM78))</f>
        <v/>
      </c>
      <c r="J59" s="43" t="str">
        <f aca="false">IF(OR($A59="",J$4=""),"",IF(每月预算!$B$29="雪崩法",计算_雪崩!AR78,计算_雪球!AR78))</f>
        <v/>
      </c>
      <c r="K59" s="43" t="str">
        <f aca="false">IF(OR($A59="",K$4=""),"",IF(每月预算!$B$29="雪崩法",计算_雪崩!AW78,计算_雪球!AW78))</f>
        <v/>
      </c>
      <c r="L59" s="43" t="str">
        <f aca="false">IF(OR($A59="",L$4=""),"",IF(每月预算!$B$29="雪崩法",计算_雪崩!BB78,计算_雪球!BB78))</f>
        <v/>
      </c>
      <c r="M59" s="43" t="str">
        <f aca="false">IF($A59="","",IF(每月预算!$B$29="雪崩法",计算_雪崩!BC78,计算_雪球!BC78))</f>
        <v/>
      </c>
      <c r="N59" s="43" t="str">
        <f aca="false">IF($A59="","",IF(每月预算!$B$29="雪崩法",计算_雪崩!BE78,计算_雪球!BE78))</f>
        <v/>
      </c>
      <c r="O59" s="43" t="str">
        <f aca="false">IF($A59="","",IF(每月预算!$B$29="雪崩法",计算_雪崩!BD78,计算_雪球!BD78))</f>
        <v/>
      </c>
    </row>
    <row r="60" customFormat="false" ht="15" hidden="false" customHeight="false" outlineLevel="0" collapsed="false">
      <c r="A60" s="24" t="str">
        <f aca="false">IF(56&lt;=$R$2,56,"")</f>
        <v/>
      </c>
      <c r="B60" s="42" t="str">
        <f aca="false">IF($A60="","",计算_雪球!B79)</f>
        <v/>
      </c>
      <c r="C60" s="43" t="str">
        <f aca="false">IF(OR($A60="",C$4=""),"",IF(每月预算!$B$29="雪崩法",计算_雪崩!I79,计算_雪球!I79))</f>
        <v/>
      </c>
      <c r="D60" s="43" t="str">
        <f aca="false">IF(OR($A60="",D$4=""),"",IF(每月预算!$B$29="雪崩法",计算_雪崩!N79,计算_雪球!N79))</f>
        <v/>
      </c>
      <c r="E60" s="43" t="str">
        <f aca="false">IF(OR($A60="",E$4=""),"",IF(每月预算!$B$29="雪崩法",计算_雪崩!S79,计算_雪球!S79))</f>
        <v/>
      </c>
      <c r="F60" s="43" t="str">
        <f aca="false">IF(OR($A60="",F$4=""),"",IF(每月预算!$B$29="雪崩法",计算_雪崩!X79,计算_雪球!X79))</f>
        <v/>
      </c>
      <c r="G60" s="43" t="str">
        <f aca="false">IF(OR($A60="",G$4=""),"",IF(每月预算!$B$29="雪崩法",计算_雪崩!AC79,计算_雪球!AC79))</f>
        <v/>
      </c>
      <c r="H60" s="43" t="str">
        <f aca="false">IF(OR($A60="",H$4=""),"",IF(每月预算!$B$29="雪崩法",计算_雪崩!AH79,计算_雪球!AH79))</f>
        <v/>
      </c>
      <c r="I60" s="43" t="str">
        <f aca="false">IF(OR($A60="",I$4=""),"",IF(每月预算!$B$29="雪崩法",计算_雪崩!AM79,计算_雪球!AM79))</f>
        <v/>
      </c>
      <c r="J60" s="43" t="str">
        <f aca="false">IF(OR($A60="",J$4=""),"",IF(每月预算!$B$29="雪崩法",计算_雪崩!AR79,计算_雪球!AR79))</f>
        <v/>
      </c>
      <c r="K60" s="43" t="str">
        <f aca="false">IF(OR($A60="",K$4=""),"",IF(每月预算!$B$29="雪崩法",计算_雪崩!AW79,计算_雪球!AW79))</f>
        <v/>
      </c>
      <c r="L60" s="43" t="str">
        <f aca="false">IF(OR($A60="",L$4=""),"",IF(每月预算!$B$29="雪崩法",计算_雪崩!BB79,计算_雪球!BB79))</f>
        <v/>
      </c>
      <c r="M60" s="43" t="str">
        <f aca="false">IF($A60="","",IF(每月预算!$B$29="雪崩法",计算_雪崩!BC79,计算_雪球!BC79))</f>
        <v/>
      </c>
      <c r="N60" s="43" t="str">
        <f aca="false">IF($A60="","",IF(每月预算!$B$29="雪崩法",计算_雪崩!BE79,计算_雪球!BE79))</f>
        <v/>
      </c>
      <c r="O60" s="43" t="str">
        <f aca="false">IF($A60="","",IF(每月预算!$B$29="雪崩法",计算_雪崩!BD79,计算_雪球!BD79))</f>
        <v/>
      </c>
    </row>
    <row r="61" customFormat="false" ht="15" hidden="false" customHeight="false" outlineLevel="0" collapsed="false">
      <c r="A61" s="24" t="str">
        <f aca="false">IF(57&lt;=$R$2,57,"")</f>
        <v/>
      </c>
      <c r="B61" s="42" t="str">
        <f aca="false">IF($A61="","",计算_雪球!B80)</f>
        <v/>
      </c>
      <c r="C61" s="43" t="str">
        <f aca="false">IF(OR($A61="",C$4=""),"",IF(每月预算!$B$29="雪崩法",计算_雪崩!I80,计算_雪球!I80))</f>
        <v/>
      </c>
      <c r="D61" s="43" t="str">
        <f aca="false">IF(OR($A61="",D$4=""),"",IF(每月预算!$B$29="雪崩法",计算_雪崩!N80,计算_雪球!N80))</f>
        <v/>
      </c>
      <c r="E61" s="43" t="str">
        <f aca="false">IF(OR($A61="",E$4=""),"",IF(每月预算!$B$29="雪崩法",计算_雪崩!S80,计算_雪球!S80))</f>
        <v/>
      </c>
      <c r="F61" s="43" t="str">
        <f aca="false">IF(OR($A61="",F$4=""),"",IF(每月预算!$B$29="雪崩法",计算_雪崩!X80,计算_雪球!X80))</f>
        <v/>
      </c>
      <c r="G61" s="43" t="str">
        <f aca="false">IF(OR($A61="",G$4=""),"",IF(每月预算!$B$29="雪崩法",计算_雪崩!AC80,计算_雪球!AC80))</f>
        <v/>
      </c>
      <c r="H61" s="43" t="str">
        <f aca="false">IF(OR($A61="",H$4=""),"",IF(每月预算!$B$29="雪崩法",计算_雪崩!AH80,计算_雪球!AH80))</f>
        <v/>
      </c>
      <c r="I61" s="43" t="str">
        <f aca="false">IF(OR($A61="",I$4=""),"",IF(每月预算!$B$29="雪崩法",计算_雪崩!AM80,计算_雪球!AM80))</f>
        <v/>
      </c>
      <c r="J61" s="43" t="str">
        <f aca="false">IF(OR($A61="",J$4=""),"",IF(每月预算!$B$29="雪崩法",计算_雪崩!AR80,计算_雪球!AR80))</f>
        <v/>
      </c>
      <c r="K61" s="43" t="str">
        <f aca="false">IF(OR($A61="",K$4=""),"",IF(每月预算!$B$29="雪崩法",计算_雪崩!AW80,计算_雪球!AW80))</f>
        <v/>
      </c>
      <c r="L61" s="43" t="str">
        <f aca="false">IF(OR($A61="",L$4=""),"",IF(每月预算!$B$29="雪崩法",计算_雪崩!BB80,计算_雪球!BB80))</f>
        <v/>
      </c>
      <c r="M61" s="43" t="str">
        <f aca="false">IF($A61="","",IF(每月预算!$B$29="雪崩法",计算_雪崩!BC80,计算_雪球!BC80))</f>
        <v/>
      </c>
      <c r="N61" s="43" t="str">
        <f aca="false">IF($A61="","",IF(每月预算!$B$29="雪崩法",计算_雪崩!BE80,计算_雪球!BE80))</f>
        <v/>
      </c>
      <c r="O61" s="43" t="str">
        <f aca="false">IF($A61="","",IF(每月预算!$B$29="雪崩法",计算_雪崩!BD80,计算_雪球!BD80))</f>
        <v/>
      </c>
    </row>
    <row r="62" customFormat="false" ht="15" hidden="false" customHeight="false" outlineLevel="0" collapsed="false">
      <c r="A62" s="24" t="str">
        <f aca="false">IF(58&lt;=$R$2,58,"")</f>
        <v/>
      </c>
      <c r="B62" s="42" t="str">
        <f aca="false">IF($A62="","",计算_雪球!B81)</f>
        <v/>
      </c>
      <c r="C62" s="43" t="str">
        <f aca="false">IF(OR($A62="",C$4=""),"",IF(每月预算!$B$29="雪崩法",计算_雪崩!I81,计算_雪球!I81))</f>
        <v/>
      </c>
      <c r="D62" s="43" t="str">
        <f aca="false">IF(OR($A62="",D$4=""),"",IF(每月预算!$B$29="雪崩法",计算_雪崩!N81,计算_雪球!N81))</f>
        <v/>
      </c>
      <c r="E62" s="43" t="str">
        <f aca="false">IF(OR($A62="",E$4=""),"",IF(每月预算!$B$29="雪崩法",计算_雪崩!S81,计算_雪球!S81))</f>
        <v/>
      </c>
      <c r="F62" s="43" t="str">
        <f aca="false">IF(OR($A62="",F$4=""),"",IF(每月预算!$B$29="雪崩法",计算_雪崩!X81,计算_雪球!X81))</f>
        <v/>
      </c>
      <c r="G62" s="43" t="str">
        <f aca="false">IF(OR($A62="",G$4=""),"",IF(每月预算!$B$29="雪崩法",计算_雪崩!AC81,计算_雪球!AC81))</f>
        <v/>
      </c>
      <c r="H62" s="43" t="str">
        <f aca="false">IF(OR($A62="",H$4=""),"",IF(每月预算!$B$29="雪崩法",计算_雪崩!AH81,计算_雪球!AH81))</f>
        <v/>
      </c>
      <c r="I62" s="43" t="str">
        <f aca="false">IF(OR($A62="",I$4=""),"",IF(每月预算!$B$29="雪崩法",计算_雪崩!AM81,计算_雪球!AM81))</f>
        <v/>
      </c>
      <c r="J62" s="43" t="str">
        <f aca="false">IF(OR($A62="",J$4=""),"",IF(每月预算!$B$29="雪崩法",计算_雪崩!AR81,计算_雪球!AR81))</f>
        <v/>
      </c>
      <c r="K62" s="43" t="str">
        <f aca="false">IF(OR($A62="",K$4=""),"",IF(每月预算!$B$29="雪崩法",计算_雪崩!AW81,计算_雪球!AW81))</f>
        <v/>
      </c>
      <c r="L62" s="43" t="str">
        <f aca="false">IF(OR($A62="",L$4=""),"",IF(每月预算!$B$29="雪崩法",计算_雪崩!BB81,计算_雪球!BB81))</f>
        <v/>
      </c>
      <c r="M62" s="43" t="str">
        <f aca="false">IF($A62="","",IF(每月预算!$B$29="雪崩法",计算_雪崩!BC81,计算_雪球!BC81))</f>
        <v/>
      </c>
      <c r="N62" s="43" t="str">
        <f aca="false">IF($A62="","",IF(每月预算!$B$29="雪崩法",计算_雪崩!BE81,计算_雪球!BE81))</f>
        <v/>
      </c>
      <c r="O62" s="43" t="str">
        <f aca="false">IF($A62="","",IF(每月预算!$B$29="雪崩法",计算_雪崩!BD81,计算_雪球!BD81))</f>
        <v/>
      </c>
    </row>
    <row r="63" customFormat="false" ht="15" hidden="false" customHeight="false" outlineLevel="0" collapsed="false">
      <c r="A63" s="24" t="str">
        <f aca="false">IF(59&lt;=$R$2,59,"")</f>
        <v/>
      </c>
      <c r="B63" s="42" t="str">
        <f aca="false">IF($A63="","",计算_雪球!B82)</f>
        <v/>
      </c>
      <c r="C63" s="43" t="str">
        <f aca="false">IF(OR($A63="",C$4=""),"",IF(每月预算!$B$29="雪崩法",计算_雪崩!I82,计算_雪球!I82))</f>
        <v/>
      </c>
      <c r="D63" s="43" t="str">
        <f aca="false">IF(OR($A63="",D$4=""),"",IF(每月预算!$B$29="雪崩法",计算_雪崩!N82,计算_雪球!N82))</f>
        <v/>
      </c>
      <c r="E63" s="43" t="str">
        <f aca="false">IF(OR($A63="",E$4=""),"",IF(每月预算!$B$29="雪崩法",计算_雪崩!S82,计算_雪球!S82))</f>
        <v/>
      </c>
      <c r="F63" s="43" t="str">
        <f aca="false">IF(OR($A63="",F$4=""),"",IF(每月预算!$B$29="雪崩法",计算_雪崩!X82,计算_雪球!X82))</f>
        <v/>
      </c>
      <c r="G63" s="43" t="str">
        <f aca="false">IF(OR($A63="",G$4=""),"",IF(每月预算!$B$29="雪崩法",计算_雪崩!AC82,计算_雪球!AC82))</f>
        <v/>
      </c>
      <c r="H63" s="43" t="str">
        <f aca="false">IF(OR($A63="",H$4=""),"",IF(每月预算!$B$29="雪崩法",计算_雪崩!AH82,计算_雪球!AH82))</f>
        <v/>
      </c>
      <c r="I63" s="43" t="str">
        <f aca="false">IF(OR($A63="",I$4=""),"",IF(每月预算!$B$29="雪崩法",计算_雪崩!AM82,计算_雪球!AM82))</f>
        <v/>
      </c>
      <c r="J63" s="43" t="str">
        <f aca="false">IF(OR($A63="",J$4=""),"",IF(每月预算!$B$29="雪崩法",计算_雪崩!AR82,计算_雪球!AR82))</f>
        <v/>
      </c>
      <c r="K63" s="43" t="str">
        <f aca="false">IF(OR($A63="",K$4=""),"",IF(每月预算!$B$29="雪崩法",计算_雪崩!AW82,计算_雪球!AW82))</f>
        <v/>
      </c>
      <c r="L63" s="43" t="str">
        <f aca="false">IF(OR($A63="",L$4=""),"",IF(每月预算!$B$29="雪崩法",计算_雪崩!BB82,计算_雪球!BB82))</f>
        <v/>
      </c>
      <c r="M63" s="43" t="str">
        <f aca="false">IF($A63="","",IF(每月预算!$B$29="雪崩法",计算_雪崩!BC82,计算_雪球!BC82))</f>
        <v/>
      </c>
      <c r="N63" s="43" t="str">
        <f aca="false">IF($A63="","",IF(每月预算!$B$29="雪崩法",计算_雪崩!BE82,计算_雪球!BE82))</f>
        <v/>
      </c>
      <c r="O63" s="43" t="str">
        <f aca="false">IF($A63="","",IF(每月预算!$B$29="雪崩法",计算_雪崩!BD82,计算_雪球!BD82))</f>
        <v/>
      </c>
    </row>
    <row r="64" customFormat="false" ht="15" hidden="false" customHeight="false" outlineLevel="0" collapsed="false">
      <c r="A64" s="24" t="str">
        <f aca="false">IF(60&lt;=$R$2,60,"")</f>
        <v/>
      </c>
      <c r="B64" s="42" t="str">
        <f aca="false">IF($A64="","",计算_雪球!B83)</f>
        <v/>
      </c>
      <c r="C64" s="43" t="str">
        <f aca="false">IF(OR($A64="",C$4=""),"",IF(每月预算!$B$29="雪崩法",计算_雪崩!I83,计算_雪球!I83))</f>
        <v/>
      </c>
      <c r="D64" s="43" t="str">
        <f aca="false">IF(OR($A64="",D$4=""),"",IF(每月预算!$B$29="雪崩法",计算_雪崩!N83,计算_雪球!N83))</f>
        <v/>
      </c>
      <c r="E64" s="43" t="str">
        <f aca="false">IF(OR($A64="",E$4=""),"",IF(每月预算!$B$29="雪崩法",计算_雪崩!S83,计算_雪球!S83))</f>
        <v/>
      </c>
      <c r="F64" s="43" t="str">
        <f aca="false">IF(OR($A64="",F$4=""),"",IF(每月预算!$B$29="雪崩法",计算_雪崩!X83,计算_雪球!X83))</f>
        <v/>
      </c>
      <c r="G64" s="43" t="str">
        <f aca="false">IF(OR($A64="",G$4=""),"",IF(每月预算!$B$29="雪崩法",计算_雪崩!AC83,计算_雪球!AC83))</f>
        <v/>
      </c>
      <c r="H64" s="43" t="str">
        <f aca="false">IF(OR($A64="",H$4=""),"",IF(每月预算!$B$29="雪崩法",计算_雪崩!AH83,计算_雪球!AH83))</f>
        <v/>
      </c>
      <c r="I64" s="43" t="str">
        <f aca="false">IF(OR($A64="",I$4=""),"",IF(每月预算!$B$29="雪崩法",计算_雪崩!AM83,计算_雪球!AM83))</f>
        <v/>
      </c>
      <c r="J64" s="43" t="str">
        <f aca="false">IF(OR($A64="",J$4=""),"",IF(每月预算!$B$29="雪崩法",计算_雪崩!AR83,计算_雪球!AR83))</f>
        <v/>
      </c>
      <c r="K64" s="43" t="str">
        <f aca="false">IF(OR($A64="",K$4=""),"",IF(每月预算!$B$29="雪崩法",计算_雪崩!AW83,计算_雪球!AW83))</f>
        <v/>
      </c>
      <c r="L64" s="43" t="str">
        <f aca="false">IF(OR($A64="",L$4=""),"",IF(每月预算!$B$29="雪崩法",计算_雪崩!BB83,计算_雪球!BB83))</f>
        <v/>
      </c>
      <c r="M64" s="43" t="str">
        <f aca="false">IF($A64="","",IF(每月预算!$B$29="雪崩法",计算_雪崩!BC83,计算_雪球!BC83))</f>
        <v/>
      </c>
      <c r="N64" s="43" t="str">
        <f aca="false">IF($A64="","",IF(每月预算!$B$29="雪崩法",计算_雪崩!BE83,计算_雪球!BE83))</f>
        <v/>
      </c>
      <c r="O64" s="43" t="str">
        <f aca="false">IF($A64="","",IF(每月预算!$B$29="雪崩法",计算_雪崩!BD83,计算_雪球!BD83))</f>
        <v/>
      </c>
    </row>
    <row r="65" customFormat="false" ht="15" hidden="false" customHeight="false" outlineLevel="0" collapsed="false">
      <c r="A65" s="24" t="str">
        <f aca="false">IF(61&lt;=$R$2,61,"")</f>
        <v/>
      </c>
      <c r="B65" s="42" t="str">
        <f aca="false">IF($A65="","",计算_雪球!B84)</f>
        <v/>
      </c>
      <c r="C65" s="43" t="str">
        <f aca="false">IF(OR($A65="",C$4=""),"",IF(每月预算!$B$29="雪崩法",计算_雪崩!I84,计算_雪球!I84))</f>
        <v/>
      </c>
      <c r="D65" s="43" t="str">
        <f aca="false">IF(OR($A65="",D$4=""),"",IF(每月预算!$B$29="雪崩法",计算_雪崩!N84,计算_雪球!N84))</f>
        <v/>
      </c>
      <c r="E65" s="43" t="str">
        <f aca="false">IF(OR($A65="",E$4=""),"",IF(每月预算!$B$29="雪崩法",计算_雪崩!S84,计算_雪球!S84))</f>
        <v/>
      </c>
      <c r="F65" s="43" t="str">
        <f aca="false">IF(OR($A65="",F$4=""),"",IF(每月预算!$B$29="雪崩法",计算_雪崩!X84,计算_雪球!X84))</f>
        <v/>
      </c>
      <c r="G65" s="43" t="str">
        <f aca="false">IF(OR($A65="",G$4=""),"",IF(每月预算!$B$29="雪崩法",计算_雪崩!AC84,计算_雪球!AC84))</f>
        <v/>
      </c>
      <c r="H65" s="43" t="str">
        <f aca="false">IF(OR($A65="",H$4=""),"",IF(每月预算!$B$29="雪崩法",计算_雪崩!AH84,计算_雪球!AH84))</f>
        <v/>
      </c>
      <c r="I65" s="43" t="str">
        <f aca="false">IF(OR($A65="",I$4=""),"",IF(每月预算!$B$29="雪崩法",计算_雪崩!AM84,计算_雪球!AM84))</f>
        <v/>
      </c>
      <c r="J65" s="43" t="str">
        <f aca="false">IF(OR($A65="",J$4=""),"",IF(每月预算!$B$29="雪崩法",计算_雪崩!AR84,计算_雪球!AR84))</f>
        <v/>
      </c>
      <c r="K65" s="43" t="str">
        <f aca="false">IF(OR($A65="",K$4=""),"",IF(每月预算!$B$29="雪崩法",计算_雪崩!AW84,计算_雪球!AW84))</f>
        <v/>
      </c>
      <c r="L65" s="43" t="str">
        <f aca="false">IF(OR($A65="",L$4=""),"",IF(每月预算!$B$29="雪崩法",计算_雪崩!BB84,计算_雪球!BB84))</f>
        <v/>
      </c>
      <c r="M65" s="43" t="str">
        <f aca="false">IF($A65="","",IF(每月预算!$B$29="雪崩法",计算_雪崩!BC84,计算_雪球!BC84))</f>
        <v/>
      </c>
      <c r="N65" s="43" t="str">
        <f aca="false">IF($A65="","",IF(每月预算!$B$29="雪崩法",计算_雪崩!BE84,计算_雪球!BE84))</f>
        <v/>
      </c>
      <c r="O65" s="43" t="str">
        <f aca="false">IF($A65="","",IF(每月预算!$B$29="雪崩法",计算_雪崩!BD84,计算_雪球!BD84))</f>
        <v/>
      </c>
    </row>
    <row r="66" customFormat="false" ht="15" hidden="false" customHeight="false" outlineLevel="0" collapsed="false">
      <c r="A66" s="24" t="str">
        <f aca="false">IF(62&lt;=$R$2,62,"")</f>
        <v/>
      </c>
      <c r="B66" s="42" t="str">
        <f aca="false">IF($A66="","",计算_雪球!B85)</f>
        <v/>
      </c>
      <c r="C66" s="43" t="str">
        <f aca="false">IF(OR($A66="",C$4=""),"",IF(每月预算!$B$29="雪崩法",计算_雪崩!I85,计算_雪球!I85))</f>
        <v/>
      </c>
      <c r="D66" s="43" t="str">
        <f aca="false">IF(OR($A66="",D$4=""),"",IF(每月预算!$B$29="雪崩法",计算_雪崩!N85,计算_雪球!N85))</f>
        <v/>
      </c>
      <c r="E66" s="43" t="str">
        <f aca="false">IF(OR($A66="",E$4=""),"",IF(每月预算!$B$29="雪崩法",计算_雪崩!S85,计算_雪球!S85))</f>
        <v/>
      </c>
      <c r="F66" s="43" t="str">
        <f aca="false">IF(OR($A66="",F$4=""),"",IF(每月预算!$B$29="雪崩法",计算_雪崩!X85,计算_雪球!X85))</f>
        <v/>
      </c>
      <c r="G66" s="43" t="str">
        <f aca="false">IF(OR($A66="",G$4=""),"",IF(每月预算!$B$29="雪崩法",计算_雪崩!AC85,计算_雪球!AC85))</f>
        <v/>
      </c>
      <c r="H66" s="43" t="str">
        <f aca="false">IF(OR($A66="",H$4=""),"",IF(每月预算!$B$29="雪崩法",计算_雪崩!AH85,计算_雪球!AH85))</f>
        <v/>
      </c>
      <c r="I66" s="43" t="str">
        <f aca="false">IF(OR($A66="",I$4=""),"",IF(每月预算!$B$29="雪崩法",计算_雪崩!AM85,计算_雪球!AM85))</f>
        <v/>
      </c>
      <c r="J66" s="43" t="str">
        <f aca="false">IF(OR($A66="",J$4=""),"",IF(每月预算!$B$29="雪崩法",计算_雪崩!AR85,计算_雪球!AR85))</f>
        <v/>
      </c>
      <c r="K66" s="43" t="str">
        <f aca="false">IF(OR($A66="",K$4=""),"",IF(每月预算!$B$29="雪崩法",计算_雪崩!AW85,计算_雪球!AW85))</f>
        <v/>
      </c>
      <c r="L66" s="43" t="str">
        <f aca="false">IF(OR($A66="",L$4=""),"",IF(每月预算!$B$29="雪崩法",计算_雪崩!BB85,计算_雪球!BB85))</f>
        <v/>
      </c>
      <c r="M66" s="43" t="str">
        <f aca="false">IF($A66="","",IF(每月预算!$B$29="雪崩法",计算_雪崩!BC85,计算_雪球!BC85))</f>
        <v/>
      </c>
      <c r="N66" s="43" t="str">
        <f aca="false">IF($A66="","",IF(每月预算!$B$29="雪崩法",计算_雪崩!BE85,计算_雪球!BE85))</f>
        <v/>
      </c>
      <c r="O66" s="43" t="str">
        <f aca="false">IF($A66="","",IF(每月预算!$B$29="雪崩法",计算_雪崩!BD85,计算_雪球!BD85))</f>
        <v/>
      </c>
    </row>
    <row r="67" customFormat="false" ht="15" hidden="false" customHeight="false" outlineLevel="0" collapsed="false">
      <c r="A67" s="24" t="str">
        <f aca="false">IF(63&lt;=$R$2,63,"")</f>
        <v/>
      </c>
      <c r="B67" s="42" t="str">
        <f aca="false">IF($A67="","",计算_雪球!B86)</f>
        <v/>
      </c>
      <c r="C67" s="43" t="str">
        <f aca="false">IF(OR($A67="",C$4=""),"",IF(每月预算!$B$29="雪崩法",计算_雪崩!I86,计算_雪球!I86))</f>
        <v/>
      </c>
      <c r="D67" s="43" t="str">
        <f aca="false">IF(OR($A67="",D$4=""),"",IF(每月预算!$B$29="雪崩法",计算_雪崩!N86,计算_雪球!N86))</f>
        <v/>
      </c>
      <c r="E67" s="43" t="str">
        <f aca="false">IF(OR($A67="",E$4=""),"",IF(每月预算!$B$29="雪崩法",计算_雪崩!S86,计算_雪球!S86))</f>
        <v/>
      </c>
      <c r="F67" s="43" t="str">
        <f aca="false">IF(OR($A67="",F$4=""),"",IF(每月预算!$B$29="雪崩法",计算_雪崩!X86,计算_雪球!X86))</f>
        <v/>
      </c>
      <c r="G67" s="43" t="str">
        <f aca="false">IF(OR($A67="",G$4=""),"",IF(每月预算!$B$29="雪崩法",计算_雪崩!AC86,计算_雪球!AC86))</f>
        <v/>
      </c>
      <c r="H67" s="43" t="str">
        <f aca="false">IF(OR($A67="",H$4=""),"",IF(每月预算!$B$29="雪崩法",计算_雪崩!AH86,计算_雪球!AH86))</f>
        <v/>
      </c>
      <c r="I67" s="43" t="str">
        <f aca="false">IF(OR($A67="",I$4=""),"",IF(每月预算!$B$29="雪崩法",计算_雪崩!AM86,计算_雪球!AM86))</f>
        <v/>
      </c>
      <c r="J67" s="43" t="str">
        <f aca="false">IF(OR($A67="",J$4=""),"",IF(每月预算!$B$29="雪崩法",计算_雪崩!AR86,计算_雪球!AR86))</f>
        <v/>
      </c>
      <c r="K67" s="43" t="str">
        <f aca="false">IF(OR($A67="",K$4=""),"",IF(每月预算!$B$29="雪崩法",计算_雪崩!AW86,计算_雪球!AW86))</f>
        <v/>
      </c>
      <c r="L67" s="43" t="str">
        <f aca="false">IF(OR($A67="",L$4=""),"",IF(每月预算!$B$29="雪崩法",计算_雪崩!BB86,计算_雪球!BB86))</f>
        <v/>
      </c>
      <c r="M67" s="43" t="str">
        <f aca="false">IF($A67="","",IF(每月预算!$B$29="雪崩法",计算_雪崩!BC86,计算_雪球!BC86))</f>
        <v/>
      </c>
      <c r="N67" s="43" t="str">
        <f aca="false">IF($A67="","",IF(每月预算!$B$29="雪崩法",计算_雪崩!BE86,计算_雪球!BE86))</f>
        <v/>
      </c>
      <c r="O67" s="43" t="str">
        <f aca="false">IF($A67="","",IF(每月预算!$B$29="雪崩法",计算_雪崩!BD86,计算_雪球!BD86))</f>
        <v/>
      </c>
    </row>
    <row r="68" customFormat="false" ht="15" hidden="false" customHeight="false" outlineLevel="0" collapsed="false">
      <c r="A68" s="24" t="str">
        <f aca="false">IF(64&lt;=$R$2,64,"")</f>
        <v/>
      </c>
      <c r="B68" s="42" t="str">
        <f aca="false">IF($A68="","",计算_雪球!B87)</f>
        <v/>
      </c>
      <c r="C68" s="43" t="str">
        <f aca="false">IF(OR($A68="",C$4=""),"",IF(每月预算!$B$29="雪崩法",计算_雪崩!I87,计算_雪球!I87))</f>
        <v/>
      </c>
      <c r="D68" s="43" t="str">
        <f aca="false">IF(OR($A68="",D$4=""),"",IF(每月预算!$B$29="雪崩法",计算_雪崩!N87,计算_雪球!N87))</f>
        <v/>
      </c>
      <c r="E68" s="43" t="str">
        <f aca="false">IF(OR($A68="",E$4=""),"",IF(每月预算!$B$29="雪崩法",计算_雪崩!S87,计算_雪球!S87))</f>
        <v/>
      </c>
      <c r="F68" s="43" t="str">
        <f aca="false">IF(OR($A68="",F$4=""),"",IF(每月预算!$B$29="雪崩法",计算_雪崩!X87,计算_雪球!X87))</f>
        <v/>
      </c>
      <c r="G68" s="43" t="str">
        <f aca="false">IF(OR($A68="",G$4=""),"",IF(每月预算!$B$29="雪崩法",计算_雪崩!AC87,计算_雪球!AC87))</f>
        <v/>
      </c>
      <c r="H68" s="43" t="str">
        <f aca="false">IF(OR($A68="",H$4=""),"",IF(每月预算!$B$29="雪崩法",计算_雪崩!AH87,计算_雪球!AH87))</f>
        <v/>
      </c>
      <c r="I68" s="43" t="str">
        <f aca="false">IF(OR($A68="",I$4=""),"",IF(每月预算!$B$29="雪崩法",计算_雪崩!AM87,计算_雪球!AM87))</f>
        <v/>
      </c>
      <c r="J68" s="43" t="str">
        <f aca="false">IF(OR($A68="",J$4=""),"",IF(每月预算!$B$29="雪崩法",计算_雪崩!AR87,计算_雪球!AR87))</f>
        <v/>
      </c>
      <c r="K68" s="43" t="str">
        <f aca="false">IF(OR($A68="",K$4=""),"",IF(每月预算!$B$29="雪崩法",计算_雪崩!AW87,计算_雪球!AW87))</f>
        <v/>
      </c>
      <c r="L68" s="43" t="str">
        <f aca="false">IF(OR($A68="",L$4=""),"",IF(每月预算!$B$29="雪崩法",计算_雪崩!BB87,计算_雪球!BB87))</f>
        <v/>
      </c>
      <c r="M68" s="43" t="str">
        <f aca="false">IF($A68="","",IF(每月预算!$B$29="雪崩法",计算_雪崩!BC87,计算_雪球!BC87))</f>
        <v/>
      </c>
      <c r="N68" s="43" t="str">
        <f aca="false">IF($A68="","",IF(每月预算!$B$29="雪崩法",计算_雪崩!BE87,计算_雪球!BE87))</f>
        <v/>
      </c>
      <c r="O68" s="43" t="str">
        <f aca="false">IF($A68="","",IF(每月预算!$B$29="雪崩法",计算_雪崩!BD87,计算_雪球!BD87))</f>
        <v/>
      </c>
    </row>
    <row r="69" customFormat="false" ht="15" hidden="false" customHeight="false" outlineLevel="0" collapsed="false">
      <c r="A69" s="24" t="str">
        <f aca="false">IF(65&lt;=$R$2,65,"")</f>
        <v/>
      </c>
      <c r="B69" s="42" t="str">
        <f aca="false">IF($A69="","",计算_雪球!B88)</f>
        <v/>
      </c>
      <c r="C69" s="43" t="str">
        <f aca="false">IF(OR($A69="",C$4=""),"",IF(每月预算!$B$29="雪崩法",计算_雪崩!I88,计算_雪球!I88))</f>
        <v/>
      </c>
      <c r="D69" s="43" t="str">
        <f aca="false">IF(OR($A69="",D$4=""),"",IF(每月预算!$B$29="雪崩法",计算_雪崩!N88,计算_雪球!N88))</f>
        <v/>
      </c>
      <c r="E69" s="43" t="str">
        <f aca="false">IF(OR($A69="",E$4=""),"",IF(每月预算!$B$29="雪崩法",计算_雪崩!S88,计算_雪球!S88))</f>
        <v/>
      </c>
      <c r="F69" s="43" t="str">
        <f aca="false">IF(OR($A69="",F$4=""),"",IF(每月预算!$B$29="雪崩法",计算_雪崩!X88,计算_雪球!X88))</f>
        <v/>
      </c>
      <c r="G69" s="43" t="str">
        <f aca="false">IF(OR($A69="",G$4=""),"",IF(每月预算!$B$29="雪崩法",计算_雪崩!AC88,计算_雪球!AC88))</f>
        <v/>
      </c>
      <c r="H69" s="43" t="str">
        <f aca="false">IF(OR($A69="",H$4=""),"",IF(每月预算!$B$29="雪崩法",计算_雪崩!AH88,计算_雪球!AH88))</f>
        <v/>
      </c>
      <c r="I69" s="43" t="str">
        <f aca="false">IF(OR($A69="",I$4=""),"",IF(每月预算!$B$29="雪崩法",计算_雪崩!AM88,计算_雪球!AM88))</f>
        <v/>
      </c>
      <c r="J69" s="43" t="str">
        <f aca="false">IF(OR($A69="",J$4=""),"",IF(每月预算!$B$29="雪崩法",计算_雪崩!AR88,计算_雪球!AR88))</f>
        <v/>
      </c>
      <c r="K69" s="43" t="str">
        <f aca="false">IF(OR($A69="",K$4=""),"",IF(每月预算!$B$29="雪崩法",计算_雪崩!AW88,计算_雪球!AW88))</f>
        <v/>
      </c>
      <c r="L69" s="43" t="str">
        <f aca="false">IF(OR($A69="",L$4=""),"",IF(每月预算!$B$29="雪崩法",计算_雪崩!BB88,计算_雪球!BB88))</f>
        <v/>
      </c>
      <c r="M69" s="43" t="str">
        <f aca="false">IF($A69="","",IF(每月预算!$B$29="雪崩法",计算_雪崩!BC88,计算_雪球!BC88))</f>
        <v/>
      </c>
      <c r="N69" s="43" t="str">
        <f aca="false">IF($A69="","",IF(每月预算!$B$29="雪崩法",计算_雪崩!BE88,计算_雪球!BE88))</f>
        <v/>
      </c>
      <c r="O69" s="43" t="str">
        <f aca="false">IF($A69="","",IF(每月预算!$B$29="雪崩法",计算_雪崩!BD88,计算_雪球!BD88))</f>
        <v/>
      </c>
    </row>
    <row r="70" customFormat="false" ht="15" hidden="false" customHeight="false" outlineLevel="0" collapsed="false">
      <c r="A70" s="24" t="str">
        <f aca="false">IF(66&lt;=$R$2,66,"")</f>
        <v/>
      </c>
      <c r="B70" s="42" t="str">
        <f aca="false">IF($A70="","",计算_雪球!B89)</f>
        <v/>
      </c>
      <c r="C70" s="43" t="str">
        <f aca="false">IF(OR($A70="",C$4=""),"",IF(每月预算!$B$29="雪崩法",计算_雪崩!I89,计算_雪球!I89))</f>
        <v/>
      </c>
      <c r="D70" s="43" t="str">
        <f aca="false">IF(OR($A70="",D$4=""),"",IF(每月预算!$B$29="雪崩法",计算_雪崩!N89,计算_雪球!N89))</f>
        <v/>
      </c>
      <c r="E70" s="43" t="str">
        <f aca="false">IF(OR($A70="",E$4=""),"",IF(每月预算!$B$29="雪崩法",计算_雪崩!S89,计算_雪球!S89))</f>
        <v/>
      </c>
      <c r="F70" s="43" t="str">
        <f aca="false">IF(OR($A70="",F$4=""),"",IF(每月预算!$B$29="雪崩法",计算_雪崩!X89,计算_雪球!X89))</f>
        <v/>
      </c>
      <c r="G70" s="43" t="str">
        <f aca="false">IF(OR($A70="",G$4=""),"",IF(每月预算!$B$29="雪崩法",计算_雪崩!AC89,计算_雪球!AC89))</f>
        <v/>
      </c>
      <c r="H70" s="43" t="str">
        <f aca="false">IF(OR($A70="",H$4=""),"",IF(每月预算!$B$29="雪崩法",计算_雪崩!AH89,计算_雪球!AH89))</f>
        <v/>
      </c>
      <c r="I70" s="43" t="str">
        <f aca="false">IF(OR($A70="",I$4=""),"",IF(每月预算!$B$29="雪崩法",计算_雪崩!AM89,计算_雪球!AM89))</f>
        <v/>
      </c>
      <c r="J70" s="43" t="str">
        <f aca="false">IF(OR($A70="",J$4=""),"",IF(每月预算!$B$29="雪崩法",计算_雪崩!AR89,计算_雪球!AR89))</f>
        <v/>
      </c>
      <c r="K70" s="43" t="str">
        <f aca="false">IF(OR($A70="",K$4=""),"",IF(每月预算!$B$29="雪崩法",计算_雪崩!AW89,计算_雪球!AW89))</f>
        <v/>
      </c>
      <c r="L70" s="43" t="str">
        <f aca="false">IF(OR($A70="",L$4=""),"",IF(每月预算!$B$29="雪崩法",计算_雪崩!BB89,计算_雪球!BB89))</f>
        <v/>
      </c>
      <c r="M70" s="43" t="str">
        <f aca="false">IF($A70="","",IF(每月预算!$B$29="雪崩法",计算_雪崩!BC89,计算_雪球!BC89))</f>
        <v/>
      </c>
      <c r="N70" s="43" t="str">
        <f aca="false">IF($A70="","",IF(每月预算!$B$29="雪崩法",计算_雪崩!BE89,计算_雪球!BE89))</f>
        <v/>
      </c>
      <c r="O70" s="43" t="str">
        <f aca="false">IF($A70="","",IF(每月预算!$B$29="雪崩法",计算_雪崩!BD89,计算_雪球!BD89))</f>
        <v/>
      </c>
    </row>
    <row r="71" customFormat="false" ht="15" hidden="false" customHeight="false" outlineLevel="0" collapsed="false">
      <c r="A71" s="24" t="str">
        <f aca="false">IF(67&lt;=$R$2,67,"")</f>
        <v/>
      </c>
      <c r="B71" s="42" t="str">
        <f aca="false">IF($A71="","",计算_雪球!B90)</f>
        <v/>
      </c>
      <c r="C71" s="43" t="str">
        <f aca="false">IF(OR($A71="",C$4=""),"",IF(每月预算!$B$29="雪崩法",计算_雪崩!I90,计算_雪球!I90))</f>
        <v/>
      </c>
      <c r="D71" s="43" t="str">
        <f aca="false">IF(OR($A71="",D$4=""),"",IF(每月预算!$B$29="雪崩法",计算_雪崩!N90,计算_雪球!N90))</f>
        <v/>
      </c>
      <c r="E71" s="43" t="str">
        <f aca="false">IF(OR($A71="",E$4=""),"",IF(每月预算!$B$29="雪崩法",计算_雪崩!S90,计算_雪球!S90))</f>
        <v/>
      </c>
      <c r="F71" s="43" t="str">
        <f aca="false">IF(OR($A71="",F$4=""),"",IF(每月预算!$B$29="雪崩法",计算_雪崩!X90,计算_雪球!X90))</f>
        <v/>
      </c>
      <c r="G71" s="43" t="str">
        <f aca="false">IF(OR($A71="",G$4=""),"",IF(每月预算!$B$29="雪崩法",计算_雪崩!AC90,计算_雪球!AC90))</f>
        <v/>
      </c>
      <c r="H71" s="43" t="str">
        <f aca="false">IF(OR($A71="",H$4=""),"",IF(每月预算!$B$29="雪崩法",计算_雪崩!AH90,计算_雪球!AH90))</f>
        <v/>
      </c>
      <c r="I71" s="43" t="str">
        <f aca="false">IF(OR($A71="",I$4=""),"",IF(每月预算!$B$29="雪崩法",计算_雪崩!AM90,计算_雪球!AM90))</f>
        <v/>
      </c>
      <c r="J71" s="43" t="str">
        <f aca="false">IF(OR($A71="",J$4=""),"",IF(每月预算!$B$29="雪崩法",计算_雪崩!AR90,计算_雪球!AR90))</f>
        <v/>
      </c>
      <c r="K71" s="43" t="str">
        <f aca="false">IF(OR($A71="",K$4=""),"",IF(每月预算!$B$29="雪崩法",计算_雪崩!AW90,计算_雪球!AW90))</f>
        <v/>
      </c>
      <c r="L71" s="43" t="str">
        <f aca="false">IF(OR($A71="",L$4=""),"",IF(每月预算!$B$29="雪崩法",计算_雪崩!BB90,计算_雪球!BB90))</f>
        <v/>
      </c>
      <c r="M71" s="43" t="str">
        <f aca="false">IF($A71="","",IF(每月预算!$B$29="雪崩法",计算_雪崩!BC90,计算_雪球!BC90))</f>
        <v/>
      </c>
      <c r="N71" s="43" t="str">
        <f aca="false">IF($A71="","",IF(每月预算!$B$29="雪崩法",计算_雪崩!BE90,计算_雪球!BE90))</f>
        <v/>
      </c>
      <c r="O71" s="43" t="str">
        <f aca="false">IF($A71="","",IF(每月预算!$B$29="雪崩法",计算_雪崩!BD90,计算_雪球!BD90))</f>
        <v/>
      </c>
    </row>
    <row r="72" customFormat="false" ht="15" hidden="false" customHeight="false" outlineLevel="0" collapsed="false">
      <c r="A72" s="24" t="str">
        <f aca="false">IF(68&lt;=$R$2,68,"")</f>
        <v/>
      </c>
      <c r="B72" s="42" t="str">
        <f aca="false">IF($A72="","",计算_雪球!B91)</f>
        <v/>
      </c>
      <c r="C72" s="43" t="str">
        <f aca="false">IF(OR($A72="",C$4=""),"",IF(每月预算!$B$29="雪崩法",计算_雪崩!I91,计算_雪球!I91))</f>
        <v/>
      </c>
      <c r="D72" s="43" t="str">
        <f aca="false">IF(OR($A72="",D$4=""),"",IF(每月预算!$B$29="雪崩法",计算_雪崩!N91,计算_雪球!N91))</f>
        <v/>
      </c>
      <c r="E72" s="43" t="str">
        <f aca="false">IF(OR($A72="",E$4=""),"",IF(每月预算!$B$29="雪崩法",计算_雪崩!S91,计算_雪球!S91))</f>
        <v/>
      </c>
      <c r="F72" s="43" t="str">
        <f aca="false">IF(OR($A72="",F$4=""),"",IF(每月预算!$B$29="雪崩法",计算_雪崩!X91,计算_雪球!X91))</f>
        <v/>
      </c>
      <c r="G72" s="43" t="str">
        <f aca="false">IF(OR($A72="",G$4=""),"",IF(每月预算!$B$29="雪崩法",计算_雪崩!AC91,计算_雪球!AC91))</f>
        <v/>
      </c>
      <c r="H72" s="43" t="str">
        <f aca="false">IF(OR($A72="",H$4=""),"",IF(每月预算!$B$29="雪崩法",计算_雪崩!AH91,计算_雪球!AH91))</f>
        <v/>
      </c>
      <c r="I72" s="43" t="str">
        <f aca="false">IF(OR($A72="",I$4=""),"",IF(每月预算!$B$29="雪崩法",计算_雪崩!AM91,计算_雪球!AM91))</f>
        <v/>
      </c>
      <c r="J72" s="43" t="str">
        <f aca="false">IF(OR($A72="",J$4=""),"",IF(每月预算!$B$29="雪崩法",计算_雪崩!AR91,计算_雪球!AR91))</f>
        <v/>
      </c>
      <c r="K72" s="43" t="str">
        <f aca="false">IF(OR($A72="",K$4=""),"",IF(每月预算!$B$29="雪崩法",计算_雪崩!AW91,计算_雪球!AW91))</f>
        <v/>
      </c>
      <c r="L72" s="43" t="str">
        <f aca="false">IF(OR($A72="",L$4=""),"",IF(每月预算!$B$29="雪崩法",计算_雪崩!BB91,计算_雪球!BB91))</f>
        <v/>
      </c>
      <c r="M72" s="43" t="str">
        <f aca="false">IF($A72="","",IF(每月预算!$B$29="雪崩法",计算_雪崩!BC91,计算_雪球!BC91))</f>
        <v/>
      </c>
      <c r="N72" s="43" t="str">
        <f aca="false">IF($A72="","",IF(每月预算!$B$29="雪崩法",计算_雪崩!BE91,计算_雪球!BE91))</f>
        <v/>
      </c>
      <c r="O72" s="43" t="str">
        <f aca="false">IF($A72="","",IF(每月预算!$B$29="雪崩法",计算_雪崩!BD91,计算_雪球!BD91))</f>
        <v/>
      </c>
    </row>
    <row r="73" customFormat="false" ht="15" hidden="false" customHeight="false" outlineLevel="0" collapsed="false">
      <c r="A73" s="24" t="str">
        <f aca="false">IF(69&lt;=$R$2,69,"")</f>
        <v/>
      </c>
      <c r="B73" s="42" t="str">
        <f aca="false">IF($A73="","",计算_雪球!B92)</f>
        <v/>
      </c>
      <c r="C73" s="43" t="str">
        <f aca="false">IF(OR($A73="",C$4=""),"",IF(每月预算!$B$29="雪崩法",计算_雪崩!I92,计算_雪球!I92))</f>
        <v/>
      </c>
      <c r="D73" s="43" t="str">
        <f aca="false">IF(OR($A73="",D$4=""),"",IF(每月预算!$B$29="雪崩法",计算_雪崩!N92,计算_雪球!N92))</f>
        <v/>
      </c>
      <c r="E73" s="43" t="str">
        <f aca="false">IF(OR($A73="",E$4=""),"",IF(每月预算!$B$29="雪崩法",计算_雪崩!S92,计算_雪球!S92))</f>
        <v/>
      </c>
      <c r="F73" s="43" t="str">
        <f aca="false">IF(OR($A73="",F$4=""),"",IF(每月预算!$B$29="雪崩法",计算_雪崩!X92,计算_雪球!X92))</f>
        <v/>
      </c>
      <c r="G73" s="43" t="str">
        <f aca="false">IF(OR($A73="",G$4=""),"",IF(每月预算!$B$29="雪崩法",计算_雪崩!AC92,计算_雪球!AC92))</f>
        <v/>
      </c>
      <c r="H73" s="43" t="str">
        <f aca="false">IF(OR($A73="",H$4=""),"",IF(每月预算!$B$29="雪崩法",计算_雪崩!AH92,计算_雪球!AH92))</f>
        <v/>
      </c>
      <c r="I73" s="43" t="str">
        <f aca="false">IF(OR($A73="",I$4=""),"",IF(每月预算!$B$29="雪崩法",计算_雪崩!AM92,计算_雪球!AM92))</f>
        <v/>
      </c>
      <c r="J73" s="43" t="str">
        <f aca="false">IF(OR($A73="",J$4=""),"",IF(每月预算!$B$29="雪崩法",计算_雪崩!AR92,计算_雪球!AR92))</f>
        <v/>
      </c>
      <c r="K73" s="43" t="str">
        <f aca="false">IF(OR($A73="",K$4=""),"",IF(每月预算!$B$29="雪崩法",计算_雪崩!AW92,计算_雪球!AW92))</f>
        <v/>
      </c>
      <c r="L73" s="43" t="str">
        <f aca="false">IF(OR($A73="",L$4=""),"",IF(每月预算!$B$29="雪崩法",计算_雪崩!BB92,计算_雪球!BB92))</f>
        <v/>
      </c>
      <c r="M73" s="43" t="str">
        <f aca="false">IF($A73="","",IF(每月预算!$B$29="雪崩法",计算_雪崩!BC92,计算_雪球!BC92))</f>
        <v/>
      </c>
      <c r="N73" s="43" t="str">
        <f aca="false">IF($A73="","",IF(每月预算!$B$29="雪崩法",计算_雪崩!BE92,计算_雪球!BE92))</f>
        <v/>
      </c>
      <c r="O73" s="43" t="str">
        <f aca="false">IF($A73="","",IF(每月预算!$B$29="雪崩法",计算_雪崩!BD92,计算_雪球!BD92))</f>
        <v/>
      </c>
    </row>
    <row r="74" customFormat="false" ht="15" hidden="false" customHeight="false" outlineLevel="0" collapsed="false">
      <c r="A74" s="24" t="str">
        <f aca="false">IF(70&lt;=$R$2,70,"")</f>
        <v/>
      </c>
      <c r="B74" s="42" t="str">
        <f aca="false">IF($A74="","",计算_雪球!B93)</f>
        <v/>
      </c>
      <c r="C74" s="43" t="str">
        <f aca="false">IF(OR($A74="",C$4=""),"",IF(每月预算!$B$29="雪崩法",计算_雪崩!I93,计算_雪球!I93))</f>
        <v/>
      </c>
      <c r="D74" s="43" t="str">
        <f aca="false">IF(OR($A74="",D$4=""),"",IF(每月预算!$B$29="雪崩法",计算_雪崩!N93,计算_雪球!N93))</f>
        <v/>
      </c>
      <c r="E74" s="43" t="str">
        <f aca="false">IF(OR($A74="",E$4=""),"",IF(每月预算!$B$29="雪崩法",计算_雪崩!S93,计算_雪球!S93))</f>
        <v/>
      </c>
      <c r="F74" s="43" t="str">
        <f aca="false">IF(OR($A74="",F$4=""),"",IF(每月预算!$B$29="雪崩法",计算_雪崩!X93,计算_雪球!X93))</f>
        <v/>
      </c>
      <c r="G74" s="43" t="str">
        <f aca="false">IF(OR($A74="",G$4=""),"",IF(每月预算!$B$29="雪崩法",计算_雪崩!AC93,计算_雪球!AC93))</f>
        <v/>
      </c>
      <c r="H74" s="43" t="str">
        <f aca="false">IF(OR($A74="",H$4=""),"",IF(每月预算!$B$29="雪崩法",计算_雪崩!AH93,计算_雪球!AH93))</f>
        <v/>
      </c>
      <c r="I74" s="43" t="str">
        <f aca="false">IF(OR($A74="",I$4=""),"",IF(每月预算!$B$29="雪崩法",计算_雪崩!AM93,计算_雪球!AM93))</f>
        <v/>
      </c>
      <c r="J74" s="43" t="str">
        <f aca="false">IF(OR($A74="",J$4=""),"",IF(每月预算!$B$29="雪崩法",计算_雪崩!AR93,计算_雪球!AR93))</f>
        <v/>
      </c>
      <c r="K74" s="43" t="str">
        <f aca="false">IF(OR($A74="",K$4=""),"",IF(每月预算!$B$29="雪崩法",计算_雪崩!AW93,计算_雪球!AW93))</f>
        <v/>
      </c>
      <c r="L74" s="43" t="str">
        <f aca="false">IF(OR($A74="",L$4=""),"",IF(每月预算!$B$29="雪崩法",计算_雪崩!BB93,计算_雪球!BB93))</f>
        <v/>
      </c>
      <c r="M74" s="43" t="str">
        <f aca="false">IF($A74="","",IF(每月预算!$B$29="雪崩法",计算_雪崩!BC93,计算_雪球!BC93))</f>
        <v/>
      </c>
      <c r="N74" s="43" t="str">
        <f aca="false">IF($A74="","",IF(每月预算!$B$29="雪崩法",计算_雪崩!BE93,计算_雪球!BE93))</f>
        <v/>
      </c>
      <c r="O74" s="43" t="str">
        <f aca="false">IF($A74="","",IF(每月预算!$B$29="雪崩法",计算_雪崩!BD93,计算_雪球!BD93))</f>
        <v/>
      </c>
    </row>
    <row r="75" customFormat="false" ht="15" hidden="false" customHeight="false" outlineLevel="0" collapsed="false">
      <c r="A75" s="24" t="str">
        <f aca="false">IF(71&lt;=$R$2,71,"")</f>
        <v/>
      </c>
      <c r="B75" s="42" t="str">
        <f aca="false">IF($A75="","",计算_雪球!B94)</f>
        <v/>
      </c>
      <c r="C75" s="43" t="str">
        <f aca="false">IF(OR($A75="",C$4=""),"",IF(每月预算!$B$29="雪崩法",计算_雪崩!I94,计算_雪球!I94))</f>
        <v/>
      </c>
      <c r="D75" s="43" t="str">
        <f aca="false">IF(OR($A75="",D$4=""),"",IF(每月预算!$B$29="雪崩法",计算_雪崩!N94,计算_雪球!N94))</f>
        <v/>
      </c>
      <c r="E75" s="43" t="str">
        <f aca="false">IF(OR($A75="",E$4=""),"",IF(每月预算!$B$29="雪崩法",计算_雪崩!S94,计算_雪球!S94))</f>
        <v/>
      </c>
      <c r="F75" s="43" t="str">
        <f aca="false">IF(OR($A75="",F$4=""),"",IF(每月预算!$B$29="雪崩法",计算_雪崩!X94,计算_雪球!X94))</f>
        <v/>
      </c>
      <c r="G75" s="43" t="str">
        <f aca="false">IF(OR($A75="",G$4=""),"",IF(每月预算!$B$29="雪崩法",计算_雪崩!AC94,计算_雪球!AC94))</f>
        <v/>
      </c>
      <c r="H75" s="43" t="str">
        <f aca="false">IF(OR($A75="",H$4=""),"",IF(每月预算!$B$29="雪崩法",计算_雪崩!AH94,计算_雪球!AH94))</f>
        <v/>
      </c>
      <c r="I75" s="43" t="str">
        <f aca="false">IF(OR($A75="",I$4=""),"",IF(每月预算!$B$29="雪崩法",计算_雪崩!AM94,计算_雪球!AM94))</f>
        <v/>
      </c>
      <c r="J75" s="43" t="str">
        <f aca="false">IF(OR($A75="",J$4=""),"",IF(每月预算!$B$29="雪崩法",计算_雪崩!AR94,计算_雪球!AR94))</f>
        <v/>
      </c>
      <c r="K75" s="43" t="str">
        <f aca="false">IF(OR($A75="",K$4=""),"",IF(每月预算!$B$29="雪崩法",计算_雪崩!AW94,计算_雪球!AW94))</f>
        <v/>
      </c>
      <c r="L75" s="43" t="str">
        <f aca="false">IF(OR($A75="",L$4=""),"",IF(每月预算!$B$29="雪崩法",计算_雪崩!BB94,计算_雪球!BB94))</f>
        <v/>
      </c>
      <c r="M75" s="43" t="str">
        <f aca="false">IF($A75="","",IF(每月预算!$B$29="雪崩法",计算_雪崩!BC94,计算_雪球!BC94))</f>
        <v/>
      </c>
      <c r="N75" s="43" t="str">
        <f aca="false">IF($A75="","",IF(每月预算!$B$29="雪崩法",计算_雪崩!BE94,计算_雪球!BE94))</f>
        <v/>
      </c>
      <c r="O75" s="43" t="str">
        <f aca="false">IF($A75="","",IF(每月预算!$B$29="雪崩法",计算_雪崩!BD94,计算_雪球!BD94))</f>
        <v/>
      </c>
    </row>
    <row r="76" customFormat="false" ht="15" hidden="false" customHeight="false" outlineLevel="0" collapsed="false">
      <c r="A76" s="24" t="str">
        <f aca="false">IF(72&lt;=$R$2,72,"")</f>
        <v/>
      </c>
      <c r="B76" s="42" t="str">
        <f aca="false">IF($A76="","",计算_雪球!B95)</f>
        <v/>
      </c>
      <c r="C76" s="43" t="str">
        <f aca="false">IF(OR($A76="",C$4=""),"",IF(每月预算!$B$29="雪崩法",计算_雪崩!I95,计算_雪球!I95))</f>
        <v/>
      </c>
      <c r="D76" s="43" t="str">
        <f aca="false">IF(OR($A76="",D$4=""),"",IF(每月预算!$B$29="雪崩法",计算_雪崩!N95,计算_雪球!N95))</f>
        <v/>
      </c>
      <c r="E76" s="43" t="str">
        <f aca="false">IF(OR($A76="",E$4=""),"",IF(每月预算!$B$29="雪崩法",计算_雪崩!S95,计算_雪球!S95))</f>
        <v/>
      </c>
      <c r="F76" s="43" t="str">
        <f aca="false">IF(OR($A76="",F$4=""),"",IF(每月预算!$B$29="雪崩法",计算_雪崩!X95,计算_雪球!X95))</f>
        <v/>
      </c>
      <c r="G76" s="43" t="str">
        <f aca="false">IF(OR($A76="",G$4=""),"",IF(每月预算!$B$29="雪崩法",计算_雪崩!AC95,计算_雪球!AC95))</f>
        <v/>
      </c>
      <c r="H76" s="43" t="str">
        <f aca="false">IF(OR($A76="",H$4=""),"",IF(每月预算!$B$29="雪崩法",计算_雪崩!AH95,计算_雪球!AH95))</f>
        <v/>
      </c>
      <c r="I76" s="43" t="str">
        <f aca="false">IF(OR($A76="",I$4=""),"",IF(每月预算!$B$29="雪崩法",计算_雪崩!AM95,计算_雪球!AM95))</f>
        <v/>
      </c>
      <c r="J76" s="43" t="str">
        <f aca="false">IF(OR($A76="",J$4=""),"",IF(每月预算!$B$29="雪崩法",计算_雪崩!AR95,计算_雪球!AR95))</f>
        <v/>
      </c>
      <c r="K76" s="43" t="str">
        <f aca="false">IF(OR($A76="",K$4=""),"",IF(每月预算!$B$29="雪崩法",计算_雪崩!AW95,计算_雪球!AW95))</f>
        <v/>
      </c>
      <c r="L76" s="43" t="str">
        <f aca="false">IF(OR($A76="",L$4=""),"",IF(每月预算!$B$29="雪崩法",计算_雪崩!BB95,计算_雪球!BB95))</f>
        <v/>
      </c>
      <c r="M76" s="43" t="str">
        <f aca="false">IF($A76="","",IF(每月预算!$B$29="雪崩法",计算_雪崩!BC95,计算_雪球!BC95))</f>
        <v/>
      </c>
      <c r="N76" s="43" t="str">
        <f aca="false">IF($A76="","",IF(每月预算!$B$29="雪崩法",计算_雪崩!BE95,计算_雪球!BE95))</f>
        <v/>
      </c>
      <c r="O76" s="43" t="str">
        <f aca="false">IF($A76="","",IF(每月预算!$B$29="雪崩法",计算_雪崩!BD95,计算_雪球!BD95))</f>
        <v/>
      </c>
    </row>
    <row r="77" customFormat="false" ht="15" hidden="false" customHeight="false" outlineLevel="0" collapsed="false">
      <c r="A77" s="24" t="str">
        <f aca="false">IF(73&lt;=$R$2,73,"")</f>
        <v/>
      </c>
      <c r="B77" s="42" t="str">
        <f aca="false">IF($A77="","",计算_雪球!B96)</f>
        <v/>
      </c>
      <c r="C77" s="43" t="str">
        <f aca="false">IF(OR($A77="",C$4=""),"",IF(每月预算!$B$29="雪崩法",计算_雪崩!I96,计算_雪球!I96))</f>
        <v/>
      </c>
      <c r="D77" s="43" t="str">
        <f aca="false">IF(OR($A77="",D$4=""),"",IF(每月预算!$B$29="雪崩法",计算_雪崩!N96,计算_雪球!N96))</f>
        <v/>
      </c>
      <c r="E77" s="43" t="str">
        <f aca="false">IF(OR($A77="",E$4=""),"",IF(每月预算!$B$29="雪崩法",计算_雪崩!S96,计算_雪球!S96))</f>
        <v/>
      </c>
      <c r="F77" s="43" t="str">
        <f aca="false">IF(OR($A77="",F$4=""),"",IF(每月预算!$B$29="雪崩法",计算_雪崩!X96,计算_雪球!X96))</f>
        <v/>
      </c>
      <c r="G77" s="43" t="str">
        <f aca="false">IF(OR($A77="",G$4=""),"",IF(每月预算!$B$29="雪崩法",计算_雪崩!AC96,计算_雪球!AC96))</f>
        <v/>
      </c>
      <c r="H77" s="43" t="str">
        <f aca="false">IF(OR($A77="",H$4=""),"",IF(每月预算!$B$29="雪崩法",计算_雪崩!AH96,计算_雪球!AH96))</f>
        <v/>
      </c>
      <c r="I77" s="43" t="str">
        <f aca="false">IF(OR($A77="",I$4=""),"",IF(每月预算!$B$29="雪崩法",计算_雪崩!AM96,计算_雪球!AM96))</f>
        <v/>
      </c>
      <c r="J77" s="43" t="str">
        <f aca="false">IF(OR($A77="",J$4=""),"",IF(每月预算!$B$29="雪崩法",计算_雪崩!AR96,计算_雪球!AR96))</f>
        <v/>
      </c>
      <c r="K77" s="43" t="str">
        <f aca="false">IF(OR($A77="",K$4=""),"",IF(每月预算!$B$29="雪崩法",计算_雪崩!AW96,计算_雪球!AW96))</f>
        <v/>
      </c>
      <c r="L77" s="43" t="str">
        <f aca="false">IF(OR($A77="",L$4=""),"",IF(每月预算!$B$29="雪崩法",计算_雪崩!BB96,计算_雪球!BB96))</f>
        <v/>
      </c>
      <c r="M77" s="43" t="str">
        <f aca="false">IF($A77="","",IF(每月预算!$B$29="雪崩法",计算_雪崩!BC96,计算_雪球!BC96))</f>
        <v/>
      </c>
      <c r="N77" s="43" t="str">
        <f aca="false">IF($A77="","",IF(每月预算!$B$29="雪崩法",计算_雪崩!BE96,计算_雪球!BE96))</f>
        <v/>
      </c>
      <c r="O77" s="43" t="str">
        <f aca="false">IF($A77="","",IF(每月预算!$B$29="雪崩法",计算_雪崩!BD96,计算_雪球!BD96))</f>
        <v/>
      </c>
    </row>
    <row r="78" customFormat="false" ht="15" hidden="false" customHeight="false" outlineLevel="0" collapsed="false">
      <c r="A78" s="24" t="str">
        <f aca="false">IF(74&lt;=$R$2,74,"")</f>
        <v/>
      </c>
      <c r="B78" s="42" t="str">
        <f aca="false">IF($A78="","",计算_雪球!B97)</f>
        <v/>
      </c>
      <c r="C78" s="43" t="str">
        <f aca="false">IF(OR($A78="",C$4=""),"",IF(每月预算!$B$29="雪崩法",计算_雪崩!I97,计算_雪球!I97))</f>
        <v/>
      </c>
      <c r="D78" s="43" t="str">
        <f aca="false">IF(OR($A78="",D$4=""),"",IF(每月预算!$B$29="雪崩法",计算_雪崩!N97,计算_雪球!N97))</f>
        <v/>
      </c>
      <c r="E78" s="43" t="str">
        <f aca="false">IF(OR($A78="",E$4=""),"",IF(每月预算!$B$29="雪崩法",计算_雪崩!S97,计算_雪球!S97))</f>
        <v/>
      </c>
      <c r="F78" s="43" t="str">
        <f aca="false">IF(OR($A78="",F$4=""),"",IF(每月预算!$B$29="雪崩法",计算_雪崩!X97,计算_雪球!X97))</f>
        <v/>
      </c>
      <c r="G78" s="43" t="str">
        <f aca="false">IF(OR($A78="",G$4=""),"",IF(每月预算!$B$29="雪崩法",计算_雪崩!AC97,计算_雪球!AC97))</f>
        <v/>
      </c>
      <c r="H78" s="43" t="str">
        <f aca="false">IF(OR($A78="",H$4=""),"",IF(每月预算!$B$29="雪崩法",计算_雪崩!AH97,计算_雪球!AH97))</f>
        <v/>
      </c>
      <c r="I78" s="43" t="str">
        <f aca="false">IF(OR($A78="",I$4=""),"",IF(每月预算!$B$29="雪崩法",计算_雪崩!AM97,计算_雪球!AM97))</f>
        <v/>
      </c>
      <c r="J78" s="43" t="str">
        <f aca="false">IF(OR($A78="",J$4=""),"",IF(每月预算!$B$29="雪崩法",计算_雪崩!AR97,计算_雪球!AR97))</f>
        <v/>
      </c>
      <c r="K78" s="43" t="str">
        <f aca="false">IF(OR($A78="",K$4=""),"",IF(每月预算!$B$29="雪崩法",计算_雪崩!AW97,计算_雪球!AW97))</f>
        <v/>
      </c>
      <c r="L78" s="43" t="str">
        <f aca="false">IF(OR($A78="",L$4=""),"",IF(每月预算!$B$29="雪崩法",计算_雪崩!BB97,计算_雪球!BB97))</f>
        <v/>
      </c>
      <c r="M78" s="43" t="str">
        <f aca="false">IF($A78="","",IF(每月预算!$B$29="雪崩法",计算_雪崩!BC97,计算_雪球!BC97))</f>
        <v/>
      </c>
      <c r="N78" s="43" t="str">
        <f aca="false">IF($A78="","",IF(每月预算!$B$29="雪崩法",计算_雪崩!BE97,计算_雪球!BE97))</f>
        <v/>
      </c>
      <c r="O78" s="43" t="str">
        <f aca="false">IF($A78="","",IF(每月预算!$B$29="雪崩法",计算_雪崩!BD97,计算_雪球!BD97))</f>
        <v/>
      </c>
    </row>
    <row r="79" customFormat="false" ht="15" hidden="false" customHeight="false" outlineLevel="0" collapsed="false">
      <c r="A79" s="24" t="str">
        <f aca="false">IF(75&lt;=$R$2,75,"")</f>
        <v/>
      </c>
      <c r="B79" s="42" t="str">
        <f aca="false">IF($A79="","",计算_雪球!B98)</f>
        <v/>
      </c>
      <c r="C79" s="43" t="str">
        <f aca="false">IF(OR($A79="",C$4=""),"",IF(每月预算!$B$29="雪崩法",计算_雪崩!I98,计算_雪球!I98))</f>
        <v/>
      </c>
      <c r="D79" s="43" t="str">
        <f aca="false">IF(OR($A79="",D$4=""),"",IF(每月预算!$B$29="雪崩法",计算_雪崩!N98,计算_雪球!N98))</f>
        <v/>
      </c>
      <c r="E79" s="43" t="str">
        <f aca="false">IF(OR($A79="",E$4=""),"",IF(每月预算!$B$29="雪崩法",计算_雪崩!S98,计算_雪球!S98))</f>
        <v/>
      </c>
      <c r="F79" s="43" t="str">
        <f aca="false">IF(OR($A79="",F$4=""),"",IF(每月预算!$B$29="雪崩法",计算_雪崩!X98,计算_雪球!X98))</f>
        <v/>
      </c>
      <c r="G79" s="43" t="str">
        <f aca="false">IF(OR($A79="",G$4=""),"",IF(每月预算!$B$29="雪崩法",计算_雪崩!AC98,计算_雪球!AC98))</f>
        <v/>
      </c>
      <c r="H79" s="43" t="str">
        <f aca="false">IF(OR($A79="",H$4=""),"",IF(每月预算!$B$29="雪崩法",计算_雪崩!AH98,计算_雪球!AH98))</f>
        <v/>
      </c>
      <c r="I79" s="43" t="str">
        <f aca="false">IF(OR($A79="",I$4=""),"",IF(每月预算!$B$29="雪崩法",计算_雪崩!AM98,计算_雪球!AM98))</f>
        <v/>
      </c>
      <c r="J79" s="43" t="str">
        <f aca="false">IF(OR($A79="",J$4=""),"",IF(每月预算!$B$29="雪崩法",计算_雪崩!AR98,计算_雪球!AR98))</f>
        <v/>
      </c>
      <c r="K79" s="43" t="str">
        <f aca="false">IF(OR($A79="",K$4=""),"",IF(每月预算!$B$29="雪崩法",计算_雪崩!AW98,计算_雪球!AW98))</f>
        <v/>
      </c>
      <c r="L79" s="43" t="str">
        <f aca="false">IF(OR($A79="",L$4=""),"",IF(每月预算!$B$29="雪崩法",计算_雪崩!BB98,计算_雪球!BB98))</f>
        <v/>
      </c>
      <c r="M79" s="43" t="str">
        <f aca="false">IF($A79="","",IF(每月预算!$B$29="雪崩法",计算_雪崩!BC98,计算_雪球!BC98))</f>
        <v/>
      </c>
      <c r="N79" s="43" t="str">
        <f aca="false">IF($A79="","",IF(每月预算!$B$29="雪崩法",计算_雪崩!BE98,计算_雪球!BE98))</f>
        <v/>
      </c>
      <c r="O79" s="43" t="str">
        <f aca="false">IF($A79="","",IF(每月预算!$B$29="雪崩法",计算_雪崩!BD98,计算_雪球!BD98))</f>
        <v/>
      </c>
    </row>
    <row r="80" customFormat="false" ht="15" hidden="false" customHeight="false" outlineLevel="0" collapsed="false">
      <c r="A80" s="24" t="str">
        <f aca="false">IF(76&lt;=$R$2,76,"")</f>
        <v/>
      </c>
      <c r="B80" s="42" t="str">
        <f aca="false">IF($A80="","",计算_雪球!B99)</f>
        <v/>
      </c>
      <c r="C80" s="43" t="str">
        <f aca="false">IF(OR($A80="",C$4=""),"",IF(每月预算!$B$29="雪崩法",计算_雪崩!I99,计算_雪球!I99))</f>
        <v/>
      </c>
      <c r="D80" s="43" t="str">
        <f aca="false">IF(OR($A80="",D$4=""),"",IF(每月预算!$B$29="雪崩法",计算_雪崩!N99,计算_雪球!N99))</f>
        <v/>
      </c>
      <c r="E80" s="43" t="str">
        <f aca="false">IF(OR($A80="",E$4=""),"",IF(每月预算!$B$29="雪崩法",计算_雪崩!S99,计算_雪球!S99))</f>
        <v/>
      </c>
      <c r="F80" s="43" t="str">
        <f aca="false">IF(OR($A80="",F$4=""),"",IF(每月预算!$B$29="雪崩法",计算_雪崩!X99,计算_雪球!X99))</f>
        <v/>
      </c>
      <c r="G80" s="43" t="str">
        <f aca="false">IF(OR($A80="",G$4=""),"",IF(每月预算!$B$29="雪崩法",计算_雪崩!AC99,计算_雪球!AC99))</f>
        <v/>
      </c>
      <c r="H80" s="43" t="str">
        <f aca="false">IF(OR($A80="",H$4=""),"",IF(每月预算!$B$29="雪崩法",计算_雪崩!AH99,计算_雪球!AH99))</f>
        <v/>
      </c>
      <c r="I80" s="43" t="str">
        <f aca="false">IF(OR($A80="",I$4=""),"",IF(每月预算!$B$29="雪崩法",计算_雪崩!AM99,计算_雪球!AM99))</f>
        <v/>
      </c>
      <c r="J80" s="43" t="str">
        <f aca="false">IF(OR($A80="",J$4=""),"",IF(每月预算!$B$29="雪崩法",计算_雪崩!AR99,计算_雪球!AR99))</f>
        <v/>
      </c>
      <c r="K80" s="43" t="str">
        <f aca="false">IF(OR($A80="",K$4=""),"",IF(每月预算!$B$29="雪崩法",计算_雪崩!AW99,计算_雪球!AW99))</f>
        <v/>
      </c>
      <c r="L80" s="43" t="str">
        <f aca="false">IF(OR($A80="",L$4=""),"",IF(每月预算!$B$29="雪崩法",计算_雪崩!BB99,计算_雪球!BB99))</f>
        <v/>
      </c>
      <c r="M80" s="43" t="str">
        <f aca="false">IF($A80="","",IF(每月预算!$B$29="雪崩法",计算_雪崩!BC99,计算_雪球!BC99))</f>
        <v/>
      </c>
      <c r="N80" s="43" t="str">
        <f aca="false">IF($A80="","",IF(每月预算!$B$29="雪崩法",计算_雪崩!BE99,计算_雪球!BE99))</f>
        <v/>
      </c>
      <c r="O80" s="43" t="str">
        <f aca="false">IF($A80="","",IF(每月预算!$B$29="雪崩法",计算_雪崩!BD99,计算_雪球!BD99))</f>
        <v/>
      </c>
    </row>
    <row r="81" customFormat="false" ht="15" hidden="false" customHeight="false" outlineLevel="0" collapsed="false">
      <c r="A81" s="24" t="str">
        <f aca="false">IF(77&lt;=$R$2,77,"")</f>
        <v/>
      </c>
      <c r="B81" s="42" t="str">
        <f aca="false">IF($A81="","",计算_雪球!B100)</f>
        <v/>
      </c>
      <c r="C81" s="43" t="str">
        <f aca="false">IF(OR($A81="",C$4=""),"",IF(每月预算!$B$29="雪崩法",计算_雪崩!I100,计算_雪球!I100))</f>
        <v/>
      </c>
      <c r="D81" s="43" t="str">
        <f aca="false">IF(OR($A81="",D$4=""),"",IF(每月预算!$B$29="雪崩法",计算_雪崩!N100,计算_雪球!N100))</f>
        <v/>
      </c>
      <c r="E81" s="43" t="str">
        <f aca="false">IF(OR($A81="",E$4=""),"",IF(每月预算!$B$29="雪崩法",计算_雪崩!S100,计算_雪球!S100))</f>
        <v/>
      </c>
      <c r="F81" s="43" t="str">
        <f aca="false">IF(OR($A81="",F$4=""),"",IF(每月预算!$B$29="雪崩法",计算_雪崩!X100,计算_雪球!X100))</f>
        <v/>
      </c>
      <c r="G81" s="43" t="str">
        <f aca="false">IF(OR($A81="",G$4=""),"",IF(每月预算!$B$29="雪崩法",计算_雪崩!AC100,计算_雪球!AC100))</f>
        <v/>
      </c>
      <c r="H81" s="43" t="str">
        <f aca="false">IF(OR($A81="",H$4=""),"",IF(每月预算!$B$29="雪崩法",计算_雪崩!AH100,计算_雪球!AH100))</f>
        <v/>
      </c>
      <c r="I81" s="43" t="str">
        <f aca="false">IF(OR($A81="",I$4=""),"",IF(每月预算!$B$29="雪崩法",计算_雪崩!AM100,计算_雪球!AM100))</f>
        <v/>
      </c>
      <c r="J81" s="43" t="str">
        <f aca="false">IF(OR($A81="",J$4=""),"",IF(每月预算!$B$29="雪崩法",计算_雪崩!AR100,计算_雪球!AR100))</f>
        <v/>
      </c>
      <c r="K81" s="43" t="str">
        <f aca="false">IF(OR($A81="",K$4=""),"",IF(每月预算!$B$29="雪崩法",计算_雪崩!AW100,计算_雪球!AW100))</f>
        <v/>
      </c>
      <c r="L81" s="43" t="str">
        <f aca="false">IF(OR($A81="",L$4=""),"",IF(每月预算!$B$29="雪崩法",计算_雪崩!BB100,计算_雪球!BB100))</f>
        <v/>
      </c>
      <c r="M81" s="43" t="str">
        <f aca="false">IF($A81="","",IF(每月预算!$B$29="雪崩法",计算_雪崩!BC100,计算_雪球!BC100))</f>
        <v/>
      </c>
      <c r="N81" s="43" t="str">
        <f aca="false">IF($A81="","",IF(每月预算!$B$29="雪崩法",计算_雪崩!BE100,计算_雪球!BE100))</f>
        <v/>
      </c>
      <c r="O81" s="43" t="str">
        <f aca="false">IF($A81="","",IF(每月预算!$B$29="雪崩法",计算_雪崩!BD100,计算_雪球!BD100))</f>
        <v/>
      </c>
    </row>
    <row r="82" customFormat="false" ht="15" hidden="false" customHeight="false" outlineLevel="0" collapsed="false">
      <c r="A82" s="24" t="str">
        <f aca="false">IF(78&lt;=$R$2,78,"")</f>
        <v/>
      </c>
      <c r="B82" s="42" t="str">
        <f aca="false">IF($A82="","",计算_雪球!B101)</f>
        <v/>
      </c>
      <c r="C82" s="43" t="str">
        <f aca="false">IF(OR($A82="",C$4=""),"",IF(每月预算!$B$29="雪崩法",计算_雪崩!I101,计算_雪球!I101))</f>
        <v/>
      </c>
      <c r="D82" s="43" t="str">
        <f aca="false">IF(OR($A82="",D$4=""),"",IF(每月预算!$B$29="雪崩法",计算_雪崩!N101,计算_雪球!N101))</f>
        <v/>
      </c>
      <c r="E82" s="43" t="str">
        <f aca="false">IF(OR($A82="",E$4=""),"",IF(每月预算!$B$29="雪崩法",计算_雪崩!S101,计算_雪球!S101))</f>
        <v/>
      </c>
      <c r="F82" s="43" t="str">
        <f aca="false">IF(OR($A82="",F$4=""),"",IF(每月预算!$B$29="雪崩法",计算_雪崩!X101,计算_雪球!X101))</f>
        <v/>
      </c>
      <c r="G82" s="43" t="str">
        <f aca="false">IF(OR($A82="",G$4=""),"",IF(每月预算!$B$29="雪崩法",计算_雪崩!AC101,计算_雪球!AC101))</f>
        <v/>
      </c>
      <c r="H82" s="43" t="str">
        <f aca="false">IF(OR($A82="",H$4=""),"",IF(每月预算!$B$29="雪崩法",计算_雪崩!AH101,计算_雪球!AH101))</f>
        <v/>
      </c>
      <c r="I82" s="43" t="str">
        <f aca="false">IF(OR($A82="",I$4=""),"",IF(每月预算!$B$29="雪崩法",计算_雪崩!AM101,计算_雪球!AM101))</f>
        <v/>
      </c>
      <c r="J82" s="43" t="str">
        <f aca="false">IF(OR($A82="",J$4=""),"",IF(每月预算!$B$29="雪崩法",计算_雪崩!AR101,计算_雪球!AR101))</f>
        <v/>
      </c>
      <c r="K82" s="43" t="str">
        <f aca="false">IF(OR($A82="",K$4=""),"",IF(每月预算!$B$29="雪崩法",计算_雪崩!AW101,计算_雪球!AW101))</f>
        <v/>
      </c>
      <c r="L82" s="43" t="str">
        <f aca="false">IF(OR($A82="",L$4=""),"",IF(每月预算!$B$29="雪崩法",计算_雪崩!BB101,计算_雪球!BB101))</f>
        <v/>
      </c>
      <c r="M82" s="43" t="str">
        <f aca="false">IF($A82="","",IF(每月预算!$B$29="雪崩法",计算_雪崩!BC101,计算_雪球!BC101))</f>
        <v/>
      </c>
      <c r="N82" s="43" t="str">
        <f aca="false">IF($A82="","",IF(每月预算!$B$29="雪崩法",计算_雪崩!BE101,计算_雪球!BE101))</f>
        <v/>
      </c>
      <c r="O82" s="43" t="str">
        <f aca="false">IF($A82="","",IF(每月预算!$B$29="雪崩法",计算_雪崩!BD101,计算_雪球!BD101))</f>
        <v/>
      </c>
    </row>
    <row r="83" customFormat="false" ht="15" hidden="false" customHeight="false" outlineLevel="0" collapsed="false">
      <c r="A83" s="24" t="str">
        <f aca="false">IF(79&lt;=$R$2,79,"")</f>
        <v/>
      </c>
      <c r="B83" s="42" t="str">
        <f aca="false">IF($A83="","",计算_雪球!B102)</f>
        <v/>
      </c>
      <c r="C83" s="43" t="str">
        <f aca="false">IF(OR($A83="",C$4=""),"",IF(每月预算!$B$29="雪崩法",计算_雪崩!I102,计算_雪球!I102))</f>
        <v/>
      </c>
      <c r="D83" s="43" t="str">
        <f aca="false">IF(OR($A83="",D$4=""),"",IF(每月预算!$B$29="雪崩法",计算_雪崩!N102,计算_雪球!N102))</f>
        <v/>
      </c>
      <c r="E83" s="43" t="str">
        <f aca="false">IF(OR($A83="",E$4=""),"",IF(每月预算!$B$29="雪崩法",计算_雪崩!S102,计算_雪球!S102))</f>
        <v/>
      </c>
      <c r="F83" s="43" t="str">
        <f aca="false">IF(OR($A83="",F$4=""),"",IF(每月预算!$B$29="雪崩法",计算_雪崩!X102,计算_雪球!X102))</f>
        <v/>
      </c>
      <c r="G83" s="43" t="str">
        <f aca="false">IF(OR($A83="",G$4=""),"",IF(每月预算!$B$29="雪崩法",计算_雪崩!AC102,计算_雪球!AC102))</f>
        <v/>
      </c>
      <c r="H83" s="43" t="str">
        <f aca="false">IF(OR($A83="",H$4=""),"",IF(每月预算!$B$29="雪崩法",计算_雪崩!AH102,计算_雪球!AH102))</f>
        <v/>
      </c>
      <c r="I83" s="43" t="str">
        <f aca="false">IF(OR($A83="",I$4=""),"",IF(每月预算!$B$29="雪崩法",计算_雪崩!AM102,计算_雪球!AM102))</f>
        <v/>
      </c>
      <c r="J83" s="43" t="str">
        <f aca="false">IF(OR($A83="",J$4=""),"",IF(每月预算!$B$29="雪崩法",计算_雪崩!AR102,计算_雪球!AR102))</f>
        <v/>
      </c>
      <c r="K83" s="43" t="str">
        <f aca="false">IF(OR($A83="",K$4=""),"",IF(每月预算!$B$29="雪崩法",计算_雪崩!AW102,计算_雪球!AW102))</f>
        <v/>
      </c>
      <c r="L83" s="43" t="str">
        <f aca="false">IF(OR($A83="",L$4=""),"",IF(每月预算!$B$29="雪崩法",计算_雪崩!BB102,计算_雪球!BB102))</f>
        <v/>
      </c>
      <c r="M83" s="43" t="str">
        <f aca="false">IF($A83="","",IF(每月预算!$B$29="雪崩法",计算_雪崩!BC102,计算_雪球!BC102))</f>
        <v/>
      </c>
      <c r="N83" s="43" t="str">
        <f aca="false">IF($A83="","",IF(每月预算!$B$29="雪崩法",计算_雪崩!BE102,计算_雪球!BE102))</f>
        <v/>
      </c>
      <c r="O83" s="43" t="str">
        <f aca="false">IF($A83="","",IF(每月预算!$B$29="雪崩法",计算_雪崩!BD102,计算_雪球!BD102))</f>
        <v/>
      </c>
    </row>
    <row r="84" customFormat="false" ht="15" hidden="false" customHeight="false" outlineLevel="0" collapsed="false">
      <c r="A84" s="24" t="str">
        <f aca="false">IF(80&lt;=$R$2,80,"")</f>
        <v/>
      </c>
      <c r="B84" s="42" t="str">
        <f aca="false">IF($A84="","",计算_雪球!B103)</f>
        <v/>
      </c>
      <c r="C84" s="43" t="str">
        <f aca="false">IF(OR($A84="",C$4=""),"",IF(每月预算!$B$29="雪崩法",计算_雪崩!I103,计算_雪球!I103))</f>
        <v/>
      </c>
      <c r="D84" s="43" t="str">
        <f aca="false">IF(OR($A84="",D$4=""),"",IF(每月预算!$B$29="雪崩法",计算_雪崩!N103,计算_雪球!N103))</f>
        <v/>
      </c>
      <c r="E84" s="43" t="str">
        <f aca="false">IF(OR($A84="",E$4=""),"",IF(每月预算!$B$29="雪崩法",计算_雪崩!S103,计算_雪球!S103))</f>
        <v/>
      </c>
      <c r="F84" s="43" t="str">
        <f aca="false">IF(OR($A84="",F$4=""),"",IF(每月预算!$B$29="雪崩法",计算_雪崩!X103,计算_雪球!X103))</f>
        <v/>
      </c>
      <c r="G84" s="43" t="str">
        <f aca="false">IF(OR($A84="",G$4=""),"",IF(每月预算!$B$29="雪崩法",计算_雪崩!AC103,计算_雪球!AC103))</f>
        <v/>
      </c>
      <c r="H84" s="43" t="str">
        <f aca="false">IF(OR($A84="",H$4=""),"",IF(每月预算!$B$29="雪崩法",计算_雪崩!AH103,计算_雪球!AH103))</f>
        <v/>
      </c>
      <c r="I84" s="43" t="str">
        <f aca="false">IF(OR($A84="",I$4=""),"",IF(每月预算!$B$29="雪崩法",计算_雪崩!AM103,计算_雪球!AM103))</f>
        <v/>
      </c>
      <c r="J84" s="43" t="str">
        <f aca="false">IF(OR($A84="",J$4=""),"",IF(每月预算!$B$29="雪崩法",计算_雪崩!AR103,计算_雪球!AR103))</f>
        <v/>
      </c>
      <c r="K84" s="43" t="str">
        <f aca="false">IF(OR($A84="",K$4=""),"",IF(每月预算!$B$29="雪崩法",计算_雪崩!AW103,计算_雪球!AW103))</f>
        <v/>
      </c>
      <c r="L84" s="43" t="str">
        <f aca="false">IF(OR($A84="",L$4=""),"",IF(每月预算!$B$29="雪崩法",计算_雪崩!BB103,计算_雪球!BB103))</f>
        <v/>
      </c>
      <c r="M84" s="43" t="str">
        <f aca="false">IF($A84="","",IF(每月预算!$B$29="雪崩法",计算_雪崩!BC103,计算_雪球!BC103))</f>
        <v/>
      </c>
      <c r="N84" s="43" t="str">
        <f aca="false">IF($A84="","",IF(每月预算!$B$29="雪崩法",计算_雪崩!BE103,计算_雪球!BE103))</f>
        <v/>
      </c>
      <c r="O84" s="43" t="str">
        <f aca="false">IF($A84="","",IF(每月预算!$B$29="雪崩法",计算_雪崩!BD103,计算_雪球!BD103))</f>
        <v/>
      </c>
    </row>
    <row r="85" customFormat="false" ht="15" hidden="false" customHeight="false" outlineLevel="0" collapsed="false">
      <c r="A85" s="24" t="str">
        <f aca="false">IF(81&lt;=$R$2,81,"")</f>
        <v/>
      </c>
      <c r="B85" s="42" t="str">
        <f aca="false">IF($A85="","",计算_雪球!B104)</f>
        <v/>
      </c>
      <c r="C85" s="43" t="str">
        <f aca="false">IF(OR($A85="",C$4=""),"",IF(每月预算!$B$29="雪崩法",计算_雪崩!I104,计算_雪球!I104))</f>
        <v/>
      </c>
      <c r="D85" s="43" t="str">
        <f aca="false">IF(OR($A85="",D$4=""),"",IF(每月预算!$B$29="雪崩法",计算_雪崩!N104,计算_雪球!N104))</f>
        <v/>
      </c>
      <c r="E85" s="43" t="str">
        <f aca="false">IF(OR($A85="",E$4=""),"",IF(每月预算!$B$29="雪崩法",计算_雪崩!S104,计算_雪球!S104))</f>
        <v/>
      </c>
      <c r="F85" s="43" t="str">
        <f aca="false">IF(OR($A85="",F$4=""),"",IF(每月预算!$B$29="雪崩法",计算_雪崩!X104,计算_雪球!X104))</f>
        <v/>
      </c>
      <c r="G85" s="43" t="str">
        <f aca="false">IF(OR($A85="",G$4=""),"",IF(每月预算!$B$29="雪崩法",计算_雪崩!AC104,计算_雪球!AC104))</f>
        <v/>
      </c>
      <c r="H85" s="43" t="str">
        <f aca="false">IF(OR($A85="",H$4=""),"",IF(每月预算!$B$29="雪崩法",计算_雪崩!AH104,计算_雪球!AH104))</f>
        <v/>
      </c>
      <c r="I85" s="43" t="str">
        <f aca="false">IF(OR($A85="",I$4=""),"",IF(每月预算!$B$29="雪崩法",计算_雪崩!AM104,计算_雪球!AM104))</f>
        <v/>
      </c>
      <c r="J85" s="43" t="str">
        <f aca="false">IF(OR($A85="",J$4=""),"",IF(每月预算!$B$29="雪崩法",计算_雪崩!AR104,计算_雪球!AR104))</f>
        <v/>
      </c>
      <c r="K85" s="43" t="str">
        <f aca="false">IF(OR($A85="",K$4=""),"",IF(每月预算!$B$29="雪崩法",计算_雪崩!AW104,计算_雪球!AW104))</f>
        <v/>
      </c>
      <c r="L85" s="43" t="str">
        <f aca="false">IF(OR($A85="",L$4=""),"",IF(每月预算!$B$29="雪崩法",计算_雪崩!BB104,计算_雪球!BB104))</f>
        <v/>
      </c>
      <c r="M85" s="43" t="str">
        <f aca="false">IF($A85="","",IF(每月预算!$B$29="雪崩法",计算_雪崩!BC104,计算_雪球!BC104))</f>
        <v/>
      </c>
      <c r="N85" s="43" t="str">
        <f aca="false">IF($A85="","",IF(每月预算!$B$29="雪崩法",计算_雪崩!BE104,计算_雪球!BE104))</f>
        <v/>
      </c>
      <c r="O85" s="43" t="str">
        <f aca="false">IF($A85="","",IF(每月预算!$B$29="雪崩法",计算_雪崩!BD104,计算_雪球!BD104))</f>
        <v/>
      </c>
    </row>
    <row r="86" customFormat="false" ht="15" hidden="false" customHeight="false" outlineLevel="0" collapsed="false">
      <c r="A86" s="24" t="str">
        <f aca="false">IF(82&lt;=$R$2,82,"")</f>
        <v/>
      </c>
      <c r="B86" s="42" t="str">
        <f aca="false">IF($A86="","",计算_雪球!B105)</f>
        <v/>
      </c>
      <c r="C86" s="43" t="str">
        <f aca="false">IF(OR($A86="",C$4=""),"",IF(每月预算!$B$29="雪崩法",计算_雪崩!I105,计算_雪球!I105))</f>
        <v/>
      </c>
      <c r="D86" s="43" t="str">
        <f aca="false">IF(OR($A86="",D$4=""),"",IF(每月预算!$B$29="雪崩法",计算_雪崩!N105,计算_雪球!N105))</f>
        <v/>
      </c>
      <c r="E86" s="43" t="str">
        <f aca="false">IF(OR($A86="",E$4=""),"",IF(每月预算!$B$29="雪崩法",计算_雪崩!S105,计算_雪球!S105))</f>
        <v/>
      </c>
      <c r="F86" s="43" t="str">
        <f aca="false">IF(OR($A86="",F$4=""),"",IF(每月预算!$B$29="雪崩法",计算_雪崩!X105,计算_雪球!X105))</f>
        <v/>
      </c>
      <c r="G86" s="43" t="str">
        <f aca="false">IF(OR($A86="",G$4=""),"",IF(每月预算!$B$29="雪崩法",计算_雪崩!AC105,计算_雪球!AC105))</f>
        <v/>
      </c>
      <c r="H86" s="43" t="str">
        <f aca="false">IF(OR($A86="",H$4=""),"",IF(每月预算!$B$29="雪崩法",计算_雪崩!AH105,计算_雪球!AH105))</f>
        <v/>
      </c>
      <c r="I86" s="43" t="str">
        <f aca="false">IF(OR($A86="",I$4=""),"",IF(每月预算!$B$29="雪崩法",计算_雪崩!AM105,计算_雪球!AM105))</f>
        <v/>
      </c>
      <c r="J86" s="43" t="str">
        <f aca="false">IF(OR($A86="",J$4=""),"",IF(每月预算!$B$29="雪崩法",计算_雪崩!AR105,计算_雪球!AR105))</f>
        <v/>
      </c>
      <c r="K86" s="43" t="str">
        <f aca="false">IF(OR($A86="",K$4=""),"",IF(每月预算!$B$29="雪崩法",计算_雪崩!AW105,计算_雪球!AW105))</f>
        <v/>
      </c>
      <c r="L86" s="43" t="str">
        <f aca="false">IF(OR($A86="",L$4=""),"",IF(每月预算!$B$29="雪崩法",计算_雪崩!BB105,计算_雪球!BB105))</f>
        <v/>
      </c>
      <c r="M86" s="43" t="str">
        <f aca="false">IF($A86="","",IF(每月预算!$B$29="雪崩法",计算_雪崩!BC105,计算_雪球!BC105))</f>
        <v/>
      </c>
      <c r="N86" s="43" t="str">
        <f aca="false">IF($A86="","",IF(每月预算!$B$29="雪崩法",计算_雪崩!BE105,计算_雪球!BE105))</f>
        <v/>
      </c>
      <c r="O86" s="43" t="str">
        <f aca="false">IF($A86="","",IF(每月预算!$B$29="雪崩法",计算_雪崩!BD105,计算_雪球!BD105))</f>
        <v/>
      </c>
    </row>
    <row r="87" customFormat="false" ht="15" hidden="false" customHeight="false" outlineLevel="0" collapsed="false">
      <c r="A87" s="24" t="str">
        <f aca="false">IF(83&lt;=$R$2,83,"")</f>
        <v/>
      </c>
      <c r="B87" s="42" t="str">
        <f aca="false">IF($A87="","",计算_雪球!B106)</f>
        <v/>
      </c>
      <c r="C87" s="43" t="str">
        <f aca="false">IF(OR($A87="",C$4=""),"",IF(每月预算!$B$29="雪崩法",计算_雪崩!I106,计算_雪球!I106))</f>
        <v/>
      </c>
      <c r="D87" s="43" t="str">
        <f aca="false">IF(OR($A87="",D$4=""),"",IF(每月预算!$B$29="雪崩法",计算_雪崩!N106,计算_雪球!N106))</f>
        <v/>
      </c>
      <c r="E87" s="43" t="str">
        <f aca="false">IF(OR($A87="",E$4=""),"",IF(每月预算!$B$29="雪崩法",计算_雪崩!S106,计算_雪球!S106))</f>
        <v/>
      </c>
      <c r="F87" s="43" t="str">
        <f aca="false">IF(OR($A87="",F$4=""),"",IF(每月预算!$B$29="雪崩法",计算_雪崩!X106,计算_雪球!X106))</f>
        <v/>
      </c>
      <c r="G87" s="43" t="str">
        <f aca="false">IF(OR($A87="",G$4=""),"",IF(每月预算!$B$29="雪崩法",计算_雪崩!AC106,计算_雪球!AC106))</f>
        <v/>
      </c>
      <c r="H87" s="43" t="str">
        <f aca="false">IF(OR($A87="",H$4=""),"",IF(每月预算!$B$29="雪崩法",计算_雪崩!AH106,计算_雪球!AH106))</f>
        <v/>
      </c>
      <c r="I87" s="43" t="str">
        <f aca="false">IF(OR($A87="",I$4=""),"",IF(每月预算!$B$29="雪崩法",计算_雪崩!AM106,计算_雪球!AM106))</f>
        <v/>
      </c>
      <c r="J87" s="43" t="str">
        <f aca="false">IF(OR($A87="",J$4=""),"",IF(每月预算!$B$29="雪崩法",计算_雪崩!AR106,计算_雪球!AR106))</f>
        <v/>
      </c>
      <c r="K87" s="43" t="str">
        <f aca="false">IF(OR($A87="",K$4=""),"",IF(每月预算!$B$29="雪崩法",计算_雪崩!AW106,计算_雪球!AW106))</f>
        <v/>
      </c>
      <c r="L87" s="43" t="str">
        <f aca="false">IF(OR($A87="",L$4=""),"",IF(每月预算!$B$29="雪崩法",计算_雪崩!BB106,计算_雪球!BB106))</f>
        <v/>
      </c>
      <c r="M87" s="43" t="str">
        <f aca="false">IF($A87="","",IF(每月预算!$B$29="雪崩法",计算_雪崩!BC106,计算_雪球!BC106))</f>
        <v/>
      </c>
      <c r="N87" s="43" t="str">
        <f aca="false">IF($A87="","",IF(每月预算!$B$29="雪崩法",计算_雪崩!BE106,计算_雪球!BE106))</f>
        <v/>
      </c>
      <c r="O87" s="43" t="str">
        <f aca="false">IF($A87="","",IF(每月预算!$B$29="雪崩法",计算_雪崩!BD106,计算_雪球!BD106))</f>
        <v/>
      </c>
    </row>
    <row r="88" customFormat="false" ht="15" hidden="false" customHeight="false" outlineLevel="0" collapsed="false">
      <c r="A88" s="24" t="str">
        <f aca="false">IF(84&lt;=$R$2,84,"")</f>
        <v/>
      </c>
      <c r="B88" s="42" t="str">
        <f aca="false">IF($A88="","",计算_雪球!B107)</f>
        <v/>
      </c>
      <c r="C88" s="43" t="str">
        <f aca="false">IF(OR($A88="",C$4=""),"",IF(每月预算!$B$29="雪崩法",计算_雪崩!I107,计算_雪球!I107))</f>
        <v/>
      </c>
      <c r="D88" s="43" t="str">
        <f aca="false">IF(OR($A88="",D$4=""),"",IF(每月预算!$B$29="雪崩法",计算_雪崩!N107,计算_雪球!N107))</f>
        <v/>
      </c>
      <c r="E88" s="43" t="str">
        <f aca="false">IF(OR($A88="",E$4=""),"",IF(每月预算!$B$29="雪崩法",计算_雪崩!S107,计算_雪球!S107))</f>
        <v/>
      </c>
      <c r="F88" s="43" t="str">
        <f aca="false">IF(OR($A88="",F$4=""),"",IF(每月预算!$B$29="雪崩法",计算_雪崩!X107,计算_雪球!X107))</f>
        <v/>
      </c>
      <c r="G88" s="43" t="str">
        <f aca="false">IF(OR($A88="",G$4=""),"",IF(每月预算!$B$29="雪崩法",计算_雪崩!AC107,计算_雪球!AC107))</f>
        <v/>
      </c>
      <c r="H88" s="43" t="str">
        <f aca="false">IF(OR($A88="",H$4=""),"",IF(每月预算!$B$29="雪崩法",计算_雪崩!AH107,计算_雪球!AH107))</f>
        <v/>
      </c>
      <c r="I88" s="43" t="str">
        <f aca="false">IF(OR($A88="",I$4=""),"",IF(每月预算!$B$29="雪崩法",计算_雪崩!AM107,计算_雪球!AM107))</f>
        <v/>
      </c>
      <c r="J88" s="43" t="str">
        <f aca="false">IF(OR($A88="",J$4=""),"",IF(每月预算!$B$29="雪崩法",计算_雪崩!AR107,计算_雪球!AR107))</f>
        <v/>
      </c>
      <c r="K88" s="43" t="str">
        <f aca="false">IF(OR($A88="",K$4=""),"",IF(每月预算!$B$29="雪崩法",计算_雪崩!AW107,计算_雪球!AW107))</f>
        <v/>
      </c>
      <c r="L88" s="43" t="str">
        <f aca="false">IF(OR($A88="",L$4=""),"",IF(每月预算!$B$29="雪崩法",计算_雪崩!BB107,计算_雪球!BB107))</f>
        <v/>
      </c>
      <c r="M88" s="43" t="str">
        <f aca="false">IF($A88="","",IF(每月预算!$B$29="雪崩法",计算_雪崩!BC107,计算_雪球!BC107))</f>
        <v/>
      </c>
      <c r="N88" s="43" t="str">
        <f aca="false">IF($A88="","",IF(每月预算!$B$29="雪崩法",计算_雪崩!BE107,计算_雪球!BE107))</f>
        <v/>
      </c>
      <c r="O88" s="43" t="str">
        <f aca="false">IF($A88="","",IF(每月预算!$B$29="雪崩法",计算_雪崩!BD107,计算_雪球!BD107))</f>
        <v/>
      </c>
    </row>
    <row r="89" customFormat="false" ht="15" hidden="false" customHeight="false" outlineLevel="0" collapsed="false">
      <c r="A89" s="24" t="str">
        <f aca="false">IF(85&lt;=$R$2,85,"")</f>
        <v/>
      </c>
      <c r="B89" s="42" t="str">
        <f aca="false">IF($A89="","",计算_雪球!B108)</f>
        <v/>
      </c>
      <c r="C89" s="43" t="str">
        <f aca="false">IF(OR($A89="",C$4=""),"",IF(每月预算!$B$29="雪崩法",计算_雪崩!I108,计算_雪球!I108))</f>
        <v/>
      </c>
      <c r="D89" s="43" t="str">
        <f aca="false">IF(OR($A89="",D$4=""),"",IF(每月预算!$B$29="雪崩法",计算_雪崩!N108,计算_雪球!N108))</f>
        <v/>
      </c>
      <c r="E89" s="43" t="str">
        <f aca="false">IF(OR($A89="",E$4=""),"",IF(每月预算!$B$29="雪崩法",计算_雪崩!S108,计算_雪球!S108))</f>
        <v/>
      </c>
      <c r="F89" s="43" t="str">
        <f aca="false">IF(OR($A89="",F$4=""),"",IF(每月预算!$B$29="雪崩法",计算_雪崩!X108,计算_雪球!X108))</f>
        <v/>
      </c>
      <c r="G89" s="43" t="str">
        <f aca="false">IF(OR($A89="",G$4=""),"",IF(每月预算!$B$29="雪崩法",计算_雪崩!AC108,计算_雪球!AC108))</f>
        <v/>
      </c>
      <c r="H89" s="43" t="str">
        <f aca="false">IF(OR($A89="",H$4=""),"",IF(每月预算!$B$29="雪崩法",计算_雪崩!AH108,计算_雪球!AH108))</f>
        <v/>
      </c>
      <c r="I89" s="43" t="str">
        <f aca="false">IF(OR($A89="",I$4=""),"",IF(每月预算!$B$29="雪崩法",计算_雪崩!AM108,计算_雪球!AM108))</f>
        <v/>
      </c>
      <c r="J89" s="43" t="str">
        <f aca="false">IF(OR($A89="",J$4=""),"",IF(每月预算!$B$29="雪崩法",计算_雪崩!AR108,计算_雪球!AR108))</f>
        <v/>
      </c>
      <c r="K89" s="43" t="str">
        <f aca="false">IF(OR($A89="",K$4=""),"",IF(每月预算!$B$29="雪崩法",计算_雪崩!AW108,计算_雪球!AW108))</f>
        <v/>
      </c>
      <c r="L89" s="43" t="str">
        <f aca="false">IF(OR($A89="",L$4=""),"",IF(每月预算!$B$29="雪崩法",计算_雪崩!BB108,计算_雪球!BB108))</f>
        <v/>
      </c>
      <c r="M89" s="43" t="str">
        <f aca="false">IF($A89="","",IF(每月预算!$B$29="雪崩法",计算_雪崩!BC108,计算_雪球!BC108))</f>
        <v/>
      </c>
      <c r="N89" s="43" t="str">
        <f aca="false">IF($A89="","",IF(每月预算!$B$29="雪崩法",计算_雪崩!BE108,计算_雪球!BE108))</f>
        <v/>
      </c>
      <c r="O89" s="43" t="str">
        <f aca="false">IF($A89="","",IF(每月预算!$B$29="雪崩法",计算_雪崩!BD108,计算_雪球!BD108))</f>
        <v/>
      </c>
    </row>
    <row r="90" customFormat="false" ht="15" hidden="false" customHeight="false" outlineLevel="0" collapsed="false">
      <c r="A90" s="24" t="str">
        <f aca="false">IF(86&lt;=$R$2,86,"")</f>
        <v/>
      </c>
      <c r="B90" s="42" t="str">
        <f aca="false">IF($A90="","",计算_雪球!B109)</f>
        <v/>
      </c>
      <c r="C90" s="43" t="str">
        <f aca="false">IF(OR($A90="",C$4=""),"",IF(每月预算!$B$29="雪崩法",计算_雪崩!I109,计算_雪球!I109))</f>
        <v/>
      </c>
      <c r="D90" s="43" t="str">
        <f aca="false">IF(OR($A90="",D$4=""),"",IF(每月预算!$B$29="雪崩法",计算_雪崩!N109,计算_雪球!N109))</f>
        <v/>
      </c>
      <c r="E90" s="43" t="str">
        <f aca="false">IF(OR($A90="",E$4=""),"",IF(每月预算!$B$29="雪崩法",计算_雪崩!S109,计算_雪球!S109))</f>
        <v/>
      </c>
      <c r="F90" s="43" t="str">
        <f aca="false">IF(OR($A90="",F$4=""),"",IF(每月预算!$B$29="雪崩法",计算_雪崩!X109,计算_雪球!X109))</f>
        <v/>
      </c>
      <c r="G90" s="43" t="str">
        <f aca="false">IF(OR($A90="",G$4=""),"",IF(每月预算!$B$29="雪崩法",计算_雪崩!AC109,计算_雪球!AC109))</f>
        <v/>
      </c>
      <c r="H90" s="43" t="str">
        <f aca="false">IF(OR($A90="",H$4=""),"",IF(每月预算!$B$29="雪崩法",计算_雪崩!AH109,计算_雪球!AH109))</f>
        <v/>
      </c>
      <c r="I90" s="43" t="str">
        <f aca="false">IF(OR($A90="",I$4=""),"",IF(每月预算!$B$29="雪崩法",计算_雪崩!AM109,计算_雪球!AM109))</f>
        <v/>
      </c>
      <c r="J90" s="43" t="str">
        <f aca="false">IF(OR($A90="",J$4=""),"",IF(每月预算!$B$29="雪崩法",计算_雪崩!AR109,计算_雪球!AR109))</f>
        <v/>
      </c>
      <c r="K90" s="43" t="str">
        <f aca="false">IF(OR($A90="",K$4=""),"",IF(每月预算!$B$29="雪崩法",计算_雪崩!AW109,计算_雪球!AW109))</f>
        <v/>
      </c>
      <c r="L90" s="43" t="str">
        <f aca="false">IF(OR($A90="",L$4=""),"",IF(每月预算!$B$29="雪崩法",计算_雪崩!BB109,计算_雪球!BB109))</f>
        <v/>
      </c>
      <c r="M90" s="43" t="str">
        <f aca="false">IF($A90="","",IF(每月预算!$B$29="雪崩法",计算_雪崩!BC109,计算_雪球!BC109))</f>
        <v/>
      </c>
      <c r="N90" s="43" t="str">
        <f aca="false">IF($A90="","",IF(每月预算!$B$29="雪崩法",计算_雪崩!BE109,计算_雪球!BE109))</f>
        <v/>
      </c>
      <c r="O90" s="43" t="str">
        <f aca="false">IF($A90="","",IF(每月预算!$B$29="雪崩法",计算_雪崩!BD109,计算_雪球!BD109))</f>
        <v/>
      </c>
    </row>
    <row r="91" customFormat="false" ht="15" hidden="false" customHeight="false" outlineLevel="0" collapsed="false">
      <c r="A91" s="24" t="str">
        <f aca="false">IF(87&lt;=$R$2,87,"")</f>
        <v/>
      </c>
      <c r="B91" s="42" t="str">
        <f aca="false">IF($A91="","",计算_雪球!B110)</f>
        <v/>
      </c>
      <c r="C91" s="43" t="str">
        <f aca="false">IF(OR($A91="",C$4=""),"",IF(每月预算!$B$29="雪崩法",计算_雪崩!I110,计算_雪球!I110))</f>
        <v/>
      </c>
      <c r="D91" s="43" t="str">
        <f aca="false">IF(OR($A91="",D$4=""),"",IF(每月预算!$B$29="雪崩法",计算_雪崩!N110,计算_雪球!N110))</f>
        <v/>
      </c>
      <c r="E91" s="43" t="str">
        <f aca="false">IF(OR($A91="",E$4=""),"",IF(每月预算!$B$29="雪崩法",计算_雪崩!S110,计算_雪球!S110))</f>
        <v/>
      </c>
      <c r="F91" s="43" t="str">
        <f aca="false">IF(OR($A91="",F$4=""),"",IF(每月预算!$B$29="雪崩法",计算_雪崩!X110,计算_雪球!X110))</f>
        <v/>
      </c>
      <c r="G91" s="43" t="str">
        <f aca="false">IF(OR($A91="",G$4=""),"",IF(每月预算!$B$29="雪崩法",计算_雪崩!AC110,计算_雪球!AC110))</f>
        <v/>
      </c>
      <c r="H91" s="43" t="str">
        <f aca="false">IF(OR($A91="",H$4=""),"",IF(每月预算!$B$29="雪崩法",计算_雪崩!AH110,计算_雪球!AH110))</f>
        <v/>
      </c>
      <c r="I91" s="43" t="str">
        <f aca="false">IF(OR($A91="",I$4=""),"",IF(每月预算!$B$29="雪崩法",计算_雪崩!AM110,计算_雪球!AM110))</f>
        <v/>
      </c>
      <c r="J91" s="43" t="str">
        <f aca="false">IF(OR($A91="",J$4=""),"",IF(每月预算!$B$29="雪崩法",计算_雪崩!AR110,计算_雪球!AR110))</f>
        <v/>
      </c>
      <c r="K91" s="43" t="str">
        <f aca="false">IF(OR($A91="",K$4=""),"",IF(每月预算!$B$29="雪崩法",计算_雪崩!AW110,计算_雪球!AW110))</f>
        <v/>
      </c>
      <c r="L91" s="43" t="str">
        <f aca="false">IF(OR($A91="",L$4=""),"",IF(每月预算!$B$29="雪崩法",计算_雪崩!BB110,计算_雪球!BB110))</f>
        <v/>
      </c>
      <c r="M91" s="43" t="str">
        <f aca="false">IF($A91="","",IF(每月预算!$B$29="雪崩法",计算_雪崩!BC110,计算_雪球!BC110))</f>
        <v/>
      </c>
      <c r="N91" s="43" t="str">
        <f aca="false">IF($A91="","",IF(每月预算!$B$29="雪崩法",计算_雪崩!BE110,计算_雪球!BE110))</f>
        <v/>
      </c>
      <c r="O91" s="43" t="str">
        <f aca="false">IF($A91="","",IF(每月预算!$B$29="雪崩法",计算_雪崩!BD110,计算_雪球!BD110))</f>
        <v/>
      </c>
    </row>
    <row r="92" customFormat="false" ht="15" hidden="false" customHeight="false" outlineLevel="0" collapsed="false">
      <c r="A92" s="24" t="str">
        <f aca="false">IF(88&lt;=$R$2,88,"")</f>
        <v/>
      </c>
      <c r="B92" s="42" t="str">
        <f aca="false">IF($A92="","",计算_雪球!B111)</f>
        <v/>
      </c>
      <c r="C92" s="43" t="str">
        <f aca="false">IF(OR($A92="",C$4=""),"",IF(每月预算!$B$29="雪崩法",计算_雪崩!I111,计算_雪球!I111))</f>
        <v/>
      </c>
      <c r="D92" s="43" t="str">
        <f aca="false">IF(OR($A92="",D$4=""),"",IF(每月预算!$B$29="雪崩法",计算_雪崩!N111,计算_雪球!N111))</f>
        <v/>
      </c>
      <c r="E92" s="43" t="str">
        <f aca="false">IF(OR($A92="",E$4=""),"",IF(每月预算!$B$29="雪崩法",计算_雪崩!S111,计算_雪球!S111))</f>
        <v/>
      </c>
      <c r="F92" s="43" t="str">
        <f aca="false">IF(OR($A92="",F$4=""),"",IF(每月预算!$B$29="雪崩法",计算_雪崩!X111,计算_雪球!X111))</f>
        <v/>
      </c>
      <c r="G92" s="43" t="str">
        <f aca="false">IF(OR($A92="",G$4=""),"",IF(每月预算!$B$29="雪崩法",计算_雪崩!AC111,计算_雪球!AC111))</f>
        <v/>
      </c>
      <c r="H92" s="43" t="str">
        <f aca="false">IF(OR($A92="",H$4=""),"",IF(每月预算!$B$29="雪崩法",计算_雪崩!AH111,计算_雪球!AH111))</f>
        <v/>
      </c>
      <c r="I92" s="43" t="str">
        <f aca="false">IF(OR($A92="",I$4=""),"",IF(每月预算!$B$29="雪崩法",计算_雪崩!AM111,计算_雪球!AM111))</f>
        <v/>
      </c>
      <c r="J92" s="43" t="str">
        <f aca="false">IF(OR($A92="",J$4=""),"",IF(每月预算!$B$29="雪崩法",计算_雪崩!AR111,计算_雪球!AR111))</f>
        <v/>
      </c>
      <c r="K92" s="43" t="str">
        <f aca="false">IF(OR($A92="",K$4=""),"",IF(每月预算!$B$29="雪崩法",计算_雪崩!AW111,计算_雪球!AW111))</f>
        <v/>
      </c>
      <c r="L92" s="43" t="str">
        <f aca="false">IF(OR($A92="",L$4=""),"",IF(每月预算!$B$29="雪崩法",计算_雪崩!BB111,计算_雪球!BB111))</f>
        <v/>
      </c>
      <c r="M92" s="43" t="str">
        <f aca="false">IF($A92="","",IF(每月预算!$B$29="雪崩法",计算_雪崩!BC111,计算_雪球!BC111))</f>
        <v/>
      </c>
      <c r="N92" s="43" t="str">
        <f aca="false">IF($A92="","",IF(每月预算!$B$29="雪崩法",计算_雪崩!BE111,计算_雪球!BE111))</f>
        <v/>
      </c>
      <c r="O92" s="43" t="str">
        <f aca="false">IF($A92="","",IF(每月预算!$B$29="雪崩法",计算_雪崩!BD111,计算_雪球!BD111))</f>
        <v/>
      </c>
    </row>
    <row r="93" customFormat="false" ht="15" hidden="false" customHeight="false" outlineLevel="0" collapsed="false">
      <c r="A93" s="24" t="str">
        <f aca="false">IF(89&lt;=$R$2,89,"")</f>
        <v/>
      </c>
      <c r="B93" s="42" t="str">
        <f aca="false">IF($A93="","",计算_雪球!B112)</f>
        <v/>
      </c>
      <c r="C93" s="43" t="str">
        <f aca="false">IF(OR($A93="",C$4=""),"",IF(每月预算!$B$29="雪崩法",计算_雪崩!I112,计算_雪球!I112))</f>
        <v/>
      </c>
      <c r="D93" s="43" t="str">
        <f aca="false">IF(OR($A93="",D$4=""),"",IF(每月预算!$B$29="雪崩法",计算_雪崩!N112,计算_雪球!N112))</f>
        <v/>
      </c>
      <c r="E93" s="43" t="str">
        <f aca="false">IF(OR($A93="",E$4=""),"",IF(每月预算!$B$29="雪崩法",计算_雪崩!S112,计算_雪球!S112))</f>
        <v/>
      </c>
      <c r="F93" s="43" t="str">
        <f aca="false">IF(OR($A93="",F$4=""),"",IF(每月预算!$B$29="雪崩法",计算_雪崩!X112,计算_雪球!X112))</f>
        <v/>
      </c>
      <c r="G93" s="43" t="str">
        <f aca="false">IF(OR($A93="",G$4=""),"",IF(每月预算!$B$29="雪崩法",计算_雪崩!AC112,计算_雪球!AC112))</f>
        <v/>
      </c>
      <c r="H93" s="43" t="str">
        <f aca="false">IF(OR($A93="",H$4=""),"",IF(每月预算!$B$29="雪崩法",计算_雪崩!AH112,计算_雪球!AH112))</f>
        <v/>
      </c>
      <c r="I93" s="43" t="str">
        <f aca="false">IF(OR($A93="",I$4=""),"",IF(每月预算!$B$29="雪崩法",计算_雪崩!AM112,计算_雪球!AM112))</f>
        <v/>
      </c>
      <c r="J93" s="43" t="str">
        <f aca="false">IF(OR($A93="",J$4=""),"",IF(每月预算!$B$29="雪崩法",计算_雪崩!AR112,计算_雪球!AR112))</f>
        <v/>
      </c>
      <c r="K93" s="43" t="str">
        <f aca="false">IF(OR($A93="",K$4=""),"",IF(每月预算!$B$29="雪崩法",计算_雪崩!AW112,计算_雪球!AW112))</f>
        <v/>
      </c>
      <c r="L93" s="43" t="str">
        <f aca="false">IF(OR($A93="",L$4=""),"",IF(每月预算!$B$29="雪崩法",计算_雪崩!BB112,计算_雪球!BB112))</f>
        <v/>
      </c>
      <c r="M93" s="43" t="str">
        <f aca="false">IF($A93="","",IF(每月预算!$B$29="雪崩法",计算_雪崩!BC112,计算_雪球!BC112))</f>
        <v/>
      </c>
      <c r="N93" s="43" t="str">
        <f aca="false">IF($A93="","",IF(每月预算!$B$29="雪崩法",计算_雪崩!BE112,计算_雪球!BE112))</f>
        <v/>
      </c>
      <c r="O93" s="43" t="str">
        <f aca="false">IF($A93="","",IF(每月预算!$B$29="雪崩法",计算_雪崩!BD112,计算_雪球!BD112))</f>
        <v/>
      </c>
    </row>
    <row r="94" customFormat="false" ht="15" hidden="false" customHeight="false" outlineLevel="0" collapsed="false">
      <c r="A94" s="24" t="str">
        <f aca="false">IF(90&lt;=$R$2,90,"")</f>
        <v/>
      </c>
      <c r="B94" s="42" t="str">
        <f aca="false">IF($A94="","",计算_雪球!B113)</f>
        <v/>
      </c>
      <c r="C94" s="43" t="str">
        <f aca="false">IF(OR($A94="",C$4=""),"",IF(每月预算!$B$29="雪崩法",计算_雪崩!I113,计算_雪球!I113))</f>
        <v/>
      </c>
      <c r="D94" s="43" t="str">
        <f aca="false">IF(OR($A94="",D$4=""),"",IF(每月预算!$B$29="雪崩法",计算_雪崩!N113,计算_雪球!N113))</f>
        <v/>
      </c>
      <c r="E94" s="43" t="str">
        <f aca="false">IF(OR($A94="",E$4=""),"",IF(每月预算!$B$29="雪崩法",计算_雪崩!S113,计算_雪球!S113))</f>
        <v/>
      </c>
      <c r="F94" s="43" t="str">
        <f aca="false">IF(OR($A94="",F$4=""),"",IF(每月预算!$B$29="雪崩法",计算_雪崩!X113,计算_雪球!X113))</f>
        <v/>
      </c>
      <c r="G94" s="43" t="str">
        <f aca="false">IF(OR($A94="",G$4=""),"",IF(每月预算!$B$29="雪崩法",计算_雪崩!AC113,计算_雪球!AC113))</f>
        <v/>
      </c>
      <c r="H94" s="43" t="str">
        <f aca="false">IF(OR($A94="",H$4=""),"",IF(每月预算!$B$29="雪崩法",计算_雪崩!AH113,计算_雪球!AH113))</f>
        <v/>
      </c>
      <c r="I94" s="43" t="str">
        <f aca="false">IF(OR($A94="",I$4=""),"",IF(每月预算!$B$29="雪崩法",计算_雪崩!AM113,计算_雪球!AM113))</f>
        <v/>
      </c>
      <c r="J94" s="43" t="str">
        <f aca="false">IF(OR($A94="",J$4=""),"",IF(每月预算!$B$29="雪崩法",计算_雪崩!AR113,计算_雪球!AR113))</f>
        <v/>
      </c>
      <c r="K94" s="43" t="str">
        <f aca="false">IF(OR($A94="",K$4=""),"",IF(每月预算!$B$29="雪崩法",计算_雪崩!AW113,计算_雪球!AW113))</f>
        <v/>
      </c>
      <c r="L94" s="43" t="str">
        <f aca="false">IF(OR($A94="",L$4=""),"",IF(每月预算!$B$29="雪崩法",计算_雪崩!BB113,计算_雪球!BB113))</f>
        <v/>
      </c>
      <c r="M94" s="43" t="str">
        <f aca="false">IF($A94="","",IF(每月预算!$B$29="雪崩法",计算_雪崩!BC113,计算_雪球!BC113))</f>
        <v/>
      </c>
      <c r="N94" s="43" t="str">
        <f aca="false">IF($A94="","",IF(每月预算!$B$29="雪崩法",计算_雪崩!BE113,计算_雪球!BE113))</f>
        <v/>
      </c>
      <c r="O94" s="43" t="str">
        <f aca="false">IF($A94="","",IF(每月预算!$B$29="雪崩法",计算_雪崩!BD113,计算_雪球!BD113))</f>
        <v/>
      </c>
    </row>
    <row r="95" customFormat="false" ht="15" hidden="false" customHeight="false" outlineLevel="0" collapsed="false">
      <c r="A95" s="24" t="str">
        <f aca="false">IF(91&lt;=$R$2,91,"")</f>
        <v/>
      </c>
      <c r="B95" s="42" t="str">
        <f aca="false">IF($A95="","",计算_雪球!B114)</f>
        <v/>
      </c>
      <c r="C95" s="43" t="str">
        <f aca="false">IF(OR($A95="",C$4=""),"",IF(每月预算!$B$29="雪崩法",计算_雪崩!I114,计算_雪球!I114))</f>
        <v/>
      </c>
      <c r="D95" s="43" t="str">
        <f aca="false">IF(OR($A95="",D$4=""),"",IF(每月预算!$B$29="雪崩法",计算_雪崩!N114,计算_雪球!N114))</f>
        <v/>
      </c>
      <c r="E95" s="43" t="str">
        <f aca="false">IF(OR($A95="",E$4=""),"",IF(每月预算!$B$29="雪崩法",计算_雪崩!S114,计算_雪球!S114))</f>
        <v/>
      </c>
      <c r="F95" s="43" t="str">
        <f aca="false">IF(OR($A95="",F$4=""),"",IF(每月预算!$B$29="雪崩法",计算_雪崩!X114,计算_雪球!X114))</f>
        <v/>
      </c>
      <c r="G95" s="43" t="str">
        <f aca="false">IF(OR($A95="",G$4=""),"",IF(每月预算!$B$29="雪崩法",计算_雪崩!AC114,计算_雪球!AC114))</f>
        <v/>
      </c>
      <c r="H95" s="43" t="str">
        <f aca="false">IF(OR($A95="",H$4=""),"",IF(每月预算!$B$29="雪崩法",计算_雪崩!AH114,计算_雪球!AH114))</f>
        <v/>
      </c>
      <c r="I95" s="43" t="str">
        <f aca="false">IF(OR($A95="",I$4=""),"",IF(每月预算!$B$29="雪崩法",计算_雪崩!AM114,计算_雪球!AM114))</f>
        <v/>
      </c>
      <c r="J95" s="43" t="str">
        <f aca="false">IF(OR($A95="",J$4=""),"",IF(每月预算!$B$29="雪崩法",计算_雪崩!AR114,计算_雪球!AR114))</f>
        <v/>
      </c>
      <c r="K95" s="43" t="str">
        <f aca="false">IF(OR($A95="",K$4=""),"",IF(每月预算!$B$29="雪崩法",计算_雪崩!AW114,计算_雪球!AW114))</f>
        <v/>
      </c>
      <c r="L95" s="43" t="str">
        <f aca="false">IF(OR($A95="",L$4=""),"",IF(每月预算!$B$29="雪崩法",计算_雪崩!BB114,计算_雪球!BB114))</f>
        <v/>
      </c>
      <c r="M95" s="43" t="str">
        <f aca="false">IF($A95="","",IF(每月预算!$B$29="雪崩法",计算_雪崩!BC114,计算_雪球!BC114))</f>
        <v/>
      </c>
      <c r="N95" s="43" t="str">
        <f aca="false">IF($A95="","",IF(每月预算!$B$29="雪崩法",计算_雪崩!BE114,计算_雪球!BE114))</f>
        <v/>
      </c>
      <c r="O95" s="43" t="str">
        <f aca="false">IF($A95="","",IF(每月预算!$B$29="雪崩法",计算_雪崩!BD114,计算_雪球!BD114))</f>
        <v/>
      </c>
    </row>
    <row r="96" customFormat="false" ht="15" hidden="false" customHeight="false" outlineLevel="0" collapsed="false">
      <c r="A96" s="24" t="str">
        <f aca="false">IF(92&lt;=$R$2,92,"")</f>
        <v/>
      </c>
      <c r="B96" s="42" t="str">
        <f aca="false">IF($A96="","",计算_雪球!B115)</f>
        <v/>
      </c>
      <c r="C96" s="43" t="str">
        <f aca="false">IF(OR($A96="",C$4=""),"",IF(每月预算!$B$29="雪崩法",计算_雪崩!I115,计算_雪球!I115))</f>
        <v/>
      </c>
      <c r="D96" s="43" t="str">
        <f aca="false">IF(OR($A96="",D$4=""),"",IF(每月预算!$B$29="雪崩法",计算_雪崩!N115,计算_雪球!N115))</f>
        <v/>
      </c>
      <c r="E96" s="43" t="str">
        <f aca="false">IF(OR($A96="",E$4=""),"",IF(每月预算!$B$29="雪崩法",计算_雪崩!S115,计算_雪球!S115))</f>
        <v/>
      </c>
      <c r="F96" s="43" t="str">
        <f aca="false">IF(OR($A96="",F$4=""),"",IF(每月预算!$B$29="雪崩法",计算_雪崩!X115,计算_雪球!X115))</f>
        <v/>
      </c>
      <c r="G96" s="43" t="str">
        <f aca="false">IF(OR($A96="",G$4=""),"",IF(每月预算!$B$29="雪崩法",计算_雪崩!AC115,计算_雪球!AC115))</f>
        <v/>
      </c>
      <c r="H96" s="43" t="str">
        <f aca="false">IF(OR($A96="",H$4=""),"",IF(每月预算!$B$29="雪崩法",计算_雪崩!AH115,计算_雪球!AH115))</f>
        <v/>
      </c>
      <c r="I96" s="43" t="str">
        <f aca="false">IF(OR($A96="",I$4=""),"",IF(每月预算!$B$29="雪崩法",计算_雪崩!AM115,计算_雪球!AM115))</f>
        <v/>
      </c>
      <c r="J96" s="43" t="str">
        <f aca="false">IF(OR($A96="",J$4=""),"",IF(每月预算!$B$29="雪崩法",计算_雪崩!AR115,计算_雪球!AR115))</f>
        <v/>
      </c>
      <c r="K96" s="43" t="str">
        <f aca="false">IF(OR($A96="",K$4=""),"",IF(每月预算!$B$29="雪崩法",计算_雪崩!AW115,计算_雪球!AW115))</f>
        <v/>
      </c>
      <c r="L96" s="43" t="str">
        <f aca="false">IF(OR($A96="",L$4=""),"",IF(每月预算!$B$29="雪崩法",计算_雪崩!BB115,计算_雪球!BB115))</f>
        <v/>
      </c>
      <c r="M96" s="43" t="str">
        <f aca="false">IF($A96="","",IF(每月预算!$B$29="雪崩法",计算_雪崩!BC115,计算_雪球!BC115))</f>
        <v/>
      </c>
      <c r="N96" s="43" t="str">
        <f aca="false">IF($A96="","",IF(每月预算!$B$29="雪崩法",计算_雪崩!BE115,计算_雪球!BE115))</f>
        <v/>
      </c>
      <c r="O96" s="43" t="str">
        <f aca="false">IF($A96="","",IF(每月预算!$B$29="雪崩法",计算_雪崩!BD115,计算_雪球!BD115))</f>
        <v/>
      </c>
    </row>
    <row r="97" customFormat="false" ht="15" hidden="false" customHeight="false" outlineLevel="0" collapsed="false">
      <c r="A97" s="24" t="str">
        <f aca="false">IF(93&lt;=$R$2,93,"")</f>
        <v/>
      </c>
      <c r="B97" s="42" t="str">
        <f aca="false">IF($A97="","",计算_雪球!B116)</f>
        <v/>
      </c>
      <c r="C97" s="43" t="str">
        <f aca="false">IF(OR($A97="",C$4=""),"",IF(每月预算!$B$29="雪崩法",计算_雪崩!I116,计算_雪球!I116))</f>
        <v/>
      </c>
      <c r="D97" s="43" t="str">
        <f aca="false">IF(OR($A97="",D$4=""),"",IF(每月预算!$B$29="雪崩法",计算_雪崩!N116,计算_雪球!N116))</f>
        <v/>
      </c>
      <c r="E97" s="43" t="str">
        <f aca="false">IF(OR($A97="",E$4=""),"",IF(每月预算!$B$29="雪崩法",计算_雪崩!S116,计算_雪球!S116))</f>
        <v/>
      </c>
      <c r="F97" s="43" t="str">
        <f aca="false">IF(OR($A97="",F$4=""),"",IF(每月预算!$B$29="雪崩法",计算_雪崩!X116,计算_雪球!X116))</f>
        <v/>
      </c>
      <c r="G97" s="43" t="str">
        <f aca="false">IF(OR($A97="",G$4=""),"",IF(每月预算!$B$29="雪崩法",计算_雪崩!AC116,计算_雪球!AC116))</f>
        <v/>
      </c>
      <c r="H97" s="43" t="str">
        <f aca="false">IF(OR($A97="",H$4=""),"",IF(每月预算!$B$29="雪崩法",计算_雪崩!AH116,计算_雪球!AH116))</f>
        <v/>
      </c>
      <c r="I97" s="43" t="str">
        <f aca="false">IF(OR($A97="",I$4=""),"",IF(每月预算!$B$29="雪崩法",计算_雪崩!AM116,计算_雪球!AM116))</f>
        <v/>
      </c>
      <c r="J97" s="43" t="str">
        <f aca="false">IF(OR($A97="",J$4=""),"",IF(每月预算!$B$29="雪崩法",计算_雪崩!AR116,计算_雪球!AR116))</f>
        <v/>
      </c>
      <c r="K97" s="43" t="str">
        <f aca="false">IF(OR($A97="",K$4=""),"",IF(每月预算!$B$29="雪崩法",计算_雪崩!AW116,计算_雪球!AW116))</f>
        <v/>
      </c>
      <c r="L97" s="43" t="str">
        <f aca="false">IF(OR($A97="",L$4=""),"",IF(每月预算!$B$29="雪崩法",计算_雪崩!BB116,计算_雪球!BB116))</f>
        <v/>
      </c>
      <c r="M97" s="43" t="str">
        <f aca="false">IF($A97="","",IF(每月预算!$B$29="雪崩法",计算_雪崩!BC116,计算_雪球!BC116))</f>
        <v/>
      </c>
      <c r="N97" s="43" t="str">
        <f aca="false">IF($A97="","",IF(每月预算!$B$29="雪崩法",计算_雪崩!BE116,计算_雪球!BE116))</f>
        <v/>
      </c>
      <c r="O97" s="43" t="str">
        <f aca="false">IF($A97="","",IF(每月预算!$B$29="雪崩法",计算_雪崩!BD116,计算_雪球!BD116))</f>
        <v/>
      </c>
    </row>
    <row r="98" customFormat="false" ht="15" hidden="false" customHeight="false" outlineLevel="0" collapsed="false">
      <c r="A98" s="24" t="str">
        <f aca="false">IF(94&lt;=$R$2,94,"")</f>
        <v/>
      </c>
      <c r="B98" s="42" t="str">
        <f aca="false">IF($A98="","",计算_雪球!B117)</f>
        <v/>
      </c>
      <c r="C98" s="43" t="str">
        <f aca="false">IF(OR($A98="",C$4=""),"",IF(每月预算!$B$29="雪崩法",计算_雪崩!I117,计算_雪球!I117))</f>
        <v/>
      </c>
      <c r="D98" s="43" t="str">
        <f aca="false">IF(OR($A98="",D$4=""),"",IF(每月预算!$B$29="雪崩法",计算_雪崩!N117,计算_雪球!N117))</f>
        <v/>
      </c>
      <c r="E98" s="43" t="str">
        <f aca="false">IF(OR($A98="",E$4=""),"",IF(每月预算!$B$29="雪崩法",计算_雪崩!S117,计算_雪球!S117))</f>
        <v/>
      </c>
      <c r="F98" s="43" t="str">
        <f aca="false">IF(OR($A98="",F$4=""),"",IF(每月预算!$B$29="雪崩法",计算_雪崩!X117,计算_雪球!X117))</f>
        <v/>
      </c>
      <c r="G98" s="43" t="str">
        <f aca="false">IF(OR($A98="",G$4=""),"",IF(每月预算!$B$29="雪崩法",计算_雪崩!AC117,计算_雪球!AC117))</f>
        <v/>
      </c>
      <c r="H98" s="43" t="str">
        <f aca="false">IF(OR($A98="",H$4=""),"",IF(每月预算!$B$29="雪崩法",计算_雪崩!AH117,计算_雪球!AH117))</f>
        <v/>
      </c>
      <c r="I98" s="43" t="str">
        <f aca="false">IF(OR($A98="",I$4=""),"",IF(每月预算!$B$29="雪崩法",计算_雪崩!AM117,计算_雪球!AM117))</f>
        <v/>
      </c>
      <c r="J98" s="43" t="str">
        <f aca="false">IF(OR($A98="",J$4=""),"",IF(每月预算!$B$29="雪崩法",计算_雪崩!AR117,计算_雪球!AR117))</f>
        <v/>
      </c>
      <c r="K98" s="43" t="str">
        <f aca="false">IF(OR($A98="",K$4=""),"",IF(每月预算!$B$29="雪崩法",计算_雪崩!AW117,计算_雪球!AW117))</f>
        <v/>
      </c>
      <c r="L98" s="43" t="str">
        <f aca="false">IF(OR($A98="",L$4=""),"",IF(每月预算!$B$29="雪崩法",计算_雪崩!BB117,计算_雪球!BB117))</f>
        <v/>
      </c>
      <c r="M98" s="43" t="str">
        <f aca="false">IF($A98="","",IF(每月预算!$B$29="雪崩法",计算_雪崩!BC117,计算_雪球!BC117))</f>
        <v/>
      </c>
      <c r="N98" s="43" t="str">
        <f aca="false">IF($A98="","",IF(每月预算!$B$29="雪崩法",计算_雪崩!BE117,计算_雪球!BE117))</f>
        <v/>
      </c>
      <c r="O98" s="43" t="str">
        <f aca="false">IF($A98="","",IF(每月预算!$B$29="雪崩法",计算_雪崩!BD117,计算_雪球!BD117))</f>
        <v/>
      </c>
    </row>
    <row r="99" customFormat="false" ht="15" hidden="false" customHeight="false" outlineLevel="0" collapsed="false">
      <c r="A99" s="24" t="str">
        <f aca="false">IF(95&lt;=$R$2,95,"")</f>
        <v/>
      </c>
      <c r="B99" s="42" t="str">
        <f aca="false">IF($A99="","",计算_雪球!B118)</f>
        <v/>
      </c>
      <c r="C99" s="43" t="str">
        <f aca="false">IF(OR($A99="",C$4=""),"",IF(每月预算!$B$29="雪崩法",计算_雪崩!I118,计算_雪球!I118))</f>
        <v/>
      </c>
      <c r="D99" s="43" t="str">
        <f aca="false">IF(OR($A99="",D$4=""),"",IF(每月预算!$B$29="雪崩法",计算_雪崩!N118,计算_雪球!N118))</f>
        <v/>
      </c>
      <c r="E99" s="43" t="str">
        <f aca="false">IF(OR($A99="",E$4=""),"",IF(每月预算!$B$29="雪崩法",计算_雪崩!S118,计算_雪球!S118))</f>
        <v/>
      </c>
      <c r="F99" s="43" t="str">
        <f aca="false">IF(OR($A99="",F$4=""),"",IF(每月预算!$B$29="雪崩法",计算_雪崩!X118,计算_雪球!X118))</f>
        <v/>
      </c>
      <c r="G99" s="43" t="str">
        <f aca="false">IF(OR($A99="",G$4=""),"",IF(每月预算!$B$29="雪崩法",计算_雪崩!AC118,计算_雪球!AC118))</f>
        <v/>
      </c>
      <c r="H99" s="43" t="str">
        <f aca="false">IF(OR($A99="",H$4=""),"",IF(每月预算!$B$29="雪崩法",计算_雪崩!AH118,计算_雪球!AH118))</f>
        <v/>
      </c>
      <c r="I99" s="43" t="str">
        <f aca="false">IF(OR($A99="",I$4=""),"",IF(每月预算!$B$29="雪崩法",计算_雪崩!AM118,计算_雪球!AM118))</f>
        <v/>
      </c>
      <c r="J99" s="43" t="str">
        <f aca="false">IF(OR($A99="",J$4=""),"",IF(每月预算!$B$29="雪崩法",计算_雪崩!AR118,计算_雪球!AR118))</f>
        <v/>
      </c>
      <c r="K99" s="43" t="str">
        <f aca="false">IF(OR($A99="",K$4=""),"",IF(每月预算!$B$29="雪崩法",计算_雪崩!AW118,计算_雪球!AW118))</f>
        <v/>
      </c>
      <c r="L99" s="43" t="str">
        <f aca="false">IF(OR($A99="",L$4=""),"",IF(每月预算!$B$29="雪崩法",计算_雪崩!BB118,计算_雪球!BB118))</f>
        <v/>
      </c>
      <c r="M99" s="43" t="str">
        <f aca="false">IF($A99="","",IF(每月预算!$B$29="雪崩法",计算_雪崩!BC118,计算_雪球!BC118))</f>
        <v/>
      </c>
      <c r="N99" s="43" t="str">
        <f aca="false">IF($A99="","",IF(每月预算!$B$29="雪崩法",计算_雪崩!BE118,计算_雪球!BE118))</f>
        <v/>
      </c>
      <c r="O99" s="43" t="str">
        <f aca="false">IF($A99="","",IF(每月预算!$B$29="雪崩法",计算_雪崩!BD118,计算_雪球!BD118))</f>
        <v/>
      </c>
    </row>
    <row r="100" customFormat="false" ht="15" hidden="false" customHeight="false" outlineLevel="0" collapsed="false">
      <c r="A100" s="24" t="str">
        <f aca="false">IF(96&lt;=$R$2,96,"")</f>
        <v/>
      </c>
      <c r="B100" s="42" t="str">
        <f aca="false">IF($A100="","",计算_雪球!B119)</f>
        <v/>
      </c>
      <c r="C100" s="43" t="str">
        <f aca="false">IF(OR($A100="",C$4=""),"",IF(每月预算!$B$29="雪崩法",计算_雪崩!I119,计算_雪球!I119))</f>
        <v/>
      </c>
      <c r="D100" s="43" t="str">
        <f aca="false">IF(OR($A100="",D$4=""),"",IF(每月预算!$B$29="雪崩法",计算_雪崩!N119,计算_雪球!N119))</f>
        <v/>
      </c>
      <c r="E100" s="43" t="str">
        <f aca="false">IF(OR($A100="",E$4=""),"",IF(每月预算!$B$29="雪崩法",计算_雪崩!S119,计算_雪球!S119))</f>
        <v/>
      </c>
      <c r="F100" s="43" t="str">
        <f aca="false">IF(OR($A100="",F$4=""),"",IF(每月预算!$B$29="雪崩法",计算_雪崩!X119,计算_雪球!X119))</f>
        <v/>
      </c>
      <c r="G100" s="43" t="str">
        <f aca="false">IF(OR($A100="",G$4=""),"",IF(每月预算!$B$29="雪崩法",计算_雪崩!AC119,计算_雪球!AC119))</f>
        <v/>
      </c>
      <c r="H100" s="43" t="str">
        <f aca="false">IF(OR($A100="",H$4=""),"",IF(每月预算!$B$29="雪崩法",计算_雪崩!AH119,计算_雪球!AH119))</f>
        <v/>
      </c>
      <c r="I100" s="43" t="str">
        <f aca="false">IF(OR($A100="",I$4=""),"",IF(每月预算!$B$29="雪崩法",计算_雪崩!AM119,计算_雪球!AM119))</f>
        <v/>
      </c>
      <c r="J100" s="43" t="str">
        <f aca="false">IF(OR($A100="",J$4=""),"",IF(每月预算!$B$29="雪崩法",计算_雪崩!AR119,计算_雪球!AR119))</f>
        <v/>
      </c>
      <c r="K100" s="43" t="str">
        <f aca="false">IF(OR($A100="",K$4=""),"",IF(每月预算!$B$29="雪崩法",计算_雪崩!AW119,计算_雪球!AW119))</f>
        <v/>
      </c>
      <c r="L100" s="43" t="str">
        <f aca="false">IF(OR($A100="",L$4=""),"",IF(每月预算!$B$29="雪崩法",计算_雪崩!BB119,计算_雪球!BB119))</f>
        <v/>
      </c>
      <c r="M100" s="43" t="str">
        <f aca="false">IF($A100="","",IF(每月预算!$B$29="雪崩法",计算_雪崩!BC119,计算_雪球!BC119))</f>
        <v/>
      </c>
      <c r="N100" s="43" t="str">
        <f aca="false">IF($A100="","",IF(每月预算!$B$29="雪崩法",计算_雪崩!BE119,计算_雪球!BE119))</f>
        <v/>
      </c>
      <c r="O100" s="43" t="str">
        <f aca="false">IF($A100="","",IF(每月预算!$B$29="雪崩法",计算_雪崩!BD119,计算_雪球!BD119))</f>
        <v/>
      </c>
    </row>
    <row r="101" customFormat="false" ht="15" hidden="false" customHeight="false" outlineLevel="0" collapsed="false">
      <c r="A101" s="24" t="str">
        <f aca="false">IF(97&lt;=$R$2,97,"")</f>
        <v/>
      </c>
      <c r="B101" s="42" t="str">
        <f aca="false">IF($A101="","",计算_雪球!B120)</f>
        <v/>
      </c>
      <c r="C101" s="43" t="str">
        <f aca="false">IF(OR($A101="",C$4=""),"",IF(每月预算!$B$29="雪崩法",计算_雪崩!I120,计算_雪球!I120))</f>
        <v/>
      </c>
      <c r="D101" s="43" t="str">
        <f aca="false">IF(OR($A101="",D$4=""),"",IF(每月预算!$B$29="雪崩法",计算_雪崩!N120,计算_雪球!N120))</f>
        <v/>
      </c>
      <c r="E101" s="43" t="str">
        <f aca="false">IF(OR($A101="",E$4=""),"",IF(每月预算!$B$29="雪崩法",计算_雪崩!S120,计算_雪球!S120))</f>
        <v/>
      </c>
      <c r="F101" s="43" t="str">
        <f aca="false">IF(OR($A101="",F$4=""),"",IF(每月预算!$B$29="雪崩法",计算_雪崩!X120,计算_雪球!X120))</f>
        <v/>
      </c>
      <c r="G101" s="43" t="str">
        <f aca="false">IF(OR($A101="",G$4=""),"",IF(每月预算!$B$29="雪崩法",计算_雪崩!AC120,计算_雪球!AC120))</f>
        <v/>
      </c>
      <c r="H101" s="43" t="str">
        <f aca="false">IF(OR($A101="",H$4=""),"",IF(每月预算!$B$29="雪崩法",计算_雪崩!AH120,计算_雪球!AH120))</f>
        <v/>
      </c>
      <c r="I101" s="43" t="str">
        <f aca="false">IF(OR($A101="",I$4=""),"",IF(每月预算!$B$29="雪崩法",计算_雪崩!AM120,计算_雪球!AM120))</f>
        <v/>
      </c>
      <c r="J101" s="43" t="str">
        <f aca="false">IF(OR($A101="",J$4=""),"",IF(每月预算!$B$29="雪崩法",计算_雪崩!AR120,计算_雪球!AR120))</f>
        <v/>
      </c>
      <c r="K101" s="43" t="str">
        <f aca="false">IF(OR($A101="",K$4=""),"",IF(每月预算!$B$29="雪崩法",计算_雪崩!AW120,计算_雪球!AW120))</f>
        <v/>
      </c>
      <c r="L101" s="43" t="str">
        <f aca="false">IF(OR($A101="",L$4=""),"",IF(每月预算!$B$29="雪崩法",计算_雪崩!BB120,计算_雪球!BB120))</f>
        <v/>
      </c>
      <c r="M101" s="43" t="str">
        <f aca="false">IF($A101="","",IF(每月预算!$B$29="雪崩法",计算_雪崩!BC120,计算_雪球!BC120))</f>
        <v/>
      </c>
      <c r="N101" s="43" t="str">
        <f aca="false">IF($A101="","",IF(每月预算!$B$29="雪崩法",计算_雪崩!BE120,计算_雪球!BE120))</f>
        <v/>
      </c>
      <c r="O101" s="43" t="str">
        <f aca="false">IF($A101="","",IF(每月预算!$B$29="雪崩法",计算_雪崩!BD120,计算_雪球!BD120))</f>
        <v/>
      </c>
    </row>
    <row r="102" customFormat="false" ht="15" hidden="false" customHeight="false" outlineLevel="0" collapsed="false">
      <c r="A102" s="24" t="str">
        <f aca="false">IF(98&lt;=$R$2,98,"")</f>
        <v/>
      </c>
      <c r="B102" s="42" t="str">
        <f aca="false">IF($A102="","",计算_雪球!B121)</f>
        <v/>
      </c>
      <c r="C102" s="43" t="str">
        <f aca="false">IF(OR($A102="",C$4=""),"",IF(每月预算!$B$29="雪崩法",计算_雪崩!I121,计算_雪球!I121))</f>
        <v/>
      </c>
      <c r="D102" s="43" t="str">
        <f aca="false">IF(OR($A102="",D$4=""),"",IF(每月预算!$B$29="雪崩法",计算_雪崩!N121,计算_雪球!N121))</f>
        <v/>
      </c>
      <c r="E102" s="43" t="str">
        <f aca="false">IF(OR($A102="",E$4=""),"",IF(每月预算!$B$29="雪崩法",计算_雪崩!S121,计算_雪球!S121))</f>
        <v/>
      </c>
      <c r="F102" s="43" t="str">
        <f aca="false">IF(OR($A102="",F$4=""),"",IF(每月预算!$B$29="雪崩法",计算_雪崩!X121,计算_雪球!X121))</f>
        <v/>
      </c>
      <c r="G102" s="43" t="str">
        <f aca="false">IF(OR($A102="",G$4=""),"",IF(每月预算!$B$29="雪崩法",计算_雪崩!AC121,计算_雪球!AC121))</f>
        <v/>
      </c>
      <c r="H102" s="43" t="str">
        <f aca="false">IF(OR($A102="",H$4=""),"",IF(每月预算!$B$29="雪崩法",计算_雪崩!AH121,计算_雪球!AH121))</f>
        <v/>
      </c>
      <c r="I102" s="43" t="str">
        <f aca="false">IF(OR($A102="",I$4=""),"",IF(每月预算!$B$29="雪崩法",计算_雪崩!AM121,计算_雪球!AM121))</f>
        <v/>
      </c>
      <c r="J102" s="43" t="str">
        <f aca="false">IF(OR($A102="",J$4=""),"",IF(每月预算!$B$29="雪崩法",计算_雪崩!AR121,计算_雪球!AR121))</f>
        <v/>
      </c>
      <c r="K102" s="43" t="str">
        <f aca="false">IF(OR($A102="",K$4=""),"",IF(每月预算!$B$29="雪崩法",计算_雪崩!AW121,计算_雪球!AW121))</f>
        <v/>
      </c>
      <c r="L102" s="43" t="str">
        <f aca="false">IF(OR($A102="",L$4=""),"",IF(每月预算!$B$29="雪崩法",计算_雪崩!BB121,计算_雪球!BB121))</f>
        <v/>
      </c>
      <c r="M102" s="43" t="str">
        <f aca="false">IF($A102="","",IF(每月预算!$B$29="雪崩法",计算_雪崩!BC121,计算_雪球!BC121))</f>
        <v/>
      </c>
      <c r="N102" s="43" t="str">
        <f aca="false">IF($A102="","",IF(每月预算!$B$29="雪崩法",计算_雪崩!BE121,计算_雪球!BE121))</f>
        <v/>
      </c>
      <c r="O102" s="43" t="str">
        <f aca="false">IF($A102="","",IF(每月预算!$B$29="雪崩法",计算_雪崩!BD121,计算_雪球!BD121))</f>
        <v/>
      </c>
    </row>
    <row r="103" customFormat="false" ht="15" hidden="false" customHeight="false" outlineLevel="0" collapsed="false">
      <c r="A103" s="24" t="str">
        <f aca="false">IF(99&lt;=$R$2,99,"")</f>
        <v/>
      </c>
      <c r="B103" s="42" t="str">
        <f aca="false">IF($A103="","",计算_雪球!B122)</f>
        <v/>
      </c>
      <c r="C103" s="43" t="str">
        <f aca="false">IF(OR($A103="",C$4=""),"",IF(每月预算!$B$29="雪崩法",计算_雪崩!I122,计算_雪球!I122))</f>
        <v/>
      </c>
      <c r="D103" s="43" t="str">
        <f aca="false">IF(OR($A103="",D$4=""),"",IF(每月预算!$B$29="雪崩法",计算_雪崩!N122,计算_雪球!N122))</f>
        <v/>
      </c>
      <c r="E103" s="43" t="str">
        <f aca="false">IF(OR($A103="",E$4=""),"",IF(每月预算!$B$29="雪崩法",计算_雪崩!S122,计算_雪球!S122))</f>
        <v/>
      </c>
      <c r="F103" s="43" t="str">
        <f aca="false">IF(OR($A103="",F$4=""),"",IF(每月预算!$B$29="雪崩法",计算_雪崩!X122,计算_雪球!X122))</f>
        <v/>
      </c>
      <c r="G103" s="43" t="str">
        <f aca="false">IF(OR($A103="",G$4=""),"",IF(每月预算!$B$29="雪崩法",计算_雪崩!AC122,计算_雪球!AC122))</f>
        <v/>
      </c>
      <c r="H103" s="43" t="str">
        <f aca="false">IF(OR($A103="",H$4=""),"",IF(每月预算!$B$29="雪崩法",计算_雪崩!AH122,计算_雪球!AH122))</f>
        <v/>
      </c>
      <c r="I103" s="43" t="str">
        <f aca="false">IF(OR($A103="",I$4=""),"",IF(每月预算!$B$29="雪崩法",计算_雪崩!AM122,计算_雪球!AM122))</f>
        <v/>
      </c>
      <c r="J103" s="43" t="str">
        <f aca="false">IF(OR($A103="",J$4=""),"",IF(每月预算!$B$29="雪崩法",计算_雪崩!AR122,计算_雪球!AR122))</f>
        <v/>
      </c>
      <c r="K103" s="43" t="str">
        <f aca="false">IF(OR($A103="",K$4=""),"",IF(每月预算!$B$29="雪崩法",计算_雪崩!AW122,计算_雪球!AW122))</f>
        <v/>
      </c>
      <c r="L103" s="43" t="str">
        <f aca="false">IF(OR($A103="",L$4=""),"",IF(每月预算!$B$29="雪崩法",计算_雪崩!BB122,计算_雪球!BB122))</f>
        <v/>
      </c>
      <c r="M103" s="43" t="str">
        <f aca="false">IF($A103="","",IF(每月预算!$B$29="雪崩法",计算_雪崩!BC122,计算_雪球!BC122))</f>
        <v/>
      </c>
      <c r="N103" s="43" t="str">
        <f aca="false">IF($A103="","",IF(每月预算!$B$29="雪崩法",计算_雪崩!BE122,计算_雪球!BE122))</f>
        <v/>
      </c>
      <c r="O103" s="43" t="str">
        <f aca="false">IF($A103="","",IF(每月预算!$B$29="雪崩法",计算_雪崩!BD122,计算_雪球!BD122))</f>
        <v/>
      </c>
    </row>
    <row r="104" customFormat="false" ht="15" hidden="false" customHeight="false" outlineLevel="0" collapsed="false">
      <c r="A104" s="24" t="str">
        <f aca="false">IF(100&lt;=$R$2,100,"")</f>
        <v/>
      </c>
      <c r="B104" s="42" t="str">
        <f aca="false">IF($A104="","",计算_雪球!B123)</f>
        <v/>
      </c>
      <c r="C104" s="43" t="str">
        <f aca="false">IF(OR($A104="",C$4=""),"",IF(每月预算!$B$29="雪崩法",计算_雪崩!I123,计算_雪球!I123))</f>
        <v/>
      </c>
      <c r="D104" s="43" t="str">
        <f aca="false">IF(OR($A104="",D$4=""),"",IF(每月预算!$B$29="雪崩法",计算_雪崩!N123,计算_雪球!N123))</f>
        <v/>
      </c>
      <c r="E104" s="43" t="str">
        <f aca="false">IF(OR($A104="",E$4=""),"",IF(每月预算!$B$29="雪崩法",计算_雪崩!S123,计算_雪球!S123))</f>
        <v/>
      </c>
      <c r="F104" s="43" t="str">
        <f aca="false">IF(OR($A104="",F$4=""),"",IF(每月预算!$B$29="雪崩法",计算_雪崩!X123,计算_雪球!X123))</f>
        <v/>
      </c>
      <c r="G104" s="43" t="str">
        <f aca="false">IF(OR($A104="",G$4=""),"",IF(每月预算!$B$29="雪崩法",计算_雪崩!AC123,计算_雪球!AC123))</f>
        <v/>
      </c>
      <c r="H104" s="43" t="str">
        <f aca="false">IF(OR($A104="",H$4=""),"",IF(每月预算!$B$29="雪崩法",计算_雪崩!AH123,计算_雪球!AH123))</f>
        <v/>
      </c>
      <c r="I104" s="43" t="str">
        <f aca="false">IF(OR($A104="",I$4=""),"",IF(每月预算!$B$29="雪崩法",计算_雪崩!AM123,计算_雪球!AM123))</f>
        <v/>
      </c>
      <c r="J104" s="43" t="str">
        <f aca="false">IF(OR($A104="",J$4=""),"",IF(每月预算!$B$29="雪崩法",计算_雪崩!AR123,计算_雪球!AR123))</f>
        <v/>
      </c>
      <c r="K104" s="43" t="str">
        <f aca="false">IF(OR($A104="",K$4=""),"",IF(每月预算!$B$29="雪崩法",计算_雪崩!AW123,计算_雪球!AW123))</f>
        <v/>
      </c>
      <c r="L104" s="43" t="str">
        <f aca="false">IF(OR($A104="",L$4=""),"",IF(每月预算!$B$29="雪崩法",计算_雪崩!BB123,计算_雪球!BB123))</f>
        <v/>
      </c>
      <c r="M104" s="43" t="str">
        <f aca="false">IF($A104="","",IF(每月预算!$B$29="雪崩法",计算_雪崩!BC123,计算_雪球!BC123))</f>
        <v/>
      </c>
      <c r="N104" s="43" t="str">
        <f aca="false">IF($A104="","",IF(每月预算!$B$29="雪崩法",计算_雪崩!BE123,计算_雪球!BE123))</f>
        <v/>
      </c>
      <c r="O104" s="43" t="str">
        <f aca="false">IF($A104="","",IF(每月预算!$B$29="雪崩法",计算_雪崩!BD123,计算_雪球!BD123))</f>
        <v/>
      </c>
    </row>
    <row r="105" customFormat="false" ht="15" hidden="false" customHeight="false" outlineLevel="0" collapsed="false">
      <c r="A105" s="24" t="str">
        <f aca="false">IF(101&lt;=$R$2,101,"")</f>
        <v/>
      </c>
      <c r="B105" s="42" t="str">
        <f aca="false">IF($A105="","",计算_雪球!B124)</f>
        <v/>
      </c>
      <c r="C105" s="43" t="str">
        <f aca="false">IF(OR($A105="",C$4=""),"",IF(每月预算!$B$29="雪崩法",计算_雪崩!I124,计算_雪球!I124))</f>
        <v/>
      </c>
      <c r="D105" s="43" t="str">
        <f aca="false">IF(OR($A105="",D$4=""),"",IF(每月预算!$B$29="雪崩法",计算_雪崩!N124,计算_雪球!N124))</f>
        <v/>
      </c>
      <c r="E105" s="43" t="str">
        <f aca="false">IF(OR($A105="",E$4=""),"",IF(每月预算!$B$29="雪崩法",计算_雪崩!S124,计算_雪球!S124))</f>
        <v/>
      </c>
      <c r="F105" s="43" t="str">
        <f aca="false">IF(OR($A105="",F$4=""),"",IF(每月预算!$B$29="雪崩法",计算_雪崩!X124,计算_雪球!X124))</f>
        <v/>
      </c>
      <c r="G105" s="43" t="str">
        <f aca="false">IF(OR($A105="",G$4=""),"",IF(每月预算!$B$29="雪崩法",计算_雪崩!AC124,计算_雪球!AC124))</f>
        <v/>
      </c>
      <c r="H105" s="43" t="str">
        <f aca="false">IF(OR($A105="",H$4=""),"",IF(每月预算!$B$29="雪崩法",计算_雪崩!AH124,计算_雪球!AH124))</f>
        <v/>
      </c>
      <c r="I105" s="43" t="str">
        <f aca="false">IF(OR($A105="",I$4=""),"",IF(每月预算!$B$29="雪崩法",计算_雪崩!AM124,计算_雪球!AM124))</f>
        <v/>
      </c>
      <c r="J105" s="43" t="str">
        <f aca="false">IF(OR($A105="",J$4=""),"",IF(每月预算!$B$29="雪崩法",计算_雪崩!AR124,计算_雪球!AR124))</f>
        <v/>
      </c>
      <c r="K105" s="43" t="str">
        <f aca="false">IF(OR($A105="",K$4=""),"",IF(每月预算!$B$29="雪崩法",计算_雪崩!AW124,计算_雪球!AW124))</f>
        <v/>
      </c>
      <c r="L105" s="43" t="str">
        <f aca="false">IF(OR($A105="",L$4=""),"",IF(每月预算!$B$29="雪崩法",计算_雪崩!BB124,计算_雪球!BB124))</f>
        <v/>
      </c>
      <c r="M105" s="43" t="str">
        <f aca="false">IF($A105="","",IF(每月预算!$B$29="雪崩法",计算_雪崩!BC124,计算_雪球!BC124))</f>
        <v/>
      </c>
      <c r="N105" s="43" t="str">
        <f aca="false">IF($A105="","",IF(每月预算!$B$29="雪崩法",计算_雪崩!BE124,计算_雪球!BE124))</f>
        <v/>
      </c>
      <c r="O105" s="43" t="str">
        <f aca="false">IF($A105="","",IF(每月预算!$B$29="雪崩法",计算_雪崩!BD124,计算_雪球!BD124))</f>
        <v/>
      </c>
    </row>
    <row r="106" customFormat="false" ht="15" hidden="false" customHeight="false" outlineLevel="0" collapsed="false">
      <c r="A106" s="24" t="str">
        <f aca="false">IF(102&lt;=$R$2,102,"")</f>
        <v/>
      </c>
      <c r="B106" s="42" t="str">
        <f aca="false">IF($A106="","",计算_雪球!B125)</f>
        <v/>
      </c>
      <c r="C106" s="43" t="str">
        <f aca="false">IF(OR($A106="",C$4=""),"",IF(每月预算!$B$29="雪崩法",计算_雪崩!I125,计算_雪球!I125))</f>
        <v/>
      </c>
      <c r="D106" s="43" t="str">
        <f aca="false">IF(OR($A106="",D$4=""),"",IF(每月预算!$B$29="雪崩法",计算_雪崩!N125,计算_雪球!N125))</f>
        <v/>
      </c>
      <c r="E106" s="43" t="str">
        <f aca="false">IF(OR($A106="",E$4=""),"",IF(每月预算!$B$29="雪崩法",计算_雪崩!S125,计算_雪球!S125))</f>
        <v/>
      </c>
      <c r="F106" s="43" t="str">
        <f aca="false">IF(OR($A106="",F$4=""),"",IF(每月预算!$B$29="雪崩法",计算_雪崩!X125,计算_雪球!X125))</f>
        <v/>
      </c>
      <c r="G106" s="43" t="str">
        <f aca="false">IF(OR($A106="",G$4=""),"",IF(每月预算!$B$29="雪崩法",计算_雪崩!AC125,计算_雪球!AC125))</f>
        <v/>
      </c>
      <c r="H106" s="43" t="str">
        <f aca="false">IF(OR($A106="",H$4=""),"",IF(每月预算!$B$29="雪崩法",计算_雪崩!AH125,计算_雪球!AH125))</f>
        <v/>
      </c>
      <c r="I106" s="43" t="str">
        <f aca="false">IF(OR($A106="",I$4=""),"",IF(每月预算!$B$29="雪崩法",计算_雪崩!AM125,计算_雪球!AM125))</f>
        <v/>
      </c>
      <c r="J106" s="43" t="str">
        <f aca="false">IF(OR($A106="",J$4=""),"",IF(每月预算!$B$29="雪崩法",计算_雪崩!AR125,计算_雪球!AR125))</f>
        <v/>
      </c>
      <c r="K106" s="43" t="str">
        <f aca="false">IF(OR($A106="",K$4=""),"",IF(每月预算!$B$29="雪崩法",计算_雪崩!AW125,计算_雪球!AW125))</f>
        <v/>
      </c>
      <c r="L106" s="43" t="str">
        <f aca="false">IF(OR($A106="",L$4=""),"",IF(每月预算!$B$29="雪崩法",计算_雪崩!BB125,计算_雪球!BB125))</f>
        <v/>
      </c>
      <c r="M106" s="43" t="str">
        <f aca="false">IF($A106="","",IF(每月预算!$B$29="雪崩法",计算_雪崩!BC125,计算_雪球!BC125))</f>
        <v/>
      </c>
      <c r="N106" s="43" t="str">
        <f aca="false">IF($A106="","",IF(每月预算!$B$29="雪崩法",计算_雪崩!BE125,计算_雪球!BE125))</f>
        <v/>
      </c>
      <c r="O106" s="43" t="str">
        <f aca="false">IF($A106="","",IF(每月预算!$B$29="雪崩法",计算_雪崩!BD125,计算_雪球!BD125))</f>
        <v/>
      </c>
    </row>
    <row r="107" customFormat="false" ht="15" hidden="false" customHeight="false" outlineLevel="0" collapsed="false">
      <c r="A107" s="24" t="str">
        <f aca="false">IF(103&lt;=$R$2,103,"")</f>
        <v/>
      </c>
      <c r="B107" s="42" t="str">
        <f aca="false">IF($A107="","",计算_雪球!B126)</f>
        <v/>
      </c>
      <c r="C107" s="43" t="str">
        <f aca="false">IF(OR($A107="",C$4=""),"",IF(每月预算!$B$29="雪崩法",计算_雪崩!I126,计算_雪球!I126))</f>
        <v/>
      </c>
      <c r="D107" s="43" t="str">
        <f aca="false">IF(OR($A107="",D$4=""),"",IF(每月预算!$B$29="雪崩法",计算_雪崩!N126,计算_雪球!N126))</f>
        <v/>
      </c>
      <c r="E107" s="43" t="str">
        <f aca="false">IF(OR($A107="",E$4=""),"",IF(每月预算!$B$29="雪崩法",计算_雪崩!S126,计算_雪球!S126))</f>
        <v/>
      </c>
      <c r="F107" s="43" t="str">
        <f aca="false">IF(OR($A107="",F$4=""),"",IF(每月预算!$B$29="雪崩法",计算_雪崩!X126,计算_雪球!X126))</f>
        <v/>
      </c>
      <c r="G107" s="43" t="str">
        <f aca="false">IF(OR($A107="",G$4=""),"",IF(每月预算!$B$29="雪崩法",计算_雪崩!AC126,计算_雪球!AC126))</f>
        <v/>
      </c>
      <c r="H107" s="43" t="str">
        <f aca="false">IF(OR($A107="",H$4=""),"",IF(每月预算!$B$29="雪崩法",计算_雪崩!AH126,计算_雪球!AH126))</f>
        <v/>
      </c>
      <c r="I107" s="43" t="str">
        <f aca="false">IF(OR($A107="",I$4=""),"",IF(每月预算!$B$29="雪崩法",计算_雪崩!AM126,计算_雪球!AM126))</f>
        <v/>
      </c>
      <c r="J107" s="43" t="str">
        <f aca="false">IF(OR($A107="",J$4=""),"",IF(每月预算!$B$29="雪崩法",计算_雪崩!AR126,计算_雪球!AR126))</f>
        <v/>
      </c>
      <c r="K107" s="43" t="str">
        <f aca="false">IF(OR($A107="",K$4=""),"",IF(每月预算!$B$29="雪崩法",计算_雪崩!AW126,计算_雪球!AW126))</f>
        <v/>
      </c>
      <c r="L107" s="43" t="str">
        <f aca="false">IF(OR($A107="",L$4=""),"",IF(每月预算!$B$29="雪崩法",计算_雪崩!BB126,计算_雪球!BB126))</f>
        <v/>
      </c>
      <c r="M107" s="43" t="str">
        <f aca="false">IF($A107="","",IF(每月预算!$B$29="雪崩法",计算_雪崩!BC126,计算_雪球!BC126))</f>
        <v/>
      </c>
      <c r="N107" s="43" t="str">
        <f aca="false">IF($A107="","",IF(每月预算!$B$29="雪崩法",计算_雪崩!BE126,计算_雪球!BE126))</f>
        <v/>
      </c>
      <c r="O107" s="43" t="str">
        <f aca="false">IF($A107="","",IF(每月预算!$B$29="雪崩法",计算_雪崩!BD126,计算_雪球!BD126))</f>
        <v/>
      </c>
    </row>
    <row r="108" customFormat="false" ht="15" hidden="false" customHeight="false" outlineLevel="0" collapsed="false">
      <c r="A108" s="24" t="str">
        <f aca="false">IF(104&lt;=$R$2,104,"")</f>
        <v/>
      </c>
      <c r="B108" s="42" t="str">
        <f aca="false">IF($A108="","",计算_雪球!B127)</f>
        <v/>
      </c>
      <c r="C108" s="43" t="str">
        <f aca="false">IF(OR($A108="",C$4=""),"",IF(每月预算!$B$29="雪崩法",计算_雪崩!I127,计算_雪球!I127))</f>
        <v/>
      </c>
      <c r="D108" s="43" t="str">
        <f aca="false">IF(OR($A108="",D$4=""),"",IF(每月预算!$B$29="雪崩法",计算_雪崩!N127,计算_雪球!N127))</f>
        <v/>
      </c>
      <c r="E108" s="43" t="str">
        <f aca="false">IF(OR($A108="",E$4=""),"",IF(每月预算!$B$29="雪崩法",计算_雪崩!S127,计算_雪球!S127))</f>
        <v/>
      </c>
      <c r="F108" s="43" t="str">
        <f aca="false">IF(OR($A108="",F$4=""),"",IF(每月预算!$B$29="雪崩法",计算_雪崩!X127,计算_雪球!X127))</f>
        <v/>
      </c>
      <c r="G108" s="43" t="str">
        <f aca="false">IF(OR($A108="",G$4=""),"",IF(每月预算!$B$29="雪崩法",计算_雪崩!AC127,计算_雪球!AC127))</f>
        <v/>
      </c>
      <c r="H108" s="43" t="str">
        <f aca="false">IF(OR($A108="",H$4=""),"",IF(每月预算!$B$29="雪崩法",计算_雪崩!AH127,计算_雪球!AH127))</f>
        <v/>
      </c>
      <c r="I108" s="43" t="str">
        <f aca="false">IF(OR($A108="",I$4=""),"",IF(每月预算!$B$29="雪崩法",计算_雪崩!AM127,计算_雪球!AM127))</f>
        <v/>
      </c>
      <c r="J108" s="43" t="str">
        <f aca="false">IF(OR($A108="",J$4=""),"",IF(每月预算!$B$29="雪崩法",计算_雪崩!AR127,计算_雪球!AR127))</f>
        <v/>
      </c>
      <c r="K108" s="43" t="str">
        <f aca="false">IF(OR($A108="",K$4=""),"",IF(每月预算!$B$29="雪崩法",计算_雪崩!AW127,计算_雪球!AW127))</f>
        <v/>
      </c>
      <c r="L108" s="43" t="str">
        <f aca="false">IF(OR($A108="",L$4=""),"",IF(每月预算!$B$29="雪崩法",计算_雪崩!BB127,计算_雪球!BB127))</f>
        <v/>
      </c>
      <c r="M108" s="43" t="str">
        <f aca="false">IF($A108="","",IF(每月预算!$B$29="雪崩法",计算_雪崩!BC127,计算_雪球!BC127))</f>
        <v/>
      </c>
      <c r="N108" s="43" t="str">
        <f aca="false">IF($A108="","",IF(每月预算!$B$29="雪崩法",计算_雪崩!BE127,计算_雪球!BE127))</f>
        <v/>
      </c>
      <c r="O108" s="43" t="str">
        <f aca="false">IF($A108="","",IF(每月预算!$B$29="雪崩法",计算_雪崩!BD127,计算_雪球!BD127))</f>
        <v/>
      </c>
    </row>
    <row r="109" customFormat="false" ht="15" hidden="false" customHeight="false" outlineLevel="0" collapsed="false">
      <c r="A109" s="24" t="str">
        <f aca="false">IF(105&lt;=$R$2,105,"")</f>
        <v/>
      </c>
      <c r="B109" s="42" t="str">
        <f aca="false">IF($A109="","",计算_雪球!B128)</f>
        <v/>
      </c>
      <c r="C109" s="43" t="str">
        <f aca="false">IF(OR($A109="",C$4=""),"",IF(每月预算!$B$29="雪崩法",计算_雪崩!I128,计算_雪球!I128))</f>
        <v/>
      </c>
      <c r="D109" s="43" t="str">
        <f aca="false">IF(OR($A109="",D$4=""),"",IF(每月预算!$B$29="雪崩法",计算_雪崩!N128,计算_雪球!N128))</f>
        <v/>
      </c>
      <c r="E109" s="43" t="str">
        <f aca="false">IF(OR($A109="",E$4=""),"",IF(每月预算!$B$29="雪崩法",计算_雪崩!S128,计算_雪球!S128))</f>
        <v/>
      </c>
      <c r="F109" s="43" t="str">
        <f aca="false">IF(OR($A109="",F$4=""),"",IF(每月预算!$B$29="雪崩法",计算_雪崩!X128,计算_雪球!X128))</f>
        <v/>
      </c>
      <c r="G109" s="43" t="str">
        <f aca="false">IF(OR($A109="",G$4=""),"",IF(每月预算!$B$29="雪崩法",计算_雪崩!AC128,计算_雪球!AC128))</f>
        <v/>
      </c>
      <c r="H109" s="43" t="str">
        <f aca="false">IF(OR($A109="",H$4=""),"",IF(每月预算!$B$29="雪崩法",计算_雪崩!AH128,计算_雪球!AH128))</f>
        <v/>
      </c>
      <c r="I109" s="43" t="str">
        <f aca="false">IF(OR($A109="",I$4=""),"",IF(每月预算!$B$29="雪崩法",计算_雪崩!AM128,计算_雪球!AM128))</f>
        <v/>
      </c>
      <c r="J109" s="43" t="str">
        <f aca="false">IF(OR($A109="",J$4=""),"",IF(每月预算!$B$29="雪崩法",计算_雪崩!AR128,计算_雪球!AR128))</f>
        <v/>
      </c>
      <c r="K109" s="43" t="str">
        <f aca="false">IF(OR($A109="",K$4=""),"",IF(每月预算!$B$29="雪崩法",计算_雪崩!AW128,计算_雪球!AW128))</f>
        <v/>
      </c>
      <c r="L109" s="43" t="str">
        <f aca="false">IF(OR($A109="",L$4=""),"",IF(每月预算!$B$29="雪崩法",计算_雪崩!BB128,计算_雪球!BB128))</f>
        <v/>
      </c>
      <c r="M109" s="43" t="str">
        <f aca="false">IF($A109="","",IF(每月预算!$B$29="雪崩法",计算_雪崩!BC128,计算_雪球!BC128))</f>
        <v/>
      </c>
      <c r="N109" s="43" t="str">
        <f aca="false">IF($A109="","",IF(每月预算!$B$29="雪崩法",计算_雪崩!BE128,计算_雪球!BE128))</f>
        <v/>
      </c>
      <c r="O109" s="43" t="str">
        <f aca="false">IF($A109="","",IF(每月预算!$B$29="雪崩法",计算_雪崩!BD128,计算_雪球!BD128))</f>
        <v/>
      </c>
    </row>
    <row r="110" customFormat="false" ht="15" hidden="false" customHeight="false" outlineLevel="0" collapsed="false">
      <c r="A110" s="24" t="str">
        <f aca="false">IF(106&lt;=$R$2,106,"")</f>
        <v/>
      </c>
      <c r="B110" s="42" t="str">
        <f aca="false">IF($A110="","",计算_雪球!B129)</f>
        <v/>
      </c>
      <c r="C110" s="43" t="str">
        <f aca="false">IF(OR($A110="",C$4=""),"",IF(每月预算!$B$29="雪崩法",计算_雪崩!I129,计算_雪球!I129))</f>
        <v/>
      </c>
      <c r="D110" s="43" t="str">
        <f aca="false">IF(OR($A110="",D$4=""),"",IF(每月预算!$B$29="雪崩法",计算_雪崩!N129,计算_雪球!N129))</f>
        <v/>
      </c>
      <c r="E110" s="43" t="str">
        <f aca="false">IF(OR($A110="",E$4=""),"",IF(每月预算!$B$29="雪崩法",计算_雪崩!S129,计算_雪球!S129))</f>
        <v/>
      </c>
      <c r="F110" s="43" t="str">
        <f aca="false">IF(OR($A110="",F$4=""),"",IF(每月预算!$B$29="雪崩法",计算_雪崩!X129,计算_雪球!X129))</f>
        <v/>
      </c>
      <c r="G110" s="43" t="str">
        <f aca="false">IF(OR($A110="",G$4=""),"",IF(每月预算!$B$29="雪崩法",计算_雪崩!AC129,计算_雪球!AC129))</f>
        <v/>
      </c>
      <c r="H110" s="43" t="str">
        <f aca="false">IF(OR($A110="",H$4=""),"",IF(每月预算!$B$29="雪崩法",计算_雪崩!AH129,计算_雪球!AH129))</f>
        <v/>
      </c>
      <c r="I110" s="43" t="str">
        <f aca="false">IF(OR($A110="",I$4=""),"",IF(每月预算!$B$29="雪崩法",计算_雪崩!AM129,计算_雪球!AM129))</f>
        <v/>
      </c>
      <c r="J110" s="43" t="str">
        <f aca="false">IF(OR($A110="",J$4=""),"",IF(每月预算!$B$29="雪崩法",计算_雪崩!AR129,计算_雪球!AR129))</f>
        <v/>
      </c>
      <c r="K110" s="43" t="str">
        <f aca="false">IF(OR($A110="",K$4=""),"",IF(每月预算!$B$29="雪崩法",计算_雪崩!AW129,计算_雪球!AW129))</f>
        <v/>
      </c>
      <c r="L110" s="43" t="str">
        <f aca="false">IF(OR($A110="",L$4=""),"",IF(每月预算!$B$29="雪崩法",计算_雪崩!BB129,计算_雪球!BB129))</f>
        <v/>
      </c>
      <c r="M110" s="43" t="str">
        <f aca="false">IF($A110="","",IF(每月预算!$B$29="雪崩法",计算_雪崩!BC129,计算_雪球!BC129))</f>
        <v/>
      </c>
      <c r="N110" s="43" t="str">
        <f aca="false">IF($A110="","",IF(每月预算!$B$29="雪崩法",计算_雪崩!BE129,计算_雪球!BE129))</f>
        <v/>
      </c>
      <c r="O110" s="43" t="str">
        <f aca="false">IF($A110="","",IF(每月预算!$B$29="雪崩法",计算_雪崩!BD129,计算_雪球!BD129))</f>
        <v/>
      </c>
    </row>
    <row r="111" customFormat="false" ht="15" hidden="false" customHeight="false" outlineLevel="0" collapsed="false">
      <c r="A111" s="24" t="str">
        <f aca="false">IF(107&lt;=$R$2,107,"")</f>
        <v/>
      </c>
      <c r="B111" s="42" t="str">
        <f aca="false">IF($A111="","",计算_雪球!B130)</f>
        <v/>
      </c>
      <c r="C111" s="43" t="str">
        <f aca="false">IF(OR($A111="",C$4=""),"",IF(每月预算!$B$29="雪崩法",计算_雪崩!I130,计算_雪球!I130))</f>
        <v/>
      </c>
      <c r="D111" s="43" t="str">
        <f aca="false">IF(OR($A111="",D$4=""),"",IF(每月预算!$B$29="雪崩法",计算_雪崩!N130,计算_雪球!N130))</f>
        <v/>
      </c>
      <c r="E111" s="43" t="str">
        <f aca="false">IF(OR($A111="",E$4=""),"",IF(每月预算!$B$29="雪崩法",计算_雪崩!S130,计算_雪球!S130))</f>
        <v/>
      </c>
      <c r="F111" s="43" t="str">
        <f aca="false">IF(OR($A111="",F$4=""),"",IF(每月预算!$B$29="雪崩法",计算_雪崩!X130,计算_雪球!X130))</f>
        <v/>
      </c>
      <c r="G111" s="43" t="str">
        <f aca="false">IF(OR($A111="",G$4=""),"",IF(每月预算!$B$29="雪崩法",计算_雪崩!AC130,计算_雪球!AC130))</f>
        <v/>
      </c>
      <c r="H111" s="43" t="str">
        <f aca="false">IF(OR($A111="",H$4=""),"",IF(每月预算!$B$29="雪崩法",计算_雪崩!AH130,计算_雪球!AH130))</f>
        <v/>
      </c>
      <c r="I111" s="43" t="str">
        <f aca="false">IF(OR($A111="",I$4=""),"",IF(每月预算!$B$29="雪崩法",计算_雪崩!AM130,计算_雪球!AM130))</f>
        <v/>
      </c>
      <c r="J111" s="43" t="str">
        <f aca="false">IF(OR($A111="",J$4=""),"",IF(每月预算!$B$29="雪崩法",计算_雪崩!AR130,计算_雪球!AR130))</f>
        <v/>
      </c>
      <c r="K111" s="43" t="str">
        <f aca="false">IF(OR($A111="",K$4=""),"",IF(每月预算!$B$29="雪崩法",计算_雪崩!AW130,计算_雪球!AW130))</f>
        <v/>
      </c>
      <c r="L111" s="43" t="str">
        <f aca="false">IF(OR($A111="",L$4=""),"",IF(每月预算!$B$29="雪崩法",计算_雪崩!BB130,计算_雪球!BB130))</f>
        <v/>
      </c>
      <c r="M111" s="43" t="str">
        <f aca="false">IF($A111="","",IF(每月预算!$B$29="雪崩法",计算_雪崩!BC130,计算_雪球!BC130))</f>
        <v/>
      </c>
      <c r="N111" s="43" t="str">
        <f aca="false">IF($A111="","",IF(每月预算!$B$29="雪崩法",计算_雪崩!BE130,计算_雪球!BE130))</f>
        <v/>
      </c>
      <c r="O111" s="43" t="str">
        <f aca="false">IF($A111="","",IF(每月预算!$B$29="雪崩法",计算_雪崩!BD130,计算_雪球!BD130))</f>
        <v/>
      </c>
    </row>
    <row r="112" customFormat="false" ht="15" hidden="false" customHeight="false" outlineLevel="0" collapsed="false">
      <c r="A112" s="24" t="str">
        <f aca="false">IF(108&lt;=$R$2,108,"")</f>
        <v/>
      </c>
      <c r="B112" s="42" t="str">
        <f aca="false">IF($A112="","",计算_雪球!B131)</f>
        <v/>
      </c>
      <c r="C112" s="43" t="str">
        <f aca="false">IF(OR($A112="",C$4=""),"",IF(每月预算!$B$29="雪崩法",计算_雪崩!I131,计算_雪球!I131))</f>
        <v/>
      </c>
      <c r="D112" s="43" t="str">
        <f aca="false">IF(OR($A112="",D$4=""),"",IF(每月预算!$B$29="雪崩法",计算_雪崩!N131,计算_雪球!N131))</f>
        <v/>
      </c>
      <c r="E112" s="43" t="str">
        <f aca="false">IF(OR($A112="",E$4=""),"",IF(每月预算!$B$29="雪崩法",计算_雪崩!S131,计算_雪球!S131))</f>
        <v/>
      </c>
      <c r="F112" s="43" t="str">
        <f aca="false">IF(OR($A112="",F$4=""),"",IF(每月预算!$B$29="雪崩法",计算_雪崩!X131,计算_雪球!X131))</f>
        <v/>
      </c>
      <c r="G112" s="43" t="str">
        <f aca="false">IF(OR($A112="",G$4=""),"",IF(每月预算!$B$29="雪崩法",计算_雪崩!AC131,计算_雪球!AC131))</f>
        <v/>
      </c>
      <c r="H112" s="43" t="str">
        <f aca="false">IF(OR($A112="",H$4=""),"",IF(每月预算!$B$29="雪崩法",计算_雪崩!AH131,计算_雪球!AH131))</f>
        <v/>
      </c>
      <c r="I112" s="43" t="str">
        <f aca="false">IF(OR($A112="",I$4=""),"",IF(每月预算!$B$29="雪崩法",计算_雪崩!AM131,计算_雪球!AM131))</f>
        <v/>
      </c>
      <c r="J112" s="43" t="str">
        <f aca="false">IF(OR($A112="",J$4=""),"",IF(每月预算!$B$29="雪崩法",计算_雪崩!AR131,计算_雪球!AR131))</f>
        <v/>
      </c>
      <c r="K112" s="43" t="str">
        <f aca="false">IF(OR($A112="",K$4=""),"",IF(每月预算!$B$29="雪崩法",计算_雪崩!AW131,计算_雪球!AW131))</f>
        <v/>
      </c>
      <c r="L112" s="43" t="str">
        <f aca="false">IF(OR($A112="",L$4=""),"",IF(每月预算!$B$29="雪崩法",计算_雪崩!BB131,计算_雪球!BB131))</f>
        <v/>
      </c>
      <c r="M112" s="43" t="str">
        <f aca="false">IF($A112="","",IF(每月预算!$B$29="雪崩法",计算_雪崩!BC131,计算_雪球!BC131))</f>
        <v/>
      </c>
      <c r="N112" s="43" t="str">
        <f aca="false">IF($A112="","",IF(每月预算!$B$29="雪崩法",计算_雪崩!BE131,计算_雪球!BE131))</f>
        <v/>
      </c>
      <c r="O112" s="43" t="str">
        <f aca="false">IF($A112="","",IF(每月预算!$B$29="雪崩法",计算_雪崩!BD131,计算_雪球!BD131))</f>
        <v/>
      </c>
    </row>
    <row r="113" customFormat="false" ht="15" hidden="false" customHeight="false" outlineLevel="0" collapsed="false">
      <c r="A113" s="24" t="str">
        <f aca="false">IF(109&lt;=$R$2,109,"")</f>
        <v/>
      </c>
      <c r="B113" s="42" t="str">
        <f aca="false">IF($A113="","",计算_雪球!B132)</f>
        <v/>
      </c>
      <c r="C113" s="43" t="str">
        <f aca="false">IF(OR($A113="",C$4=""),"",IF(每月预算!$B$29="雪崩法",计算_雪崩!I132,计算_雪球!I132))</f>
        <v/>
      </c>
      <c r="D113" s="43" t="str">
        <f aca="false">IF(OR($A113="",D$4=""),"",IF(每月预算!$B$29="雪崩法",计算_雪崩!N132,计算_雪球!N132))</f>
        <v/>
      </c>
      <c r="E113" s="43" t="str">
        <f aca="false">IF(OR($A113="",E$4=""),"",IF(每月预算!$B$29="雪崩法",计算_雪崩!S132,计算_雪球!S132))</f>
        <v/>
      </c>
      <c r="F113" s="43" t="str">
        <f aca="false">IF(OR($A113="",F$4=""),"",IF(每月预算!$B$29="雪崩法",计算_雪崩!X132,计算_雪球!X132))</f>
        <v/>
      </c>
      <c r="G113" s="43" t="str">
        <f aca="false">IF(OR($A113="",G$4=""),"",IF(每月预算!$B$29="雪崩法",计算_雪崩!AC132,计算_雪球!AC132))</f>
        <v/>
      </c>
      <c r="H113" s="43" t="str">
        <f aca="false">IF(OR($A113="",H$4=""),"",IF(每月预算!$B$29="雪崩法",计算_雪崩!AH132,计算_雪球!AH132))</f>
        <v/>
      </c>
      <c r="I113" s="43" t="str">
        <f aca="false">IF(OR($A113="",I$4=""),"",IF(每月预算!$B$29="雪崩法",计算_雪崩!AM132,计算_雪球!AM132))</f>
        <v/>
      </c>
      <c r="J113" s="43" t="str">
        <f aca="false">IF(OR($A113="",J$4=""),"",IF(每月预算!$B$29="雪崩法",计算_雪崩!AR132,计算_雪球!AR132))</f>
        <v/>
      </c>
      <c r="K113" s="43" t="str">
        <f aca="false">IF(OR($A113="",K$4=""),"",IF(每月预算!$B$29="雪崩法",计算_雪崩!AW132,计算_雪球!AW132))</f>
        <v/>
      </c>
      <c r="L113" s="43" t="str">
        <f aca="false">IF(OR($A113="",L$4=""),"",IF(每月预算!$B$29="雪崩法",计算_雪崩!BB132,计算_雪球!BB132))</f>
        <v/>
      </c>
      <c r="M113" s="43" t="str">
        <f aca="false">IF($A113="","",IF(每月预算!$B$29="雪崩法",计算_雪崩!BC132,计算_雪球!BC132))</f>
        <v/>
      </c>
      <c r="N113" s="43" t="str">
        <f aca="false">IF($A113="","",IF(每月预算!$B$29="雪崩法",计算_雪崩!BE132,计算_雪球!BE132))</f>
        <v/>
      </c>
      <c r="O113" s="43" t="str">
        <f aca="false">IF($A113="","",IF(每月预算!$B$29="雪崩法",计算_雪崩!BD132,计算_雪球!BD132))</f>
        <v/>
      </c>
    </row>
    <row r="114" customFormat="false" ht="15" hidden="false" customHeight="false" outlineLevel="0" collapsed="false">
      <c r="A114" s="24" t="str">
        <f aca="false">IF(110&lt;=$R$2,110,"")</f>
        <v/>
      </c>
      <c r="B114" s="42" t="str">
        <f aca="false">IF($A114="","",计算_雪球!B133)</f>
        <v/>
      </c>
      <c r="C114" s="43" t="str">
        <f aca="false">IF(OR($A114="",C$4=""),"",IF(每月预算!$B$29="雪崩法",计算_雪崩!I133,计算_雪球!I133))</f>
        <v/>
      </c>
      <c r="D114" s="43" t="str">
        <f aca="false">IF(OR($A114="",D$4=""),"",IF(每月预算!$B$29="雪崩法",计算_雪崩!N133,计算_雪球!N133))</f>
        <v/>
      </c>
      <c r="E114" s="43" t="str">
        <f aca="false">IF(OR($A114="",E$4=""),"",IF(每月预算!$B$29="雪崩法",计算_雪崩!S133,计算_雪球!S133))</f>
        <v/>
      </c>
      <c r="F114" s="43" t="str">
        <f aca="false">IF(OR($A114="",F$4=""),"",IF(每月预算!$B$29="雪崩法",计算_雪崩!X133,计算_雪球!X133))</f>
        <v/>
      </c>
      <c r="G114" s="43" t="str">
        <f aca="false">IF(OR($A114="",G$4=""),"",IF(每月预算!$B$29="雪崩法",计算_雪崩!AC133,计算_雪球!AC133))</f>
        <v/>
      </c>
      <c r="H114" s="43" t="str">
        <f aca="false">IF(OR($A114="",H$4=""),"",IF(每月预算!$B$29="雪崩法",计算_雪崩!AH133,计算_雪球!AH133))</f>
        <v/>
      </c>
      <c r="I114" s="43" t="str">
        <f aca="false">IF(OR($A114="",I$4=""),"",IF(每月预算!$B$29="雪崩法",计算_雪崩!AM133,计算_雪球!AM133))</f>
        <v/>
      </c>
      <c r="J114" s="43" t="str">
        <f aca="false">IF(OR($A114="",J$4=""),"",IF(每月预算!$B$29="雪崩法",计算_雪崩!AR133,计算_雪球!AR133))</f>
        <v/>
      </c>
      <c r="K114" s="43" t="str">
        <f aca="false">IF(OR($A114="",K$4=""),"",IF(每月预算!$B$29="雪崩法",计算_雪崩!AW133,计算_雪球!AW133))</f>
        <v/>
      </c>
      <c r="L114" s="43" t="str">
        <f aca="false">IF(OR($A114="",L$4=""),"",IF(每月预算!$B$29="雪崩法",计算_雪崩!BB133,计算_雪球!BB133))</f>
        <v/>
      </c>
      <c r="M114" s="43" t="str">
        <f aca="false">IF($A114="","",IF(每月预算!$B$29="雪崩法",计算_雪崩!BC133,计算_雪球!BC133))</f>
        <v/>
      </c>
      <c r="N114" s="43" t="str">
        <f aca="false">IF($A114="","",IF(每月预算!$B$29="雪崩法",计算_雪崩!BE133,计算_雪球!BE133))</f>
        <v/>
      </c>
      <c r="O114" s="43" t="str">
        <f aca="false">IF($A114="","",IF(每月预算!$B$29="雪崩法",计算_雪崩!BD133,计算_雪球!BD133))</f>
        <v/>
      </c>
    </row>
    <row r="115" customFormat="false" ht="15" hidden="false" customHeight="false" outlineLevel="0" collapsed="false">
      <c r="A115" s="24" t="str">
        <f aca="false">IF(111&lt;=$R$2,111,"")</f>
        <v/>
      </c>
      <c r="B115" s="42" t="str">
        <f aca="false">IF($A115="","",计算_雪球!B134)</f>
        <v/>
      </c>
      <c r="C115" s="43" t="str">
        <f aca="false">IF(OR($A115="",C$4=""),"",IF(每月预算!$B$29="雪崩法",计算_雪崩!I134,计算_雪球!I134))</f>
        <v/>
      </c>
      <c r="D115" s="43" t="str">
        <f aca="false">IF(OR($A115="",D$4=""),"",IF(每月预算!$B$29="雪崩法",计算_雪崩!N134,计算_雪球!N134))</f>
        <v/>
      </c>
      <c r="E115" s="43" t="str">
        <f aca="false">IF(OR($A115="",E$4=""),"",IF(每月预算!$B$29="雪崩法",计算_雪崩!S134,计算_雪球!S134))</f>
        <v/>
      </c>
      <c r="F115" s="43" t="str">
        <f aca="false">IF(OR($A115="",F$4=""),"",IF(每月预算!$B$29="雪崩法",计算_雪崩!X134,计算_雪球!X134))</f>
        <v/>
      </c>
      <c r="G115" s="43" t="str">
        <f aca="false">IF(OR($A115="",G$4=""),"",IF(每月预算!$B$29="雪崩法",计算_雪崩!AC134,计算_雪球!AC134))</f>
        <v/>
      </c>
      <c r="H115" s="43" t="str">
        <f aca="false">IF(OR($A115="",H$4=""),"",IF(每月预算!$B$29="雪崩法",计算_雪崩!AH134,计算_雪球!AH134))</f>
        <v/>
      </c>
      <c r="I115" s="43" t="str">
        <f aca="false">IF(OR($A115="",I$4=""),"",IF(每月预算!$B$29="雪崩法",计算_雪崩!AM134,计算_雪球!AM134))</f>
        <v/>
      </c>
      <c r="J115" s="43" t="str">
        <f aca="false">IF(OR($A115="",J$4=""),"",IF(每月预算!$B$29="雪崩法",计算_雪崩!AR134,计算_雪球!AR134))</f>
        <v/>
      </c>
      <c r="K115" s="43" t="str">
        <f aca="false">IF(OR($A115="",K$4=""),"",IF(每月预算!$B$29="雪崩法",计算_雪崩!AW134,计算_雪球!AW134))</f>
        <v/>
      </c>
      <c r="L115" s="43" t="str">
        <f aca="false">IF(OR($A115="",L$4=""),"",IF(每月预算!$B$29="雪崩法",计算_雪崩!BB134,计算_雪球!BB134))</f>
        <v/>
      </c>
      <c r="M115" s="43" t="str">
        <f aca="false">IF($A115="","",IF(每月预算!$B$29="雪崩法",计算_雪崩!BC134,计算_雪球!BC134))</f>
        <v/>
      </c>
      <c r="N115" s="43" t="str">
        <f aca="false">IF($A115="","",IF(每月预算!$B$29="雪崩法",计算_雪崩!BE134,计算_雪球!BE134))</f>
        <v/>
      </c>
      <c r="O115" s="43" t="str">
        <f aca="false">IF($A115="","",IF(每月预算!$B$29="雪崩法",计算_雪崩!BD134,计算_雪球!BD134))</f>
        <v/>
      </c>
    </row>
    <row r="116" customFormat="false" ht="15" hidden="false" customHeight="false" outlineLevel="0" collapsed="false">
      <c r="A116" s="24" t="str">
        <f aca="false">IF(112&lt;=$R$2,112,"")</f>
        <v/>
      </c>
      <c r="B116" s="42" t="str">
        <f aca="false">IF($A116="","",计算_雪球!B135)</f>
        <v/>
      </c>
      <c r="C116" s="43" t="str">
        <f aca="false">IF(OR($A116="",C$4=""),"",IF(每月预算!$B$29="雪崩法",计算_雪崩!I135,计算_雪球!I135))</f>
        <v/>
      </c>
      <c r="D116" s="43" t="str">
        <f aca="false">IF(OR($A116="",D$4=""),"",IF(每月预算!$B$29="雪崩法",计算_雪崩!N135,计算_雪球!N135))</f>
        <v/>
      </c>
      <c r="E116" s="43" t="str">
        <f aca="false">IF(OR($A116="",E$4=""),"",IF(每月预算!$B$29="雪崩法",计算_雪崩!S135,计算_雪球!S135))</f>
        <v/>
      </c>
      <c r="F116" s="43" t="str">
        <f aca="false">IF(OR($A116="",F$4=""),"",IF(每月预算!$B$29="雪崩法",计算_雪崩!X135,计算_雪球!X135))</f>
        <v/>
      </c>
      <c r="G116" s="43" t="str">
        <f aca="false">IF(OR($A116="",G$4=""),"",IF(每月预算!$B$29="雪崩法",计算_雪崩!AC135,计算_雪球!AC135))</f>
        <v/>
      </c>
      <c r="H116" s="43" t="str">
        <f aca="false">IF(OR($A116="",H$4=""),"",IF(每月预算!$B$29="雪崩法",计算_雪崩!AH135,计算_雪球!AH135))</f>
        <v/>
      </c>
      <c r="I116" s="43" t="str">
        <f aca="false">IF(OR($A116="",I$4=""),"",IF(每月预算!$B$29="雪崩法",计算_雪崩!AM135,计算_雪球!AM135))</f>
        <v/>
      </c>
      <c r="J116" s="43" t="str">
        <f aca="false">IF(OR($A116="",J$4=""),"",IF(每月预算!$B$29="雪崩法",计算_雪崩!AR135,计算_雪球!AR135))</f>
        <v/>
      </c>
      <c r="K116" s="43" t="str">
        <f aca="false">IF(OR($A116="",K$4=""),"",IF(每月预算!$B$29="雪崩法",计算_雪崩!AW135,计算_雪球!AW135))</f>
        <v/>
      </c>
      <c r="L116" s="43" t="str">
        <f aca="false">IF(OR($A116="",L$4=""),"",IF(每月预算!$B$29="雪崩法",计算_雪崩!BB135,计算_雪球!BB135))</f>
        <v/>
      </c>
      <c r="M116" s="43" t="str">
        <f aca="false">IF($A116="","",IF(每月预算!$B$29="雪崩法",计算_雪崩!BC135,计算_雪球!BC135))</f>
        <v/>
      </c>
      <c r="N116" s="43" t="str">
        <f aca="false">IF($A116="","",IF(每月预算!$B$29="雪崩法",计算_雪崩!BE135,计算_雪球!BE135))</f>
        <v/>
      </c>
      <c r="O116" s="43" t="str">
        <f aca="false">IF($A116="","",IF(每月预算!$B$29="雪崩法",计算_雪崩!BD135,计算_雪球!BD135))</f>
        <v/>
      </c>
    </row>
    <row r="117" customFormat="false" ht="15" hidden="false" customHeight="false" outlineLevel="0" collapsed="false">
      <c r="A117" s="24" t="str">
        <f aca="false">IF(113&lt;=$R$2,113,"")</f>
        <v/>
      </c>
      <c r="B117" s="42" t="str">
        <f aca="false">IF($A117="","",计算_雪球!B136)</f>
        <v/>
      </c>
      <c r="C117" s="43" t="str">
        <f aca="false">IF(OR($A117="",C$4=""),"",IF(每月预算!$B$29="雪崩法",计算_雪崩!I136,计算_雪球!I136))</f>
        <v/>
      </c>
      <c r="D117" s="43" t="str">
        <f aca="false">IF(OR($A117="",D$4=""),"",IF(每月预算!$B$29="雪崩法",计算_雪崩!N136,计算_雪球!N136))</f>
        <v/>
      </c>
      <c r="E117" s="43" t="str">
        <f aca="false">IF(OR($A117="",E$4=""),"",IF(每月预算!$B$29="雪崩法",计算_雪崩!S136,计算_雪球!S136))</f>
        <v/>
      </c>
      <c r="F117" s="43" t="str">
        <f aca="false">IF(OR($A117="",F$4=""),"",IF(每月预算!$B$29="雪崩法",计算_雪崩!X136,计算_雪球!X136))</f>
        <v/>
      </c>
      <c r="G117" s="43" t="str">
        <f aca="false">IF(OR($A117="",G$4=""),"",IF(每月预算!$B$29="雪崩法",计算_雪崩!AC136,计算_雪球!AC136))</f>
        <v/>
      </c>
      <c r="H117" s="43" t="str">
        <f aca="false">IF(OR($A117="",H$4=""),"",IF(每月预算!$B$29="雪崩法",计算_雪崩!AH136,计算_雪球!AH136))</f>
        <v/>
      </c>
      <c r="I117" s="43" t="str">
        <f aca="false">IF(OR($A117="",I$4=""),"",IF(每月预算!$B$29="雪崩法",计算_雪崩!AM136,计算_雪球!AM136))</f>
        <v/>
      </c>
      <c r="J117" s="43" t="str">
        <f aca="false">IF(OR($A117="",J$4=""),"",IF(每月预算!$B$29="雪崩法",计算_雪崩!AR136,计算_雪球!AR136))</f>
        <v/>
      </c>
      <c r="K117" s="43" t="str">
        <f aca="false">IF(OR($A117="",K$4=""),"",IF(每月预算!$B$29="雪崩法",计算_雪崩!AW136,计算_雪球!AW136))</f>
        <v/>
      </c>
      <c r="L117" s="43" t="str">
        <f aca="false">IF(OR($A117="",L$4=""),"",IF(每月预算!$B$29="雪崩法",计算_雪崩!BB136,计算_雪球!BB136))</f>
        <v/>
      </c>
      <c r="M117" s="43" t="str">
        <f aca="false">IF($A117="","",IF(每月预算!$B$29="雪崩法",计算_雪崩!BC136,计算_雪球!BC136))</f>
        <v/>
      </c>
      <c r="N117" s="43" t="str">
        <f aca="false">IF($A117="","",IF(每月预算!$B$29="雪崩法",计算_雪崩!BE136,计算_雪球!BE136))</f>
        <v/>
      </c>
      <c r="O117" s="43" t="str">
        <f aca="false">IF($A117="","",IF(每月预算!$B$29="雪崩法",计算_雪崩!BD136,计算_雪球!BD136))</f>
        <v/>
      </c>
    </row>
    <row r="118" customFormat="false" ht="15" hidden="false" customHeight="false" outlineLevel="0" collapsed="false">
      <c r="A118" s="24" t="str">
        <f aca="false">IF(114&lt;=$R$2,114,"")</f>
        <v/>
      </c>
      <c r="B118" s="42" t="str">
        <f aca="false">IF($A118="","",计算_雪球!B137)</f>
        <v/>
      </c>
      <c r="C118" s="43" t="str">
        <f aca="false">IF(OR($A118="",C$4=""),"",IF(每月预算!$B$29="雪崩法",计算_雪崩!I137,计算_雪球!I137))</f>
        <v/>
      </c>
      <c r="D118" s="43" t="str">
        <f aca="false">IF(OR($A118="",D$4=""),"",IF(每月预算!$B$29="雪崩法",计算_雪崩!N137,计算_雪球!N137))</f>
        <v/>
      </c>
      <c r="E118" s="43" t="str">
        <f aca="false">IF(OR($A118="",E$4=""),"",IF(每月预算!$B$29="雪崩法",计算_雪崩!S137,计算_雪球!S137))</f>
        <v/>
      </c>
      <c r="F118" s="43" t="str">
        <f aca="false">IF(OR($A118="",F$4=""),"",IF(每月预算!$B$29="雪崩法",计算_雪崩!X137,计算_雪球!X137))</f>
        <v/>
      </c>
      <c r="G118" s="43" t="str">
        <f aca="false">IF(OR($A118="",G$4=""),"",IF(每月预算!$B$29="雪崩法",计算_雪崩!AC137,计算_雪球!AC137))</f>
        <v/>
      </c>
      <c r="H118" s="43" t="str">
        <f aca="false">IF(OR($A118="",H$4=""),"",IF(每月预算!$B$29="雪崩法",计算_雪崩!AH137,计算_雪球!AH137))</f>
        <v/>
      </c>
      <c r="I118" s="43" t="str">
        <f aca="false">IF(OR($A118="",I$4=""),"",IF(每月预算!$B$29="雪崩法",计算_雪崩!AM137,计算_雪球!AM137))</f>
        <v/>
      </c>
      <c r="J118" s="43" t="str">
        <f aca="false">IF(OR($A118="",J$4=""),"",IF(每月预算!$B$29="雪崩法",计算_雪崩!AR137,计算_雪球!AR137))</f>
        <v/>
      </c>
      <c r="K118" s="43" t="str">
        <f aca="false">IF(OR($A118="",K$4=""),"",IF(每月预算!$B$29="雪崩法",计算_雪崩!AW137,计算_雪球!AW137))</f>
        <v/>
      </c>
      <c r="L118" s="43" t="str">
        <f aca="false">IF(OR($A118="",L$4=""),"",IF(每月预算!$B$29="雪崩法",计算_雪崩!BB137,计算_雪球!BB137))</f>
        <v/>
      </c>
      <c r="M118" s="43" t="str">
        <f aca="false">IF($A118="","",IF(每月预算!$B$29="雪崩法",计算_雪崩!BC137,计算_雪球!BC137))</f>
        <v/>
      </c>
      <c r="N118" s="43" t="str">
        <f aca="false">IF($A118="","",IF(每月预算!$B$29="雪崩法",计算_雪崩!BE137,计算_雪球!BE137))</f>
        <v/>
      </c>
      <c r="O118" s="43" t="str">
        <f aca="false">IF($A118="","",IF(每月预算!$B$29="雪崩法",计算_雪崩!BD137,计算_雪球!BD137))</f>
        <v/>
      </c>
    </row>
    <row r="119" customFormat="false" ht="15" hidden="false" customHeight="false" outlineLevel="0" collapsed="false">
      <c r="A119" s="24" t="str">
        <f aca="false">IF(115&lt;=$R$2,115,"")</f>
        <v/>
      </c>
      <c r="B119" s="42" t="str">
        <f aca="false">IF($A119="","",计算_雪球!B138)</f>
        <v/>
      </c>
      <c r="C119" s="43" t="str">
        <f aca="false">IF(OR($A119="",C$4=""),"",IF(每月预算!$B$29="雪崩法",计算_雪崩!I138,计算_雪球!I138))</f>
        <v/>
      </c>
      <c r="D119" s="43" t="str">
        <f aca="false">IF(OR($A119="",D$4=""),"",IF(每月预算!$B$29="雪崩法",计算_雪崩!N138,计算_雪球!N138))</f>
        <v/>
      </c>
      <c r="E119" s="43" t="str">
        <f aca="false">IF(OR($A119="",E$4=""),"",IF(每月预算!$B$29="雪崩法",计算_雪崩!S138,计算_雪球!S138))</f>
        <v/>
      </c>
      <c r="F119" s="43" t="str">
        <f aca="false">IF(OR($A119="",F$4=""),"",IF(每月预算!$B$29="雪崩法",计算_雪崩!X138,计算_雪球!X138))</f>
        <v/>
      </c>
      <c r="G119" s="43" t="str">
        <f aca="false">IF(OR($A119="",G$4=""),"",IF(每月预算!$B$29="雪崩法",计算_雪崩!AC138,计算_雪球!AC138))</f>
        <v/>
      </c>
      <c r="H119" s="43" t="str">
        <f aca="false">IF(OR($A119="",H$4=""),"",IF(每月预算!$B$29="雪崩法",计算_雪崩!AH138,计算_雪球!AH138))</f>
        <v/>
      </c>
      <c r="I119" s="43" t="str">
        <f aca="false">IF(OR($A119="",I$4=""),"",IF(每月预算!$B$29="雪崩法",计算_雪崩!AM138,计算_雪球!AM138))</f>
        <v/>
      </c>
      <c r="J119" s="43" t="str">
        <f aca="false">IF(OR($A119="",J$4=""),"",IF(每月预算!$B$29="雪崩法",计算_雪崩!AR138,计算_雪球!AR138))</f>
        <v/>
      </c>
      <c r="K119" s="43" t="str">
        <f aca="false">IF(OR($A119="",K$4=""),"",IF(每月预算!$B$29="雪崩法",计算_雪崩!AW138,计算_雪球!AW138))</f>
        <v/>
      </c>
      <c r="L119" s="43" t="str">
        <f aca="false">IF(OR($A119="",L$4=""),"",IF(每月预算!$B$29="雪崩法",计算_雪崩!BB138,计算_雪球!BB138))</f>
        <v/>
      </c>
      <c r="M119" s="43" t="str">
        <f aca="false">IF($A119="","",IF(每月预算!$B$29="雪崩法",计算_雪崩!BC138,计算_雪球!BC138))</f>
        <v/>
      </c>
      <c r="N119" s="43" t="str">
        <f aca="false">IF($A119="","",IF(每月预算!$B$29="雪崩法",计算_雪崩!BE138,计算_雪球!BE138))</f>
        <v/>
      </c>
      <c r="O119" s="43" t="str">
        <f aca="false">IF($A119="","",IF(每月预算!$B$29="雪崩法",计算_雪崩!BD138,计算_雪球!BD138))</f>
        <v/>
      </c>
    </row>
    <row r="120" customFormat="false" ht="15" hidden="false" customHeight="false" outlineLevel="0" collapsed="false">
      <c r="A120" s="24" t="str">
        <f aca="false">IF(116&lt;=$R$2,116,"")</f>
        <v/>
      </c>
      <c r="B120" s="42" t="str">
        <f aca="false">IF($A120="","",计算_雪球!B139)</f>
        <v/>
      </c>
      <c r="C120" s="43" t="str">
        <f aca="false">IF(OR($A120="",C$4=""),"",IF(每月预算!$B$29="雪崩法",计算_雪崩!I139,计算_雪球!I139))</f>
        <v/>
      </c>
      <c r="D120" s="43" t="str">
        <f aca="false">IF(OR($A120="",D$4=""),"",IF(每月预算!$B$29="雪崩法",计算_雪崩!N139,计算_雪球!N139))</f>
        <v/>
      </c>
      <c r="E120" s="43" t="str">
        <f aca="false">IF(OR($A120="",E$4=""),"",IF(每月预算!$B$29="雪崩法",计算_雪崩!S139,计算_雪球!S139))</f>
        <v/>
      </c>
      <c r="F120" s="43" t="str">
        <f aca="false">IF(OR($A120="",F$4=""),"",IF(每月预算!$B$29="雪崩法",计算_雪崩!X139,计算_雪球!X139))</f>
        <v/>
      </c>
      <c r="G120" s="43" t="str">
        <f aca="false">IF(OR($A120="",G$4=""),"",IF(每月预算!$B$29="雪崩法",计算_雪崩!AC139,计算_雪球!AC139))</f>
        <v/>
      </c>
      <c r="H120" s="43" t="str">
        <f aca="false">IF(OR($A120="",H$4=""),"",IF(每月预算!$B$29="雪崩法",计算_雪崩!AH139,计算_雪球!AH139))</f>
        <v/>
      </c>
      <c r="I120" s="43" t="str">
        <f aca="false">IF(OR($A120="",I$4=""),"",IF(每月预算!$B$29="雪崩法",计算_雪崩!AM139,计算_雪球!AM139))</f>
        <v/>
      </c>
      <c r="J120" s="43" t="str">
        <f aca="false">IF(OR($A120="",J$4=""),"",IF(每月预算!$B$29="雪崩法",计算_雪崩!AR139,计算_雪球!AR139))</f>
        <v/>
      </c>
      <c r="K120" s="43" t="str">
        <f aca="false">IF(OR($A120="",K$4=""),"",IF(每月预算!$B$29="雪崩法",计算_雪崩!AW139,计算_雪球!AW139))</f>
        <v/>
      </c>
      <c r="L120" s="43" t="str">
        <f aca="false">IF(OR($A120="",L$4=""),"",IF(每月预算!$B$29="雪崩法",计算_雪崩!BB139,计算_雪球!BB139))</f>
        <v/>
      </c>
      <c r="M120" s="43" t="str">
        <f aca="false">IF($A120="","",IF(每月预算!$B$29="雪崩法",计算_雪崩!BC139,计算_雪球!BC139))</f>
        <v/>
      </c>
      <c r="N120" s="43" t="str">
        <f aca="false">IF($A120="","",IF(每月预算!$B$29="雪崩法",计算_雪崩!BE139,计算_雪球!BE139))</f>
        <v/>
      </c>
      <c r="O120" s="43" t="str">
        <f aca="false">IF($A120="","",IF(每月预算!$B$29="雪崩法",计算_雪崩!BD139,计算_雪球!BD139))</f>
        <v/>
      </c>
    </row>
    <row r="121" customFormat="false" ht="15" hidden="false" customHeight="false" outlineLevel="0" collapsed="false">
      <c r="A121" s="24" t="str">
        <f aca="false">IF(117&lt;=$R$2,117,"")</f>
        <v/>
      </c>
      <c r="B121" s="42" t="str">
        <f aca="false">IF($A121="","",计算_雪球!B140)</f>
        <v/>
      </c>
      <c r="C121" s="43" t="str">
        <f aca="false">IF(OR($A121="",C$4=""),"",IF(每月预算!$B$29="雪崩法",计算_雪崩!I140,计算_雪球!I140))</f>
        <v/>
      </c>
      <c r="D121" s="43" t="str">
        <f aca="false">IF(OR($A121="",D$4=""),"",IF(每月预算!$B$29="雪崩法",计算_雪崩!N140,计算_雪球!N140))</f>
        <v/>
      </c>
      <c r="E121" s="43" t="str">
        <f aca="false">IF(OR($A121="",E$4=""),"",IF(每月预算!$B$29="雪崩法",计算_雪崩!S140,计算_雪球!S140))</f>
        <v/>
      </c>
      <c r="F121" s="43" t="str">
        <f aca="false">IF(OR($A121="",F$4=""),"",IF(每月预算!$B$29="雪崩法",计算_雪崩!X140,计算_雪球!X140))</f>
        <v/>
      </c>
      <c r="G121" s="43" t="str">
        <f aca="false">IF(OR($A121="",G$4=""),"",IF(每月预算!$B$29="雪崩法",计算_雪崩!AC140,计算_雪球!AC140))</f>
        <v/>
      </c>
      <c r="H121" s="43" t="str">
        <f aca="false">IF(OR($A121="",H$4=""),"",IF(每月预算!$B$29="雪崩法",计算_雪崩!AH140,计算_雪球!AH140))</f>
        <v/>
      </c>
      <c r="I121" s="43" t="str">
        <f aca="false">IF(OR($A121="",I$4=""),"",IF(每月预算!$B$29="雪崩法",计算_雪崩!AM140,计算_雪球!AM140))</f>
        <v/>
      </c>
      <c r="J121" s="43" t="str">
        <f aca="false">IF(OR($A121="",J$4=""),"",IF(每月预算!$B$29="雪崩法",计算_雪崩!AR140,计算_雪球!AR140))</f>
        <v/>
      </c>
      <c r="K121" s="43" t="str">
        <f aca="false">IF(OR($A121="",K$4=""),"",IF(每月预算!$B$29="雪崩法",计算_雪崩!AW140,计算_雪球!AW140))</f>
        <v/>
      </c>
      <c r="L121" s="43" t="str">
        <f aca="false">IF(OR($A121="",L$4=""),"",IF(每月预算!$B$29="雪崩法",计算_雪崩!BB140,计算_雪球!BB140))</f>
        <v/>
      </c>
      <c r="M121" s="43" t="str">
        <f aca="false">IF($A121="","",IF(每月预算!$B$29="雪崩法",计算_雪崩!BC140,计算_雪球!BC140))</f>
        <v/>
      </c>
      <c r="N121" s="43" t="str">
        <f aca="false">IF($A121="","",IF(每月预算!$B$29="雪崩法",计算_雪崩!BE140,计算_雪球!BE140))</f>
        <v/>
      </c>
      <c r="O121" s="43" t="str">
        <f aca="false">IF($A121="","",IF(每月预算!$B$29="雪崩法",计算_雪崩!BD140,计算_雪球!BD140))</f>
        <v/>
      </c>
    </row>
    <row r="122" customFormat="false" ht="15" hidden="false" customHeight="false" outlineLevel="0" collapsed="false">
      <c r="A122" s="24" t="str">
        <f aca="false">IF(118&lt;=$R$2,118,"")</f>
        <v/>
      </c>
      <c r="B122" s="42" t="str">
        <f aca="false">IF($A122="","",计算_雪球!B141)</f>
        <v/>
      </c>
      <c r="C122" s="43" t="str">
        <f aca="false">IF(OR($A122="",C$4=""),"",IF(每月预算!$B$29="雪崩法",计算_雪崩!I141,计算_雪球!I141))</f>
        <v/>
      </c>
      <c r="D122" s="43" t="str">
        <f aca="false">IF(OR($A122="",D$4=""),"",IF(每月预算!$B$29="雪崩法",计算_雪崩!N141,计算_雪球!N141))</f>
        <v/>
      </c>
      <c r="E122" s="43" t="str">
        <f aca="false">IF(OR($A122="",E$4=""),"",IF(每月预算!$B$29="雪崩法",计算_雪崩!S141,计算_雪球!S141))</f>
        <v/>
      </c>
      <c r="F122" s="43" t="str">
        <f aca="false">IF(OR($A122="",F$4=""),"",IF(每月预算!$B$29="雪崩法",计算_雪崩!X141,计算_雪球!X141))</f>
        <v/>
      </c>
      <c r="G122" s="43" t="str">
        <f aca="false">IF(OR($A122="",G$4=""),"",IF(每月预算!$B$29="雪崩法",计算_雪崩!AC141,计算_雪球!AC141))</f>
        <v/>
      </c>
      <c r="H122" s="43" t="str">
        <f aca="false">IF(OR($A122="",H$4=""),"",IF(每月预算!$B$29="雪崩法",计算_雪崩!AH141,计算_雪球!AH141))</f>
        <v/>
      </c>
      <c r="I122" s="43" t="str">
        <f aca="false">IF(OR($A122="",I$4=""),"",IF(每月预算!$B$29="雪崩法",计算_雪崩!AM141,计算_雪球!AM141))</f>
        <v/>
      </c>
      <c r="J122" s="43" t="str">
        <f aca="false">IF(OR($A122="",J$4=""),"",IF(每月预算!$B$29="雪崩法",计算_雪崩!AR141,计算_雪球!AR141))</f>
        <v/>
      </c>
      <c r="K122" s="43" t="str">
        <f aca="false">IF(OR($A122="",K$4=""),"",IF(每月预算!$B$29="雪崩法",计算_雪崩!AW141,计算_雪球!AW141))</f>
        <v/>
      </c>
      <c r="L122" s="43" t="str">
        <f aca="false">IF(OR($A122="",L$4=""),"",IF(每月预算!$B$29="雪崩法",计算_雪崩!BB141,计算_雪球!BB141))</f>
        <v/>
      </c>
      <c r="M122" s="43" t="str">
        <f aca="false">IF($A122="","",IF(每月预算!$B$29="雪崩法",计算_雪崩!BC141,计算_雪球!BC141))</f>
        <v/>
      </c>
      <c r="N122" s="43" t="str">
        <f aca="false">IF($A122="","",IF(每月预算!$B$29="雪崩法",计算_雪崩!BE141,计算_雪球!BE141))</f>
        <v/>
      </c>
      <c r="O122" s="43" t="str">
        <f aca="false">IF($A122="","",IF(每月预算!$B$29="雪崩法",计算_雪崩!BD141,计算_雪球!BD141))</f>
        <v/>
      </c>
    </row>
    <row r="123" customFormat="false" ht="15" hidden="false" customHeight="false" outlineLevel="0" collapsed="false">
      <c r="A123" s="24" t="str">
        <f aca="false">IF(119&lt;=$R$2,119,"")</f>
        <v/>
      </c>
      <c r="B123" s="42" t="str">
        <f aca="false">IF($A123="","",计算_雪球!B142)</f>
        <v/>
      </c>
      <c r="C123" s="43" t="str">
        <f aca="false">IF(OR($A123="",C$4=""),"",IF(每月预算!$B$29="雪崩法",计算_雪崩!I142,计算_雪球!I142))</f>
        <v/>
      </c>
      <c r="D123" s="43" t="str">
        <f aca="false">IF(OR($A123="",D$4=""),"",IF(每月预算!$B$29="雪崩法",计算_雪崩!N142,计算_雪球!N142))</f>
        <v/>
      </c>
      <c r="E123" s="43" t="str">
        <f aca="false">IF(OR($A123="",E$4=""),"",IF(每月预算!$B$29="雪崩法",计算_雪崩!S142,计算_雪球!S142))</f>
        <v/>
      </c>
      <c r="F123" s="43" t="str">
        <f aca="false">IF(OR($A123="",F$4=""),"",IF(每月预算!$B$29="雪崩法",计算_雪崩!X142,计算_雪球!X142))</f>
        <v/>
      </c>
      <c r="G123" s="43" t="str">
        <f aca="false">IF(OR($A123="",G$4=""),"",IF(每月预算!$B$29="雪崩法",计算_雪崩!AC142,计算_雪球!AC142))</f>
        <v/>
      </c>
      <c r="H123" s="43" t="str">
        <f aca="false">IF(OR($A123="",H$4=""),"",IF(每月预算!$B$29="雪崩法",计算_雪崩!AH142,计算_雪球!AH142))</f>
        <v/>
      </c>
      <c r="I123" s="43" t="str">
        <f aca="false">IF(OR($A123="",I$4=""),"",IF(每月预算!$B$29="雪崩法",计算_雪崩!AM142,计算_雪球!AM142))</f>
        <v/>
      </c>
      <c r="J123" s="43" t="str">
        <f aca="false">IF(OR($A123="",J$4=""),"",IF(每月预算!$B$29="雪崩法",计算_雪崩!AR142,计算_雪球!AR142))</f>
        <v/>
      </c>
      <c r="K123" s="43" t="str">
        <f aca="false">IF(OR($A123="",K$4=""),"",IF(每月预算!$B$29="雪崩法",计算_雪崩!AW142,计算_雪球!AW142))</f>
        <v/>
      </c>
      <c r="L123" s="43" t="str">
        <f aca="false">IF(OR($A123="",L$4=""),"",IF(每月预算!$B$29="雪崩法",计算_雪崩!BB142,计算_雪球!BB142))</f>
        <v/>
      </c>
      <c r="M123" s="43" t="str">
        <f aca="false">IF($A123="","",IF(每月预算!$B$29="雪崩法",计算_雪崩!BC142,计算_雪球!BC142))</f>
        <v/>
      </c>
      <c r="N123" s="43" t="str">
        <f aca="false">IF($A123="","",IF(每月预算!$B$29="雪崩法",计算_雪崩!BE142,计算_雪球!BE142))</f>
        <v/>
      </c>
      <c r="O123" s="43" t="str">
        <f aca="false">IF($A123="","",IF(每月预算!$B$29="雪崩法",计算_雪崩!BD142,计算_雪球!BD142))</f>
        <v/>
      </c>
    </row>
    <row r="124" customFormat="false" ht="15" hidden="false" customHeight="false" outlineLevel="0" collapsed="false">
      <c r="A124" s="24" t="str">
        <f aca="false">IF(120&lt;=$R$2,120,"")</f>
        <v/>
      </c>
      <c r="B124" s="42" t="str">
        <f aca="false">IF($A124="","",计算_雪球!B143)</f>
        <v/>
      </c>
      <c r="C124" s="43" t="str">
        <f aca="false">IF(OR($A124="",C$4=""),"",IF(每月预算!$B$29="雪崩法",计算_雪崩!I143,计算_雪球!I143))</f>
        <v/>
      </c>
      <c r="D124" s="43" t="str">
        <f aca="false">IF(OR($A124="",D$4=""),"",IF(每月预算!$B$29="雪崩法",计算_雪崩!N143,计算_雪球!N143))</f>
        <v/>
      </c>
      <c r="E124" s="43" t="str">
        <f aca="false">IF(OR($A124="",E$4=""),"",IF(每月预算!$B$29="雪崩法",计算_雪崩!S143,计算_雪球!S143))</f>
        <v/>
      </c>
      <c r="F124" s="43" t="str">
        <f aca="false">IF(OR($A124="",F$4=""),"",IF(每月预算!$B$29="雪崩法",计算_雪崩!X143,计算_雪球!X143))</f>
        <v/>
      </c>
      <c r="G124" s="43" t="str">
        <f aca="false">IF(OR($A124="",G$4=""),"",IF(每月预算!$B$29="雪崩法",计算_雪崩!AC143,计算_雪球!AC143))</f>
        <v/>
      </c>
      <c r="H124" s="43" t="str">
        <f aca="false">IF(OR($A124="",H$4=""),"",IF(每月预算!$B$29="雪崩法",计算_雪崩!AH143,计算_雪球!AH143))</f>
        <v/>
      </c>
      <c r="I124" s="43" t="str">
        <f aca="false">IF(OR($A124="",I$4=""),"",IF(每月预算!$B$29="雪崩法",计算_雪崩!AM143,计算_雪球!AM143))</f>
        <v/>
      </c>
      <c r="J124" s="43" t="str">
        <f aca="false">IF(OR($A124="",J$4=""),"",IF(每月预算!$B$29="雪崩法",计算_雪崩!AR143,计算_雪球!AR143))</f>
        <v/>
      </c>
      <c r="K124" s="43" t="str">
        <f aca="false">IF(OR($A124="",K$4=""),"",IF(每月预算!$B$29="雪崩法",计算_雪崩!AW143,计算_雪球!AW143))</f>
        <v/>
      </c>
      <c r="L124" s="43" t="str">
        <f aca="false">IF(OR($A124="",L$4=""),"",IF(每月预算!$B$29="雪崩法",计算_雪崩!BB143,计算_雪球!BB143))</f>
        <v/>
      </c>
      <c r="M124" s="43" t="str">
        <f aca="false">IF($A124="","",IF(每月预算!$B$29="雪崩法",计算_雪崩!BC143,计算_雪球!BC143))</f>
        <v/>
      </c>
      <c r="N124" s="43" t="str">
        <f aca="false">IF($A124="","",IF(每月预算!$B$29="雪崩法",计算_雪崩!BE143,计算_雪球!BE143))</f>
        <v/>
      </c>
      <c r="O124" s="43" t="str">
        <f aca="false">IF($A124="","",IF(每月预算!$B$29="雪崩法",计算_雪崩!BD143,计算_雪球!BD143))</f>
        <v/>
      </c>
    </row>
    <row r="125" customFormat="false" ht="15" hidden="false" customHeight="false" outlineLevel="0" collapsed="false">
      <c r="A125" s="24" t="str">
        <f aca="false">IF(121&lt;=$R$2,121,"")</f>
        <v/>
      </c>
      <c r="B125" s="42" t="str">
        <f aca="false">IF($A125="","",计算_雪球!B144)</f>
        <v/>
      </c>
      <c r="C125" s="43" t="str">
        <f aca="false">IF(OR($A125="",C$4=""),"",IF(每月预算!$B$29="雪崩法",计算_雪崩!I144,计算_雪球!I144))</f>
        <v/>
      </c>
      <c r="D125" s="43" t="str">
        <f aca="false">IF(OR($A125="",D$4=""),"",IF(每月预算!$B$29="雪崩法",计算_雪崩!N144,计算_雪球!N144))</f>
        <v/>
      </c>
      <c r="E125" s="43" t="str">
        <f aca="false">IF(OR($A125="",E$4=""),"",IF(每月预算!$B$29="雪崩法",计算_雪崩!S144,计算_雪球!S144))</f>
        <v/>
      </c>
      <c r="F125" s="43" t="str">
        <f aca="false">IF(OR($A125="",F$4=""),"",IF(每月预算!$B$29="雪崩法",计算_雪崩!X144,计算_雪球!X144))</f>
        <v/>
      </c>
      <c r="G125" s="43" t="str">
        <f aca="false">IF(OR($A125="",G$4=""),"",IF(每月预算!$B$29="雪崩法",计算_雪崩!AC144,计算_雪球!AC144))</f>
        <v/>
      </c>
      <c r="H125" s="43" t="str">
        <f aca="false">IF(OR($A125="",H$4=""),"",IF(每月预算!$B$29="雪崩法",计算_雪崩!AH144,计算_雪球!AH144))</f>
        <v/>
      </c>
      <c r="I125" s="43" t="str">
        <f aca="false">IF(OR($A125="",I$4=""),"",IF(每月预算!$B$29="雪崩法",计算_雪崩!AM144,计算_雪球!AM144))</f>
        <v/>
      </c>
      <c r="J125" s="43" t="str">
        <f aca="false">IF(OR($A125="",J$4=""),"",IF(每月预算!$B$29="雪崩法",计算_雪崩!AR144,计算_雪球!AR144))</f>
        <v/>
      </c>
      <c r="K125" s="43" t="str">
        <f aca="false">IF(OR($A125="",K$4=""),"",IF(每月预算!$B$29="雪崩法",计算_雪崩!AW144,计算_雪球!AW144))</f>
        <v/>
      </c>
      <c r="L125" s="43" t="str">
        <f aca="false">IF(OR($A125="",L$4=""),"",IF(每月预算!$B$29="雪崩法",计算_雪崩!BB144,计算_雪球!BB144))</f>
        <v/>
      </c>
      <c r="M125" s="43" t="str">
        <f aca="false">IF($A125="","",IF(每月预算!$B$29="雪崩法",计算_雪崩!BC144,计算_雪球!BC144))</f>
        <v/>
      </c>
      <c r="N125" s="43" t="str">
        <f aca="false">IF($A125="","",IF(每月预算!$B$29="雪崩法",计算_雪崩!BE144,计算_雪球!BE144))</f>
        <v/>
      </c>
      <c r="O125" s="43" t="str">
        <f aca="false">IF($A125="","",IF(每月预算!$B$29="雪崩法",计算_雪崩!BD144,计算_雪球!BD144))</f>
        <v/>
      </c>
    </row>
    <row r="126" customFormat="false" ht="15" hidden="false" customHeight="false" outlineLevel="0" collapsed="false">
      <c r="A126" s="24" t="str">
        <f aca="false">IF(122&lt;=$R$2,122,"")</f>
        <v/>
      </c>
      <c r="B126" s="42" t="str">
        <f aca="false">IF($A126="","",计算_雪球!B145)</f>
        <v/>
      </c>
      <c r="C126" s="43" t="str">
        <f aca="false">IF(OR($A126="",C$4=""),"",IF(每月预算!$B$29="雪崩法",计算_雪崩!I145,计算_雪球!I145))</f>
        <v/>
      </c>
      <c r="D126" s="43" t="str">
        <f aca="false">IF(OR($A126="",D$4=""),"",IF(每月预算!$B$29="雪崩法",计算_雪崩!N145,计算_雪球!N145))</f>
        <v/>
      </c>
      <c r="E126" s="43" t="str">
        <f aca="false">IF(OR($A126="",E$4=""),"",IF(每月预算!$B$29="雪崩法",计算_雪崩!S145,计算_雪球!S145))</f>
        <v/>
      </c>
      <c r="F126" s="43" t="str">
        <f aca="false">IF(OR($A126="",F$4=""),"",IF(每月预算!$B$29="雪崩法",计算_雪崩!X145,计算_雪球!X145))</f>
        <v/>
      </c>
      <c r="G126" s="43" t="str">
        <f aca="false">IF(OR($A126="",G$4=""),"",IF(每月预算!$B$29="雪崩法",计算_雪崩!AC145,计算_雪球!AC145))</f>
        <v/>
      </c>
      <c r="H126" s="43" t="str">
        <f aca="false">IF(OR($A126="",H$4=""),"",IF(每月预算!$B$29="雪崩法",计算_雪崩!AH145,计算_雪球!AH145))</f>
        <v/>
      </c>
      <c r="I126" s="43" t="str">
        <f aca="false">IF(OR($A126="",I$4=""),"",IF(每月预算!$B$29="雪崩法",计算_雪崩!AM145,计算_雪球!AM145))</f>
        <v/>
      </c>
      <c r="J126" s="43" t="str">
        <f aca="false">IF(OR($A126="",J$4=""),"",IF(每月预算!$B$29="雪崩法",计算_雪崩!AR145,计算_雪球!AR145))</f>
        <v/>
      </c>
      <c r="K126" s="43" t="str">
        <f aca="false">IF(OR($A126="",K$4=""),"",IF(每月预算!$B$29="雪崩法",计算_雪崩!AW145,计算_雪球!AW145))</f>
        <v/>
      </c>
      <c r="L126" s="43" t="str">
        <f aca="false">IF(OR($A126="",L$4=""),"",IF(每月预算!$B$29="雪崩法",计算_雪崩!BB145,计算_雪球!BB145))</f>
        <v/>
      </c>
      <c r="M126" s="43" t="str">
        <f aca="false">IF($A126="","",IF(每月预算!$B$29="雪崩法",计算_雪崩!BC145,计算_雪球!BC145))</f>
        <v/>
      </c>
      <c r="N126" s="43" t="str">
        <f aca="false">IF($A126="","",IF(每月预算!$B$29="雪崩法",计算_雪崩!BE145,计算_雪球!BE145))</f>
        <v/>
      </c>
      <c r="O126" s="43" t="str">
        <f aca="false">IF($A126="","",IF(每月预算!$B$29="雪崩法",计算_雪崩!BD145,计算_雪球!BD145))</f>
        <v/>
      </c>
    </row>
    <row r="127" customFormat="false" ht="15" hidden="false" customHeight="false" outlineLevel="0" collapsed="false">
      <c r="A127" s="24" t="str">
        <f aca="false">IF(123&lt;=$R$2,123,"")</f>
        <v/>
      </c>
      <c r="B127" s="42" t="str">
        <f aca="false">IF($A127="","",计算_雪球!B146)</f>
        <v/>
      </c>
      <c r="C127" s="43" t="str">
        <f aca="false">IF(OR($A127="",C$4=""),"",IF(每月预算!$B$29="雪崩法",计算_雪崩!I146,计算_雪球!I146))</f>
        <v/>
      </c>
      <c r="D127" s="43" t="str">
        <f aca="false">IF(OR($A127="",D$4=""),"",IF(每月预算!$B$29="雪崩法",计算_雪崩!N146,计算_雪球!N146))</f>
        <v/>
      </c>
      <c r="E127" s="43" t="str">
        <f aca="false">IF(OR($A127="",E$4=""),"",IF(每月预算!$B$29="雪崩法",计算_雪崩!S146,计算_雪球!S146))</f>
        <v/>
      </c>
      <c r="F127" s="43" t="str">
        <f aca="false">IF(OR($A127="",F$4=""),"",IF(每月预算!$B$29="雪崩法",计算_雪崩!X146,计算_雪球!X146))</f>
        <v/>
      </c>
      <c r="G127" s="43" t="str">
        <f aca="false">IF(OR($A127="",G$4=""),"",IF(每月预算!$B$29="雪崩法",计算_雪崩!AC146,计算_雪球!AC146))</f>
        <v/>
      </c>
      <c r="H127" s="43" t="str">
        <f aca="false">IF(OR($A127="",H$4=""),"",IF(每月预算!$B$29="雪崩法",计算_雪崩!AH146,计算_雪球!AH146))</f>
        <v/>
      </c>
      <c r="I127" s="43" t="str">
        <f aca="false">IF(OR($A127="",I$4=""),"",IF(每月预算!$B$29="雪崩法",计算_雪崩!AM146,计算_雪球!AM146))</f>
        <v/>
      </c>
      <c r="J127" s="43" t="str">
        <f aca="false">IF(OR($A127="",J$4=""),"",IF(每月预算!$B$29="雪崩法",计算_雪崩!AR146,计算_雪球!AR146))</f>
        <v/>
      </c>
      <c r="K127" s="43" t="str">
        <f aca="false">IF(OR($A127="",K$4=""),"",IF(每月预算!$B$29="雪崩法",计算_雪崩!AW146,计算_雪球!AW146))</f>
        <v/>
      </c>
      <c r="L127" s="43" t="str">
        <f aca="false">IF(OR($A127="",L$4=""),"",IF(每月预算!$B$29="雪崩法",计算_雪崩!BB146,计算_雪球!BB146))</f>
        <v/>
      </c>
      <c r="M127" s="43" t="str">
        <f aca="false">IF($A127="","",IF(每月预算!$B$29="雪崩法",计算_雪崩!BC146,计算_雪球!BC146))</f>
        <v/>
      </c>
      <c r="N127" s="43" t="str">
        <f aca="false">IF($A127="","",IF(每月预算!$B$29="雪崩法",计算_雪崩!BE146,计算_雪球!BE146))</f>
        <v/>
      </c>
      <c r="O127" s="43" t="str">
        <f aca="false">IF($A127="","",IF(每月预算!$B$29="雪崩法",计算_雪崩!BD146,计算_雪球!BD146))</f>
        <v/>
      </c>
    </row>
    <row r="128" customFormat="false" ht="15" hidden="false" customHeight="false" outlineLevel="0" collapsed="false">
      <c r="A128" s="24" t="str">
        <f aca="false">IF(124&lt;=$R$2,124,"")</f>
        <v/>
      </c>
      <c r="B128" s="42" t="str">
        <f aca="false">IF($A128="","",计算_雪球!B147)</f>
        <v/>
      </c>
      <c r="C128" s="43" t="str">
        <f aca="false">IF(OR($A128="",C$4=""),"",IF(每月预算!$B$29="雪崩法",计算_雪崩!I147,计算_雪球!I147))</f>
        <v/>
      </c>
      <c r="D128" s="43" t="str">
        <f aca="false">IF(OR($A128="",D$4=""),"",IF(每月预算!$B$29="雪崩法",计算_雪崩!N147,计算_雪球!N147))</f>
        <v/>
      </c>
      <c r="E128" s="43" t="str">
        <f aca="false">IF(OR($A128="",E$4=""),"",IF(每月预算!$B$29="雪崩法",计算_雪崩!S147,计算_雪球!S147))</f>
        <v/>
      </c>
      <c r="F128" s="43" t="str">
        <f aca="false">IF(OR($A128="",F$4=""),"",IF(每月预算!$B$29="雪崩法",计算_雪崩!X147,计算_雪球!X147))</f>
        <v/>
      </c>
      <c r="G128" s="43" t="str">
        <f aca="false">IF(OR($A128="",G$4=""),"",IF(每月预算!$B$29="雪崩法",计算_雪崩!AC147,计算_雪球!AC147))</f>
        <v/>
      </c>
      <c r="H128" s="43" t="str">
        <f aca="false">IF(OR($A128="",H$4=""),"",IF(每月预算!$B$29="雪崩法",计算_雪崩!AH147,计算_雪球!AH147))</f>
        <v/>
      </c>
      <c r="I128" s="43" t="str">
        <f aca="false">IF(OR($A128="",I$4=""),"",IF(每月预算!$B$29="雪崩法",计算_雪崩!AM147,计算_雪球!AM147))</f>
        <v/>
      </c>
      <c r="J128" s="43" t="str">
        <f aca="false">IF(OR($A128="",J$4=""),"",IF(每月预算!$B$29="雪崩法",计算_雪崩!AR147,计算_雪球!AR147))</f>
        <v/>
      </c>
      <c r="K128" s="43" t="str">
        <f aca="false">IF(OR($A128="",K$4=""),"",IF(每月预算!$B$29="雪崩法",计算_雪崩!AW147,计算_雪球!AW147))</f>
        <v/>
      </c>
      <c r="L128" s="43" t="str">
        <f aca="false">IF(OR($A128="",L$4=""),"",IF(每月预算!$B$29="雪崩法",计算_雪崩!BB147,计算_雪球!BB147))</f>
        <v/>
      </c>
      <c r="M128" s="43" t="str">
        <f aca="false">IF($A128="","",IF(每月预算!$B$29="雪崩法",计算_雪崩!BC147,计算_雪球!BC147))</f>
        <v/>
      </c>
      <c r="N128" s="43" t="str">
        <f aca="false">IF($A128="","",IF(每月预算!$B$29="雪崩法",计算_雪崩!BE147,计算_雪球!BE147))</f>
        <v/>
      </c>
      <c r="O128" s="43" t="str">
        <f aca="false">IF($A128="","",IF(每月预算!$B$29="雪崩法",计算_雪崩!BD147,计算_雪球!BD147))</f>
        <v/>
      </c>
    </row>
    <row r="129" customFormat="false" ht="15" hidden="false" customHeight="false" outlineLevel="0" collapsed="false">
      <c r="A129" s="24" t="str">
        <f aca="false">IF(125&lt;=$R$2,125,"")</f>
        <v/>
      </c>
      <c r="B129" s="42" t="str">
        <f aca="false">IF($A129="","",计算_雪球!B148)</f>
        <v/>
      </c>
      <c r="C129" s="43" t="str">
        <f aca="false">IF(OR($A129="",C$4=""),"",IF(每月预算!$B$29="雪崩法",计算_雪崩!I148,计算_雪球!I148))</f>
        <v/>
      </c>
      <c r="D129" s="43" t="str">
        <f aca="false">IF(OR($A129="",D$4=""),"",IF(每月预算!$B$29="雪崩法",计算_雪崩!N148,计算_雪球!N148))</f>
        <v/>
      </c>
      <c r="E129" s="43" t="str">
        <f aca="false">IF(OR($A129="",E$4=""),"",IF(每月预算!$B$29="雪崩法",计算_雪崩!S148,计算_雪球!S148))</f>
        <v/>
      </c>
      <c r="F129" s="43" t="str">
        <f aca="false">IF(OR($A129="",F$4=""),"",IF(每月预算!$B$29="雪崩法",计算_雪崩!X148,计算_雪球!X148))</f>
        <v/>
      </c>
      <c r="G129" s="43" t="str">
        <f aca="false">IF(OR($A129="",G$4=""),"",IF(每月预算!$B$29="雪崩法",计算_雪崩!AC148,计算_雪球!AC148))</f>
        <v/>
      </c>
      <c r="H129" s="43" t="str">
        <f aca="false">IF(OR($A129="",H$4=""),"",IF(每月预算!$B$29="雪崩法",计算_雪崩!AH148,计算_雪球!AH148))</f>
        <v/>
      </c>
      <c r="I129" s="43" t="str">
        <f aca="false">IF(OR($A129="",I$4=""),"",IF(每月预算!$B$29="雪崩法",计算_雪崩!AM148,计算_雪球!AM148))</f>
        <v/>
      </c>
      <c r="J129" s="43" t="str">
        <f aca="false">IF(OR($A129="",J$4=""),"",IF(每月预算!$B$29="雪崩法",计算_雪崩!AR148,计算_雪球!AR148))</f>
        <v/>
      </c>
      <c r="K129" s="43" t="str">
        <f aca="false">IF(OR($A129="",K$4=""),"",IF(每月预算!$B$29="雪崩法",计算_雪崩!AW148,计算_雪球!AW148))</f>
        <v/>
      </c>
      <c r="L129" s="43" t="str">
        <f aca="false">IF(OR($A129="",L$4=""),"",IF(每月预算!$B$29="雪崩法",计算_雪崩!BB148,计算_雪球!BB148))</f>
        <v/>
      </c>
      <c r="M129" s="43" t="str">
        <f aca="false">IF($A129="","",IF(每月预算!$B$29="雪崩法",计算_雪崩!BC148,计算_雪球!BC148))</f>
        <v/>
      </c>
      <c r="N129" s="43" t="str">
        <f aca="false">IF($A129="","",IF(每月预算!$B$29="雪崩法",计算_雪崩!BE148,计算_雪球!BE148))</f>
        <v/>
      </c>
      <c r="O129" s="43" t="str">
        <f aca="false">IF($A129="","",IF(每月预算!$B$29="雪崩法",计算_雪崩!BD148,计算_雪球!BD148))</f>
        <v/>
      </c>
    </row>
    <row r="130" customFormat="false" ht="15" hidden="false" customHeight="false" outlineLevel="0" collapsed="false">
      <c r="A130" s="24" t="str">
        <f aca="false">IF(126&lt;=$R$2,126,"")</f>
        <v/>
      </c>
      <c r="B130" s="42" t="str">
        <f aca="false">IF($A130="","",计算_雪球!B149)</f>
        <v/>
      </c>
      <c r="C130" s="43" t="str">
        <f aca="false">IF(OR($A130="",C$4=""),"",IF(每月预算!$B$29="雪崩法",计算_雪崩!I149,计算_雪球!I149))</f>
        <v/>
      </c>
      <c r="D130" s="43" t="str">
        <f aca="false">IF(OR($A130="",D$4=""),"",IF(每月预算!$B$29="雪崩法",计算_雪崩!N149,计算_雪球!N149))</f>
        <v/>
      </c>
      <c r="E130" s="43" t="str">
        <f aca="false">IF(OR($A130="",E$4=""),"",IF(每月预算!$B$29="雪崩法",计算_雪崩!S149,计算_雪球!S149))</f>
        <v/>
      </c>
      <c r="F130" s="43" t="str">
        <f aca="false">IF(OR($A130="",F$4=""),"",IF(每月预算!$B$29="雪崩法",计算_雪崩!X149,计算_雪球!X149))</f>
        <v/>
      </c>
      <c r="G130" s="43" t="str">
        <f aca="false">IF(OR($A130="",G$4=""),"",IF(每月预算!$B$29="雪崩法",计算_雪崩!AC149,计算_雪球!AC149))</f>
        <v/>
      </c>
      <c r="H130" s="43" t="str">
        <f aca="false">IF(OR($A130="",H$4=""),"",IF(每月预算!$B$29="雪崩法",计算_雪崩!AH149,计算_雪球!AH149))</f>
        <v/>
      </c>
      <c r="I130" s="43" t="str">
        <f aca="false">IF(OR($A130="",I$4=""),"",IF(每月预算!$B$29="雪崩法",计算_雪崩!AM149,计算_雪球!AM149))</f>
        <v/>
      </c>
      <c r="J130" s="43" t="str">
        <f aca="false">IF(OR($A130="",J$4=""),"",IF(每月预算!$B$29="雪崩法",计算_雪崩!AR149,计算_雪球!AR149))</f>
        <v/>
      </c>
      <c r="K130" s="43" t="str">
        <f aca="false">IF(OR($A130="",K$4=""),"",IF(每月预算!$B$29="雪崩法",计算_雪崩!AW149,计算_雪球!AW149))</f>
        <v/>
      </c>
      <c r="L130" s="43" t="str">
        <f aca="false">IF(OR($A130="",L$4=""),"",IF(每月预算!$B$29="雪崩法",计算_雪崩!BB149,计算_雪球!BB149))</f>
        <v/>
      </c>
      <c r="M130" s="43" t="str">
        <f aca="false">IF($A130="","",IF(每月预算!$B$29="雪崩法",计算_雪崩!BC149,计算_雪球!BC149))</f>
        <v/>
      </c>
      <c r="N130" s="43" t="str">
        <f aca="false">IF($A130="","",IF(每月预算!$B$29="雪崩法",计算_雪崩!BE149,计算_雪球!BE149))</f>
        <v/>
      </c>
      <c r="O130" s="43" t="str">
        <f aca="false">IF($A130="","",IF(每月预算!$B$29="雪崩法",计算_雪崩!BD149,计算_雪球!BD149))</f>
        <v/>
      </c>
    </row>
    <row r="131" customFormat="false" ht="15" hidden="false" customHeight="false" outlineLevel="0" collapsed="false">
      <c r="A131" s="24" t="str">
        <f aca="false">IF(127&lt;=$R$2,127,"")</f>
        <v/>
      </c>
      <c r="B131" s="42" t="str">
        <f aca="false">IF($A131="","",计算_雪球!B150)</f>
        <v/>
      </c>
      <c r="C131" s="43" t="str">
        <f aca="false">IF(OR($A131="",C$4=""),"",IF(每月预算!$B$29="雪崩法",计算_雪崩!I150,计算_雪球!I150))</f>
        <v/>
      </c>
      <c r="D131" s="43" t="str">
        <f aca="false">IF(OR($A131="",D$4=""),"",IF(每月预算!$B$29="雪崩法",计算_雪崩!N150,计算_雪球!N150))</f>
        <v/>
      </c>
      <c r="E131" s="43" t="str">
        <f aca="false">IF(OR($A131="",E$4=""),"",IF(每月预算!$B$29="雪崩法",计算_雪崩!S150,计算_雪球!S150))</f>
        <v/>
      </c>
      <c r="F131" s="43" t="str">
        <f aca="false">IF(OR($A131="",F$4=""),"",IF(每月预算!$B$29="雪崩法",计算_雪崩!X150,计算_雪球!X150))</f>
        <v/>
      </c>
      <c r="G131" s="43" t="str">
        <f aca="false">IF(OR($A131="",G$4=""),"",IF(每月预算!$B$29="雪崩法",计算_雪崩!AC150,计算_雪球!AC150))</f>
        <v/>
      </c>
      <c r="H131" s="43" t="str">
        <f aca="false">IF(OR($A131="",H$4=""),"",IF(每月预算!$B$29="雪崩法",计算_雪崩!AH150,计算_雪球!AH150))</f>
        <v/>
      </c>
      <c r="I131" s="43" t="str">
        <f aca="false">IF(OR($A131="",I$4=""),"",IF(每月预算!$B$29="雪崩法",计算_雪崩!AM150,计算_雪球!AM150))</f>
        <v/>
      </c>
      <c r="J131" s="43" t="str">
        <f aca="false">IF(OR($A131="",J$4=""),"",IF(每月预算!$B$29="雪崩法",计算_雪崩!AR150,计算_雪球!AR150))</f>
        <v/>
      </c>
      <c r="K131" s="43" t="str">
        <f aca="false">IF(OR($A131="",K$4=""),"",IF(每月预算!$B$29="雪崩法",计算_雪崩!AW150,计算_雪球!AW150))</f>
        <v/>
      </c>
      <c r="L131" s="43" t="str">
        <f aca="false">IF(OR($A131="",L$4=""),"",IF(每月预算!$B$29="雪崩法",计算_雪崩!BB150,计算_雪球!BB150))</f>
        <v/>
      </c>
      <c r="M131" s="43" t="str">
        <f aca="false">IF($A131="","",IF(每月预算!$B$29="雪崩法",计算_雪崩!BC150,计算_雪球!BC150))</f>
        <v/>
      </c>
      <c r="N131" s="43" t="str">
        <f aca="false">IF($A131="","",IF(每月预算!$B$29="雪崩法",计算_雪崩!BE150,计算_雪球!BE150))</f>
        <v/>
      </c>
      <c r="O131" s="43" t="str">
        <f aca="false">IF($A131="","",IF(每月预算!$B$29="雪崩法",计算_雪崩!BD150,计算_雪球!BD150))</f>
        <v/>
      </c>
    </row>
    <row r="132" customFormat="false" ht="15" hidden="false" customHeight="false" outlineLevel="0" collapsed="false">
      <c r="A132" s="24" t="str">
        <f aca="false">IF(128&lt;=$R$2,128,"")</f>
        <v/>
      </c>
      <c r="B132" s="42" t="str">
        <f aca="false">IF($A132="","",计算_雪球!B151)</f>
        <v/>
      </c>
      <c r="C132" s="43" t="str">
        <f aca="false">IF(OR($A132="",C$4=""),"",IF(每月预算!$B$29="雪崩法",计算_雪崩!I151,计算_雪球!I151))</f>
        <v/>
      </c>
      <c r="D132" s="43" t="str">
        <f aca="false">IF(OR($A132="",D$4=""),"",IF(每月预算!$B$29="雪崩法",计算_雪崩!N151,计算_雪球!N151))</f>
        <v/>
      </c>
      <c r="E132" s="43" t="str">
        <f aca="false">IF(OR($A132="",E$4=""),"",IF(每月预算!$B$29="雪崩法",计算_雪崩!S151,计算_雪球!S151))</f>
        <v/>
      </c>
      <c r="F132" s="43" t="str">
        <f aca="false">IF(OR($A132="",F$4=""),"",IF(每月预算!$B$29="雪崩法",计算_雪崩!X151,计算_雪球!X151))</f>
        <v/>
      </c>
      <c r="G132" s="43" t="str">
        <f aca="false">IF(OR($A132="",G$4=""),"",IF(每月预算!$B$29="雪崩法",计算_雪崩!AC151,计算_雪球!AC151))</f>
        <v/>
      </c>
      <c r="H132" s="43" t="str">
        <f aca="false">IF(OR($A132="",H$4=""),"",IF(每月预算!$B$29="雪崩法",计算_雪崩!AH151,计算_雪球!AH151))</f>
        <v/>
      </c>
      <c r="I132" s="43" t="str">
        <f aca="false">IF(OR($A132="",I$4=""),"",IF(每月预算!$B$29="雪崩法",计算_雪崩!AM151,计算_雪球!AM151))</f>
        <v/>
      </c>
      <c r="J132" s="43" t="str">
        <f aca="false">IF(OR($A132="",J$4=""),"",IF(每月预算!$B$29="雪崩法",计算_雪崩!AR151,计算_雪球!AR151))</f>
        <v/>
      </c>
      <c r="K132" s="43" t="str">
        <f aca="false">IF(OR($A132="",K$4=""),"",IF(每月预算!$B$29="雪崩法",计算_雪崩!AW151,计算_雪球!AW151))</f>
        <v/>
      </c>
      <c r="L132" s="43" t="str">
        <f aca="false">IF(OR($A132="",L$4=""),"",IF(每月预算!$B$29="雪崩法",计算_雪崩!BB151,计算_雪球!BB151))</f>
        <v/>
      </c>
      <c r="M132" s="43" t="str">
        <f aca="false">IF($A132="","",IF(每月预算!$B$29="雪崩法",计算_雪崩!BC151,计算_雪球!BC151))</f>
        <v/>
      </c>
      <c r="N132" s="43" t="str">
        <f aca="false">IF($A132="","",IF(每月预算!$B$29="雪崩法",计算_雪崩!BE151,计算_雪球!BE151))</f>
        <v/>
      </c>
      <c r="O132" s="43" t="str">
        <f aca="false">IF($A132="","",IF(每月预算!$B$29="雪崩法",计算_雪崩!BD151,计算_雪球!BD151))</f>
        <v/>
      </c>
    </row>
    <row r="133" customFormat="false" ht="15" hidden="false" customHeight="false" outlineLevel="0" collapsed="false">
      <c r="A133" s="24" t="str">
        <f aca="false">IF(129&lt;=$R$2,129,"")</f>
        <v/>
      </c>
      <c r="B133" s="42" t="str">
        <f aca="false">IF($A133="","",计算_雪球!B152)</f>
        <v/>
      </c>
      <c r="C133" s="43" t="str">
        <f aca="false">IF(OR($A133="",C$4=""),"",IF(每月预算!$B$29="雪崩法",计算_雪崩!I152,计算_雪球!I152))</f>
        <v/>
      </c>
      <c r="D133" s="43" t="str">
        <f aca="false">IF(OR($A133="",D$4=""),"",IF(每月预算!$B$29="雪崩法",计算_雪崩!N152,计算_雪球!N152))</f>
        <v/>
      </c>
      <c r="E133" s="43" t="str">
        <f aca="false">IF(OR($A133="",E$4=""),"",IF(每月预算!$B$29="雪崩法",计算_雪崩!S152,计算_雪球!S152))</f>
        <v/>
      </c>
      <c r="F133" s="43" t="str">
        <f aca="false">IF(OR($A133="",F$4=""),"",IF(每月预算!$B$29="雪崩法",计算_雪崩!X152,计算_雪球!X152))</f>
        <v/>
      </c>
      <c r="G133" s="43" t="str">
        <f aca="false">IF(OR($A133="",G$4=""),"",IF(每月预算!$B$29="雪崩法",计算_雪崩!AC152,计算_雪球!AC152))</f>
        <v/>
      </c>
      <c r="H133" s="43" t="str">
        <f aca="false">IF(OR($A133="",H$4=""),"",IF(每月预算!$B$29="雪崩法",计算_雪崩!AH152,计算_雪球!AH152))</f>
        <v/>
      </c>
      <c r="I133" s="43" t="str">
        <f aca="false">IF(OR($A133="",I$4=""),"",IF(每月预算!$B$29="雪崩法",计算_雪崩!AM152,计算_雪球!AM152))</f>
        <v/>
      </c>
      <c r="J133" s="43" t="str">
        <f aca="false">IF(OR($A133="",J$4=""),"",IF(每月预算!$B$29="雪崩法",计算_雪崩!AR152,计算_雪球!AR152))</f>
        <v/>
      </c>
      <c r="K133" s="43" t="str">
        <f aca="false">IF(OR($A133="",K$4=""),"",IF(每月预算!$B$29="雪崩法",计算_雪崩!AW152,计算_雪球!AW152))</f>
        <v/>
      </c>
      <c r="L133" s="43" t="str">
        <f aca="false">IF(OR($A133="",L$4=""),"",IF(每月预算!$B$29="雪崩法",计算_雪崩!BB152,计算_雪球!BB152))</f>
        <v/>
      </c>
      <c r="M133" s="43" t="str">
        <f aca="false">IF($A133="","",IF(每月预算!$B$29="雪崩法",计算_雪崩!BC152,计算_雪球!BC152))</f>
        <v/>
      </c>
      <c r="N133" s="43" t="str">
        <f aca="false">IF($A133="","",IF(每月预算!$B$29="雪崩法",计算_雪崩!BE152,计算_雪球!BE152))</f>
        <v/>
      </c>
      <c r="O133" s="43" t="str">
        <f aca="false">IF($A133="","",IF(每月预算!$B$29="雪崩法",计算_雪崩!BD152,计算_雪球!BD152))</f>
        <v/>
      </c>
    </row>
    <row r="134" customFormat="false" ht="15" hidden="false" customHeight="false" outlineLevel="0" collapsed="false">
      <c r="A134" s="24" t="str">
        <f aca="false">IF(130&lt;=$R$2,130,"")</f>
        <v/>
      </c>
      <c r="B134" s="42" t="str">
        <f aca="false">IF($A134="","",计算_雪球!B153)</f>
        <v/>
      </c>
      <c r="C134" s="43" t="str">
        <f aca="false">IF(OR($A134="",C$4=""),"",IF(每月预算!$B$29="雪崩法",计算_雪崩!I153,计算_雪球!I153))</f>
        <v/>
      </c>
      <c r="D134" s="43" t="str">
        <f aca="false">IF(OR($A134="",D$4=""),"",IF(每月预算!$B$29="雪崩法",计算_雪崩!N153,计算_雪球!N153))</f>
        <v/>
      </c>
      <c r="E134" s="43" t="str">
        <f aca="false">IF(OR($A134="",E$4=""),"",IF(每月预算!$B$29="雪崩法",计算_雪崩!S153,计算_雪球!S153))</f>
        <v/>
      </c>
      <c r="F134" s="43" t="str">
        <f aca="false">IF(OR($A134="",F$4=""),"",IF(每月预算!$B$29="雪崩法",计算_雪崩!X153,计算_雪球!X153))</f>
        <v/>
      </c>
      <c r="G134" s="43" t="str">
        <f aca="false">IF(OR($A134="",G$4=""),"",IF(每月预算!$B$29="雪崩法",计算_雪崩!AC153,计算_雪球!AC153))</f>
        <v/>
      </c>
      <c r="H134" s="43" t="str">
        <f aca="false">IF(OR($A134="",H$4=""),"",IF(每月预算!$B$29="雪崩法",计算_雪崩!AH153,计算_雪球!AH153))</f>
        <v/>
      </c>
      <c r="I134" s="43" t="str">
        <f aca="false">IF(OR($A134="",I$4=""),"",IF(每月预算!$B$29="雪崩法",计算_雪崩!AM153,计算_雪球!AM153))</f>
        <v/>
      </c>
      <c r="J134" s="43" t="str">
        <f aca="false">IF(OR($A134="",J$4=""),"",IF(每月预算!$B$29="雪崩法",计算_雪崩!AR153,计算_雪球!AR153))</f>
        <v/>
      </c>
      <c r="K134" s="43" t="str">
        <f aca="false">IF(OR($A134="",K$4=""),"",IF(每月预算!$B$29="雪崩法",计算_雪崩!AW153,计算_雪球!AW153))</f>
        <v/>
      </c>
      <c r="L134" s="43" t="str">
        <f aca="false">IF(OR($A134="",L$4=""),"",IF(每月预算!$B$29="雪崩法",计算_雪崩!BB153,计算_雪球!BB153))</f>
        <v/>
      </c>
      <c r="M134" s="43" t="str">
        <f aca="false">IF($A134="","",IF(每月预算!$B$29="雪崩法",计算_雪崩!BC153,计算_雪球!BC153))</f>
        <v/>
      </c>
      <c r="N134" s="43" t="str">
        <f aca="false">IF($A134="","",IF(每月预算!$B$29="雪崩法",计算_雪崩!BE153,计算_雪球!BE153))</f>
        <v/>
      </c>
      <c r="O134" s="43" t="str">
        <f aca="false">IF($A134="","",IF(每月预算!$B$29="雪崩法",计算_雪崩!BD153,计算_雪球!BD153))</f>
        <v/>
      </c>
    </row>
    <row r="135" customFormat="false" ht="15" hidden="false" customHeight="false" outlineLevel="0" collapsed="false">
      <c r="A135" s="24" t="str">
        <f aca="false">IF(131&lt;=$R$2,131,"")</f>
        <v/>
      </c>
      <c r="B135" s="42" t="str">
        <f aca="false">IF($A135="","",计算_雪球!B154)</f>
        <v/>
      </c>
      <c r="C135" s="43" t="str">
        <f aca="false">IF(OR($A135="",C$4=""),"",IF(每月预算!$B$29="雪崩法",计算_雪崩!I154,计算_雪球!I154))</f>
        <v/>
      </c>
      <c r="D135" s="43" t="str">
        <f aca="false">IF(OR($A135="",D$4=""),"",IF(每月预算!$B$29="雪崩法",计算_雪崩!N154,计算_雪球!N154))</f>
        <v/>
      </c>
      <c r="E135" s="43" t="str">
        <f aca="false">IF(OR($A135="",E$4=""),"",IF(每月预算!$B$29="雪崩法",计算_雪崩!S154,计算_雪球!S154))</f>
        <v/>
      </c>
      <c r="F135" s="43" t="str">
        <f aca="false">IF(OR($A135="",F$4=""),"",IF(每月预算!$B$29="雪崩法",计算_雪崩!X154,计算_雪球!X154))</f>
        <v/>
      </c>
      <c r="G135" s="43" t="str">
        <f aca="false">IF(OR($A135="",G$4=""),"",IF(每月预算!$B$29="雪崩法",计算_雪崩!AC154,计算_雪球!AC154))</f>
        <v/>
      </c>
      <c r="H135" s="43" t="str">
        <f aca="false">IF(OR($A135="",H$4=""),"",IF(每月预算!$B$29="雪崩法",计算_雪崩!AH154,计算_雪球!AH154))</f>
        <v/>
      </c>
      <c r="I135" s="43" t="str">
        <f aca="false">IF(OR($A135="",I$4=""),"",IF(每月预算!$B$29="雪崩法",计算_雪崩!AM154,计算_雪球!AM154))</f>
        <v/>
      </c>
      <c r="J135" s="43" t="str">
        <f aca="false">IF(OR($A135="",J$4=""),"",IF(每月预算!$B$29="雪崩法",计算_雪崩!AR154,计算_雪球!AR154))</f>
        <v/>
      </c>
      <c r="K135" s="43" t="str">
        <f aca="false">IF(OR($A135="",K$4=""),"",IF(每月预算!$B$29="雪崩法",计算_雪崩!AW154,计算_雪球!AW154))</f>
        <v/>
      </c>
      <c r="L135" s="43" t="str">
        <f aca="false">IF(OR($A135="",L$4=""),"",IF(每月预算!$B$29="雪崩法",计算_雪崩!BB154,计算_雪球!BB154))</f>
        <v/>
      </c>
      <c r="M135" s="43" t="str">
        <f aca="false">IF($A135="","",IF(每月预算!$B$29="雪崩法",计算_雪崩!BC154,计算_雪球!BC154))</f>
        <v/>
      </c>
      <c r="N135" s="43" t="str">
        <f aca="false">IF($A135="","",IF(每月预算!$B$29="雪崩法",计算_雪崩!BE154,计算_雪球!BE154))</f>
        <v/>
      </c>
      <c r="O135" s="43" t="str">
        <f aca="false">IF($A135="","",IF(每月预算!$B$29="雪崩法",计算_雪崩!BD154,计算_雪球!BD154))</f>
        <v/>
      </c>
    </row>
    <row r="136" customFormat="false" ht="15" hidden="false" customHeight="false" outlineLevel="0" collapsed="false">
      <c r="A136" s="24" t="str">
        <f aca="false">IF(132&lt;=$R$2,132,"")</f>
        <v/>
      </c>
      <c r="B136" s="42" t="str">
        <f aca="false">IF($A136="","",计算_雪球!B155)</f>
        <v/>
      </c>
      <c r="C136" s="43" t="str">
        <f aca="false">IF(OR($A136="",C$4=""),"",IF(每月预算!$B$29="雪崩法",计算_雪崩!I155,计算_雪球!I155))</f>
        <v/>
      </c>
      <c r="D136" s="43" t="str">
        <f aca="false">IF(OR($A136="",D$4=""),"",IF(每月预算!$B$29="雪崩法",计算_雪崩!N155,计算_雪球!N155))</f>
        <v/>
      </c>
      <c r="E136" s="43" t="str">
        <f aca="false">IF(OR($A136="",E$4=""),"",IF(每月预算!$B$29="雪崩法",计算_雪崩!S155,计算_雪球!S155))</f>
        <v/>
      </c>
      <c r="F136" s="43" t="str">
        <f aca="false">IF(OR($A136="",F$4=""),"",IF(每月预算!$B$29="雪崩法",计算_雪崩!X155,计算_雪球!X155))</f>
        <v/>
      </c>
      <c r="G136" s="43" t="str">
        <f aca="false">IF(OR($A136="",G$4=""),"",IF(每月预算!$B$29="雪崩法",计算_雪崩!AC155,计算_雪球!AC155))</f>
        <v/>
      </c>
      <c r="H136" s="43" t="str">
        <f aca="false">IF(OR($A136="",H$4=""),"",IF(每月预算!$B$29="雪崩法",计算_雪崩!AH155,计算_雪球!AH155))</f>
        <v/>
      </c>
      <c r="I136" s="43" t="str">
        <f aca="false">IF(OR($A136="",I$4=""),"",IF(每月预算!$B$29="雪崩法",计算_雪崩!AM155,计算_雪球!AM155))</f>
        <v/>
      </c>
      <c r="J136" s="43" t="str">
        <f aca="false">IF(OR($A136="",J$4=""),"",IF(每月预算!$B$29="雪崩法",计算_雪崩!AR155,计算_雪球!AR155))</f>
        <v/>
      </c>
      <c r="K136" s="43" t="str">
        <f aca="false">IF(OR($A136="",K$4=""),"",IF(每月预算!$B$29="雪崩法",计算_雪崩!AW155,计算_雪球!AW155))</f>
        <v/>
      </c>
      <c r="L136" s="43" t="str">
        <f aca="false">IF(OR($A136="",L$4=""),"",IF(每月预算!$B$29="雪崩法",计算_雪崩!BB155,计算_雪球!BB155))</f>
        <v/>
      </c>
      <c r="M136" s="43" t="str">
        <f aca="false">IF($A136="","",IF(每月预算!$B$29="雪崩法",计算_雪崩!BC155,计算_雪球!BC155))</f>
        <v/>
      </c>
      <c r="N136" s="43" t="str">
        <f aca="false">IF($A136="","",IF(每月预算!$B$29="雪崩法",计算_雪崩!BE155,计算_雪球!BE155))</f>
        <v/>
      </c>
      <c r="O136" s="43" t="str">
        <f aca="false">IF($A136="","",IF(每月预算!$B$29="雪崩法",计算_雪崩!BD155,计算_雪球!BD155))</f>
        <v/>
      </c>
    </row>
    <row r="137" customFormat="false" ht="15" hidden="false" customHeight="false" outlineLevel="0" collapsed="false">
      <c r="A137" s="24" t="str">
        <f aca="false">IF(133&lt;=$R$2,133,"")</f>
        <v/>
      </c>
      <c r="B137" s="42" t="str">
        <f aca="false">IF($A137="","",计算_雪球!B156)</f>
        <v/>
      </c>
      <c r="C137" s="43" t="str">
        <f aca="false">IF(OR($A137="",C$4=""),"",IF(每月预算!$B$29="雪崩法",计算_雪崩!I156,计算_雪球!I156))</f>
        <v/>
      </c>
      <c r="D137" s="43" t="str">
        <f aca="false">IF(OR($A137="",D$4=""),"",IF(每月预算!$B$29="雪崩法",计算_雪崩!N156,计算_雪球!N156))</f>
        <v/>
      </c>
      <c r="E137" s="43" t="str">
        <f aca="false">IF(OR($A137="",E$4=""),"",IF(每月预算!$B$29="雪崩法",计算_雪崩!S156,计算_雪球!S156))</f>
        <v/>
      </c>
      <c r="F137" s="43" t="str">
        <f aca="false">IF(OR($A137="",F$4=""),"",IF(每月预算!$B$29="雪崩法",计算_雪崩!X156,计算_雪球!X156))</f>
        <v/>
      </c>
      <c r="G137" s="43" t="str">
        <f aca="false">IF(OR($A137="",G$4=""),"",IF(每月预算!$B$29="雪崩法",计算_雪崩!AC156,计算_雪球!AC156))</f>
        <v/>
      </c>
      <c r="H137" s="43" t="str">
        <f aca="false">IF(OR($A137="",H$4=""),"",IF(每月预算!$B$29="雪崩法",计算_雪崩!AH156,计算_雪球!AH156))</f>
        <v/>
      </c>
      <c r="I137" s="43" t="str">
        <f aca="false">IF(OR($A137="",I$4=""),"",IF(每月预算!$B$29="雪崩法",计算_雪崩!AM156,计算_雪球!AM156))</f>
        <v/>
      </c>
      <c r="J137" s="43" t="str">
        <f aca="false">IF(OR($A137="",J$4=""),"",IF(每月预算!$B$29="雪崩法",计算_雪崩!AR156,计算_雪球!AR156))</f>
        <v/>
      </c>
      <c r="K137" s="43" t="str">
        <f aca="false">IF(OR($A137="",K$4=""),"",IF(每月预算!$B$29="雪崩法",计算_雪崩!AW156,计算_雪球!AW156))</f>
        <v/>
      </c>
      <c r="L137" s="43" t="str">
        <f aca="false">IF(OR($A137="",L$4=""),"",IF(每月预算!$B$29="雪崩法",计算_雪崩!BB156,计算_雪球!BB156))</f>
        <v/>
      </c>
      <c r="M137" s="43" t="str">
        <f aca="false">IF($A137="","",IF(每月预算!$B$29="雪崩法",计算_雪崩!BC156,计算_雪球!BC156))</f>
        <v/>
      </c>
      <c r="N137" s="43" t="str">
        <f aca="false">IF($A137="","",IF(每月预算!$B$29="雪崩法",计算_雪崩!BE156,计算_雪球!BE156))</f>
        <v/>
      </c>
      <c r="O137" s="43" t="str">
        <f aca="false">IF($A137="","",IF(每月预算!$B$29="雪崩法",计算_雪崩!BD156,计算_雪球!BD156))</f>
        <v/>
      </c>
    </row>
    <row r="138" customFormat="false" ht="15" hidden="false" customHeight="false" outlineLevel="0" collapsed="false">
      <c r="A138" s="24" t="str">
        <f aca="false">IF(134&lt;=$R$2,134,"")</f>
        <v/>
      </c>
      <c r="B138" s="42" t="str">
        <f aca="false">IF($A138="","",计算_雪球!B157)</f>
        <v/>
      </c>
      <c r="C138" s="43" t="str">
        <f aca="false">IF(OR($A138="",C$4=""),"",IF(每月预算!$B$29="雪崩法",计算_雪崩!I157,计算_雪球!I157))</f>
        <v/>
      </c>
      <c r="D138" s="43" t="str">
        <f aca="false">IF(OR($A138="",D$4=""),"",IF(每月预算!$B$29="雪崩法",计算_雪崩!N157,计算_雪球!N157))</f>
        <v/>
      </c>
      <c r="E138" s="43" t="str">
        <f aca="false">IF(OR($A138="",E$4=""),"",IF(每月预算!$B$29="雪崩法",计算_雪崩!S157,计算_雪球!S157))</f>
        <v/>
      </c>
      <c r="F138" s="43" t="str">
        <f aca="false">IF(OR($A138="",F$4=""),"",IF(每月预算!$B$29="雪崩法",计算_雪崩!X157,计算_雪球!X157))</f>
        <v/>
      </c>
      <c r="G138" s="43" t="str">
        <f aca="false">IF(OR($A138="",G$4=""),"",IF(每月预算!$B$29="雪崩法",计算_雪崩!AC157,计算_雪球!AC157))</f>
        <v/>
      </c>
      <c r="H138" s="43" t="str">
        <f aca="false">IF(OR($A138="",H$4=""),"",IF(每月预算!$B$29="雪崩法",计算_雪崩!AH157,计算_雪球!AH157))</f>
        <v/>
      </c>
      <c r="I138" s="43" t="str">
        <f aca="false">IF(OR($A138="",I$4=""),"",IF(每月预算!$B$29="雪崩法",计算_雪崩!AM157,计算_雪球!AM157))</f>
        <v/>
      </c>
      <c r="J138" s="43" t="str">
        <f aca="false">IF(OR($A138="",J$4=""),"",IF(每月预算!$B$29="雪崩法",计算_雪崩!AR157,计算_雪球!AR157))</f>
        <v/>
      </c>
      <c r="K138" s="43" t="str">
        <f aca="false">IF(OR($A138="",K$4=""),"",IF(每月预算!$B$29="雪崩法",计算_雪崩!AW157,计算_雪球!AW157))</f>
        <v/>
      </c>
      <c r="L138" s="43" t="str">
        <f aca="false">IF(OR($A138="",L$4=""),"",IF(每月预算!$B$29="雪崩法",计算_雪崩!BB157,计算_雪球!BB157))</f>
        <v/>
      </c>
      <c r="M138" s="43" t="str">
        <f aca="false">IF($A138="","",IF(每月预算!$B$29="雪崩法",计算_雪崩!BC157,计算_雪球!BC157))</f>
        <v/>
      </c>
      <c r="N138" s="43" t="str">
        <f aca="false">IF($A138="","",IF(每月预算!$B$29="雪崩法",计算_雪崩!BE157,计算_雪球!BE157))</f>
        <v/>
      </c>
      <c r="O138" s="43" t="str">
        <f aca="false">IF($A138="","",IF(每月预算!$B$29="雪崩法",计算_雪崩!BD157,计算_雪球!BD157))</f>
        <v/>
      </c>
    </row>
    <row r="139" customFormat="false" ht="15" hidden="false" customHeight="false" outlineLevel="0" collapsed="false">
      <c r="A139" s="24" t="str">
        <f aca="false">IF(135&lt;=$R$2,135,"")</f>
        <v/>
      </c>
      <c r="B139" s="42" t="str">
        <f aca="false">IF($A139="","",计算_雪球!B158)</f>
        <v/>
      </c>
      <c r="C139" s="43" t="str">
        <f aca="false">IF(OR($A139="",C$4=""),"",IF(每月预算!$B$29="雪崩法",计算_雪崩!I158,计算_雪球!I158))</f>
        <v/>
      </c>
      <c r="D139" s="43" t="str">
        <f aca="false">IF(OR($A139="",D$4=""),"",IF(每月预算!$B$29="雪崩法",计算_雪崩!N158,计算_雪球!N158))</f>
        <v/>
      </c>
      <c r="E139" s="43" t="str">
        <f aca="false">IF(OR($A139="",E$4=""),"",IF(每月预算!$B$29="雪崩法",计算_雪崩!S158,计算_雪球!S158))</f>
        <v/>
      </c>
      <c r="F139" s="43" t="str">
        <f aca="false">IF(OR($A139="",F$4=""),"",IF(每月预算!$B$29="雪崩法",计算_雪崩!X158,计算_雪球!X158))</f>
        <v/>
      </c>
      <c r="G139" s="43" t="str">
        <f aca="false">IF(OR($A139="",G$4=""),"",IF(每月预算!$B$29="雪崩法",计算_雪崩!AC158,计算_雪球!AC158))</f>
        <v/>
      </c>
      <c r="H139" s="43" t="str">
        <f aca="false">IF(OR($A139="",H$4=""),"",IF(每月预算!$B$29="雪崩法",计算_雪崩!AH158,计算_雪球!AH158))</f>
        <v/>
      </c>
      <c r="I139" s="43" t="str">
        <f aca="false">IF(OR($A139="",I$4=""),"",IF(每月预算!$B$29="雪崩法",计算_雪崩!AM158,计算_雪球!AM158))</f>
        <v/>
      </c>
      <c r="J139" s="43" t="str">
        <f aca="false">IF(OR($A139="",J$4=""),"",IF(每月预算!$B$29="雪崩法",计算_雪崩!AR158,计算_雪球!AR158))</f>
        <v/>
      </c>
      <c r="K139" s="43" t="str">
        <f aca="false">IF(OR($A139="",K$4=""),"",IF(每月预算!$B$29="雪崩法",计算_雪崩!AW158,计算_雪球!AW158))</f>
        <v/>
      </c>
      <c r="L139" s="43" t="str">
        <f aca="false">IF(OR($A139="",L$4=""),"",IF(每月预算!$B$29="雪崩法",计算_雪崩!BB158,计算_雪球!BB158))</f>
        <v/>
      </c>
      <c r="M139" s="43" t="str">
        <f aca="false">IF($A139="","",IF(每月预算!$B$29="雪崩法",计算_雪崩!BC158,计算_雪球!BC158))</f>
        <v/>
      </c>
      <c r="N139" s="43" t="str">
        <f aca="false">IF($A139="","",IF(每月预算!$B$29="雪崩法",计算_雪崩!BE158,计算_雪球!BE158))</f>
        <v/>
      </c>
      <c r="O139" s="43" t="str">
        <f aca="false">IF($A139="","",IF(每月预算!$B$29="雪崩法",计算_雪崩!BD158,计算_雪球!BD158))</f>
        <v/>
      </c>
    </row>
    <row r="140" customFormat="false" ht="15" hidden="false" customHeight="false" outlineLevel="0" collapsed="false">
      <c r="A140" s="24" t="str">
        <f aca="false">IF(136&lt;=$R$2,136,"")</f>
        <v/>
      </c>
      <c r="B140" s="42" t="str">
        <f aca="false">IF($A140="","",计算_雪球!B159)</f>
        <v/>
      </c>
      <c r="C140" s="43" t="str">
        <f aca="false">IF(OR($A140="",C$4=""),"",IF(每月预算!$B$29="雪崩法",计算_雪崩!I159,计算_雪球!I159))</f>
        <v/>
      </c>
      <c r="D140" s="43" t="str">
        <f aca="false">IF(OR($A140="",D$4=""),"",IF(每月预算!$B$29="雪崩法",计算_雪崩!N159,计算_雪球!N159))</f>
        <v/>
      </c>
      <c r="E140" s="43" t="str">
        <f aca="false">IF(OR($A140="",E$4=""),"",IF(每月预算!$B$29="雪崩法",计算_雪崩!S159,计算_雪球!S159))</f>
        <v/>
      </c>
      <c r="F140" s="43" t="str">
        <f aca="false">IF(OR($A140="",F$4=""),"",IF(每月预算!$B$29="雪崩法",计算_雪崩!X159,计算_雪球!X159))</f>
        <v/>
      </c>
      <c r="G140" s="43" t="str">
        <f aca="false">IF(OR($A140="",G$4=""),"",IF(每月预算!$B$29="雪崩法",计算_雪崩!AC159,计算_雪球!AC159))</f>
        <v/>
      </c>
      <c r="H140" s="43" t="str">
        <f aca="false">IF(OR($A140="",H$4=""),"",IF(每月预算!$B$29="雪崩法",计算_雪崩!AH159,计算_雪球!AH159))</f>
        <v/>
      </c>
      <c r="I140" s="43" t="str">
        <f aca="false">IF(OR($A140="",I$4=""),"",IF(每月预算!$B$29="雪崩法",计算_雪崩!AM159,计算_雪球!AM159))</f>
        <v/>
      </c>
      <c r="J140" s="43" t="str">
        <f aca="false">IF(OR($A140="",J$4=""),"",IF(每月预算!$B$29="雪崩法",计算_雪崩!AR159,计算_雪球!AR159))</f>
        <v/>
      </c>
      <c r="K140" s="43" t="str">
        <f aca="false">IF(OR($A140="",K$4=""),"",IF(每月预算!$B$29="雪崩法",计算_雪崩!AW159,计算_雪球!AW159))</f>
        <v/>
      </c>
      <c r="L140" s="43" t="str">
        <f aca="false">IF(OR($A140="",L$4=""),"",IF(每月预算!$B$29="雪崩法",计算_雪崩!BB159,计算_雪球!BB159))</f>
        <v/>
      </c>
      <c r="M140" s="43" t="str">
        <f aca="false">IF($A140="","",IF(每月预算!$B$29="雪崩法",计算_雪崩!BC159,计算_雪球!BC159))</f>
        <v/>
      </c>
      <c r="N140" s="43" t="str">
        <f aca="false">IF($A140="","",IF(每月预算!$B$29="雪崩法",计算_雪崩!BE159,计算_雪球!BE159))</f>
        <v/>
      </c>
      <c r="O140" s="43" t="str">
        <f aca="false">IF($A140="","",IF(每月预算!$B$29="雪崩法",计算_雪崩!BD159,计算_雪球!BD159))</f>
        <v/>
      </c>
    </row>
    <row r="141" customFormat="false" ht="15" hidden="false" customHeight="false" outlineLevel="0" collapsed="false">
      <c r="A141" s="24" t="str">
        <f aca="false">IF(137&lt;=$R$2,137,"")</f>
        <v/>
      </c>
      <c r="B141" s="42" t="str">
        <f aca="false">IF($A141="","",计算_雪球!B160)</f>
        <v/>
      </c>
      <c r="C141" s="43" t="str">
        <f aca="false">IF(OR($A141="",C$4=""),"",IF(每月预算!$B$29="雪崩法",计算_雪崩!I160,计算_雪球!I160))</f>
        <v/>
      </c>
      <c r="D141" s="43" t="str">
        <f aca="false">IF(OR($A141="",D$4=""),"",IF(每月预算!$B$29="雪崩法",计算_雪崩!N160,计算_雪球!N160))</f>
        <v/>
      </c>
      <c r="E141" s="43" t="str">
        <f aca="false">IF(OR($A141="",E$4=""),"",IF(每月预算!$B$29="雪崩法",计算_雪崩!S160,计算_雪球!S160))</f>
        <v/>
      </c>
      <c r="F141" s="43" t="str">
        <f aca="false">IF(OR($A141="",F$4=""),"",IF(每月预算!$B$29="雪崩法",计算_雪崩!X160,计算_雪球!X160))</f>
        <v/>
      </c>
      <c r="G141" s="43" t="str">
        <f aca="false">IF(OR($A141="",G$4=""),"",IF(每月预算!$B$29="雪崩法",计算_雪崩!AC160,计算_雪球!AC160))</f>
        <v/>
      </c>
      <c r="H141" s="43" t="str">
        <f aca="false">IF(OR($A141="",H$4=""),"",IF(每月预算!$B$29="雪崩法",计算_雪崩!AH160,计算_雪球!AH160))</f>
        <v/>
      </c>
      <c r="I141" s="43" t="str">
        <f aca="false">IF(OR($A141="",I$4=""),"",IF(每月预算!$B$29="雪崩法",计算_雪崩!AM160,计算_雪球!AM160))</f>
        <v/>
      </c>
      <c r="J141" s="43" t="str">
        <f aca="false">IF(OR($A141="",J$4=""),"",IF(每月预算!$B$29="雪崩法",计算_雪崩!AR160,计算_雪球!AR160))</f>
        <v/>
      </c>
      <c r="K141" s="43" t="str">
        <f aca="false">IF(OR($A141="",K$4=""),"",IF(每月预算!$B$29="雪崩法",计算_雪崩!AW160,计算_雪球!AW160))</f>
        <v/>
      </c>
      <c r="L141" s="43" t="str">
        <f aca="false">IF(OR($A141="",L$4=""),"",IF(每月预算!$B$29="雪崩法",计算_雪崩!BB160,计算_雪球!BB160))</f>
        <v/>
      </c>
      <c r="M141" s="43" t="str">
        <f aca="false">IF($A141="","",IF(每月预算!$B$29="雪崩法",计算_雪崩!BC160,计算_雪球!BC160))</f>
        <v/>
      </c>
      <c r="N141" s="43" t="str">
        <f aca="false">IF($A141="","",IF(每月预算!$B$29="雪崩法",计算_雪崩!BE160,计算_雪球!BE160))</f>
        <v/>
      </c>
      <c r="O141" s="43" t="str">
        <f aca="false">IF($A141="","",IF(每月预算!$B$29="雪崩法",计算_雪崩!BD160,计算_雪球!BD160))</f>
        <v/>
      </c>
    </row>
    <row r="142" customFormat="false" ht="15" hidden="false" customHeight="false" outlineLevel="0" collapsed="false">
      <c r="A142" s="24" t="str">
        <f aca="false">IF(138&lt;=$R$2,138,"")</f>
        <v/>
      </c>
      <c r="B142" s="42" t="str">
        <f aca="false">IF($A142="","",计算_雪球!B161)</f>
        <v/>
      </c>
      <c r="C142" s="43" t="str">
        <f aca="false">IF(OR($A142="",C$4=""),"",IF(每月预算!$B$29="雪崩法",计算_雪崩!I161,计算_雪球!I161))</f>
        <v/>
      </c>
      <c r="D142" s="43" t="str">
        <f aca="false">IF(OR($A142="",D$4=""),"",IF(每月预算!$B$29="雪崩法",计算_雪崩!N161,计算_雪球!N161))</f>
        <v/>
      </c>
      <c r="E142" s="43" t="str">
        <f aca="false">IF(OR($A142="",E$4=""),"",IF(每月预算!$B$29="雪崩法",计算_雪崩!S161,计算_雪球!S161))</f>
        <v/>
      </c>
      <c r="F142" s="43" t="str">
        <f aca="false">IF(OR($A142="",F$4=""),"",IF(每月预算!$B$29="雪崩法",计算_雪崩!X161,计算_雪球!X161))</f>
        <v/>
      </c>
      <c r="G142" s="43" t="str">
        <f aca="false">IF(OR($A142="",G$4=""),"",IF(每月预算!$B$29="雪崩法",计算_雪崩!AC161,计算_雪球!AC161))</f>
        <v/>
      </c>
      <c r="H142" s="43" t="str">
        <f aca="false">IF(OR($A142="",H$4=""),"",IF(每月预算!$B$29="雪崩法",计算_雪崩!AH161,计算_雪球!AH161))</f>
        <v/>
      </c>
      <c r="I142" s="43" t="str">
        <f aca="false">IF(OR($A142="",I$4=""),"",IF(每月预算!$B$29="雪崩法",计算_雪崩!AM161,计算_雪球!AM161))</f>
        <v/>
      </c>
      <c r="J142" s="43" t="str">
        <f aca="false">IF(OR($A142="",J$4=""),"",IF(每月预算!$B$29="雪崩法",计算_雪崩!AR161,计算_雪球!AR161))</f>
        <v/>
      </c>
      <c r="K142" s="43" t="str">
        <f aca="false">IF(OR($A142="",K$4=""),"",IF(每月预算!$B$29="雪崩法",计算_雪崩!AW161,计算_雪球!AW161))</f>
        <v/>
      </c>
      <c r="L142" s="43" t="str">
        <f aca="false">IF(OR($A142="",L$4=""),"",IF(每月预算!$B$29="雪崩法",计算_雪崩!BB161,计算_雪球!BB161))</f>
        <v/>
      </c>
      <c r="M142" s="43" t="str">
        <f aca="false">IF($A142="","",IF(每月预算!$B$29="雪崩法",计算_雪崩!BC161,计算_雪球!BC161))</f>
        <v/>
      </c>
      <c r="N142" s="43" t="str">
        <f aca="false">IF($A142="","",IF(每月预算!$B$29="雪崩法",计算_雪崩!BE161,计算_雪球!BE161))</f>
        <v/>
      </c>
      <c r="O142" s="43" t="str">
        <f aca="false">IF($A142="","",IF(每月预算!$B$29="雪崩法",计算_雪崩!BD161,计算_雪球!BD161))</f>
        <v/>
      </c>
    </row>
    <row r="143" customFormat="false" ht="15" hidden="false" customHeight="false" outlineLevel="0" collapsed="false">
      <c r="A143" s="24" t="str">
        <f aca="false">IF(139&lt;=$R$2,139,"")</f>
        <v/>
      </c>
      <c r="B143" s="42" t="str">
        <f aca="false">IF($A143="","",计算_雪球!B162)</f>
        <v/>
      </c>
      <c r="C143" s="43" t="str">
        <f aca="false">IF(OR($A143="",C$4=""),"",IF(每月预算!$B$29="雪崩法",计算_雪崩!I162,计算_雪球!I162))</f>
        <v/>
      </c>
      <c r="D143" s="43" t="str">
        <f aca="false">IF(OR($A143="",D$4=""),"",IF(每月预算!$B$29="雪崩法",计算_雪崩!N162,计算_雪球!N162))</f>
        <v/>
      </c>
      <c r="E143" s="43" t="str">
        <f aca="false">IF(OR($A143="",E$4=""),"",IF(每月预算!$B$29="雪崩法",计算_雪崩!S162,计算_雪球!S162))</f>
        <v/>
      </c>
      <c r="F143" s="43" t="str">
        <f aca="false">IF(OR($A143="",F$4=""),"",IF(每月预算!$B$29="雪崩法",计算_雪崩!X162,计算_雪球!X162))</f>
        <v/>
      </c>
      <c r="G143" s="43" t="str">
        <f aca="false">IF(OR($A143="",G$4=""),"",IF(每月预算!$B$29="雪崩法",计算_雪崩!AC162,计算_雪球!AC162))</f>
        <v/>
      </c>
      <c r="H143" s="43" t="str">
        <f aca="false">IF(OR($A143="",H$4=""),"",IF(每月预算!$B$29="雪崩法",计算_雪崩!AH162,计算_雪球!AH162))</f>
        <v/>
      </c>
      <c r="I143" s="43" t="str">
        <f aca="false">IF(OR($A143="",I$4=""),"",IF(每月预算!$B$29="雪崩法",计算_雪崩!AM162,计算_雪球!AM162))</f>
        <v/>
      </c>
      <c r="J143" s="43" t="str">
        <f aca="false">IF(OR($A143="",J$4=""),"",IF(每月预算!$B$29="雪崩法",计算_雪崩!AR162,计算_雪球!AR162))</f>
        <v/>
      </c>
      <c r="K143" s="43" t="str">
        <f aca="false">IF(OR($A143="",K$4=""),"",IF(每月预算!$B$29="雪崩法",计算_雪崩!AW162,计算_雪球!AW162))</f>
        <v/>
      </c>
      <c r="L143" s="43" t="str">
        <f aca="false">IF(OR($A143="",L$4=""),"",IF(每月预算!$B$29="雪崩法",计算_雪崩!BB162,计算_雪球!BB162))</f>
        <v/>
      </c>
      <c r="M143" s="43" t="str">
        <f aca="false">IF($A143="","",IF(每月预算!$B$29="雪崩法",计算_雪崩!BC162,计算_雪球!BC162))</f>
        <v/>
      </c>
      <c r="N143" s="43" t="str">
        <f aca="false">IF($A143="","",IF(每月预算!$B$29="雪崩法",计算_雪崩!BE162,计算_雪球!BE162))</f>
        <v/>
      </c>
      <c r="O143" s="43" t="str">
        <f aca="false">IF($A143="","",IF(每月预算!$B$29="雪崩法",计算_雪崩!BD162,计算_雪球!BD162))</f>
        <v/>
      </c>
    </row>
    <row r="144" customFormat="false" ht="15" hidden="false" customHeight="false" outlineLevel="0" collapsed="false">
      <c r="A144" s="24" t="str">
        <f aca="false">IF(140&lt;=$R$2,140,"")</f>
        <v/>
      </c>
      <c r="B144" s="42" t="str">
        <f aca="false">IF($A144="","",计算_雪球!B163)</f>
        <v/>
      </c>
      <c r="C144" s="43" t="str">
        <f aca="false">IF(OR($A144="",C$4=""),"",IF(每月预算!$B$29="雪崩法",计算_雪崩!I163,计算_雪球!I163))</f>
        <v/>
      </c>
      <c r="D144" s="43" t="str">
        <f aca="false">IF(OR($A144="",D$4=""),"",IF(每月预算!$B$29="雪崩法",计算_雪崩!N163,计算_雪球!N163))</f>
        <v/>
      </c>
      <c r="E144" s="43" t="str">
        <f aca="false">IF(OR($A144="",E$4=""),"",IF(每月预算!$B$29="雪崩法",计算_雪崩!S163,计算_雪球!S163))</f>
        <v/>
      </c>
      <c r="F144" s="43" t="str">
        <f aca="false">IF(OR($A144="",F$4=""),"",IF(每月预算!$B$29="雪崩法",计算_雪崩!X163,计算_雪球!X163))</f>
        <v/>
      </c>
      <c r="G144" s="43" t="str">
        <f aca="false">IF(OR($A144="",G$4=""),"",IF(每月预算!$B$29="雪崩法",计算_雪崩!AC163,计算_雪球!AC163))</f>
        <v/>
      </c>
      <c r="H144" s="43" t="str">
        <f aca="false">IF(OR($A144="",H$4=""),"",IF(每月预算!$B$29="雪崩法",计算_雪崩!AH163,计算_雪球!AH163))</f>
        <v/>
      </c>
      <c r="I144" s="43" t="str">
        <f aca="false">IF(OR($A144="",I$4=""),"",IF(每月预算!$B$29="雪崩法",计算_雪崩!AM163,计算_雪球!AM163))</f>
        <v/>
      </c>
      <c r="J144" s="43" t="str">
        <f aca="false">IF(OR($A144="",J$4=""),"",IF(每月预算!$B$29="雪崩法",计算_雪崩!AR163,计算_雪球!AR163))</f>
        <v/>
      </c>
      <c r="K144" s="43" t="str">
        <f aca="false">IF(OR($A144="",K$4=""),"",IF(每月预算!$B$29="雪崩法",计算_雪崩!AW163,计算_雪球!AW163))</f>
        <v/>
      </c>
      <c r="L144" s="43" t="str">
        <f aca="false">IF(OR($A144="",L$4=""),"",IF(每月预算!$B$29="雪崩法",计算_雪崩!BB163,计算_雪球!BB163))</f>
        <v/>
      </c>
      <c r="M144" s="43" t="str">
        <f aca="false">IF($A144="","",IF(每月预算!$B$29="雪崩法",计算_雪崩!BC163,计算_雪球!BC163))</f>
        <v/>
      </c>
      <c r="N144" s="43" t="str">
        <f aca="false">IF($A144="","",IF(每月预算!$B$29="雪崩法",计算_雪崩!BE163,计算_雪球!BE163))</f>
        <v/>
      </c>
      <c r="O144" s="43" t="str">
        <f aca="false">IF($A144="","",IF(每月预算!$B$29="雪崩法",计算_雪崩!BD163,计算_雪球!BD163))</f>
        <v/>
      </c>
    </row>
    <row r="145" customFormat="false" ht="15" hidden="false" customHeight="false" outlineLevel="0" collapsed="false">
      <c r="A145" s="24" t="str">
        <f aca="false">IF(141&lt;=$R$2,141,"")</f>
        <v/>
      </c>
      <c r="B145" s="42" t="str">
        <f aca="false">IF($A145="","",计算_雪球!B164)</f>
        <v/>
      </c>
      <c r="C145" s="43" t="str">
        <f aca="false">IF(OR($A145="",C$4=""),"",IF(每月预算!$B$29="雪崩法",计算_雪崩!I164,计算_雪球!I164))</f>
        <v/>
      </c>
      <c r="D145" s="43" t="str">
        <f aca="false">IF(OR($A145="",D$4=""),"",IF(每月预算!$B$29="雪崩法",计算_雪崩!N164,计算_雪球!N164))</f>
        <v/>
      </c>
      <c r="E145" s="43" t="str">
        <f aca="false">IF(OR($A145="",E$4=""),"",IF(每月预算!$B$29="雪崩法",计算_雪崩!S164,计算_雪球!S164))</f>
        <v/>
      </c>
      <c r="F145" s="43" t="str">
        <f aca="false">IF(OR($A145="",F$4=""),"",IF(每月预算!$B$29="雪崩法",计算_雪崩!X164,计算_雪球!X164))</f>
        <v/>
      </c>
      <c r="G145" s="43" t="str">
        <f aca="false">IF(OR($A145="",G$4=""),"",IF(每月预算!$B$29="雪崩法",计算_雪崩!AC164,计算_雪球!AC164))</f>
        <v/>
      </c>
      <c r="H145" s="43" t="str">
        <f aca="false">IF(OR($A145="",H$4=""),"",IF(每月预算!$B$29="雪崩法",计算_雪崩!AH164,计算_雪球!AH164))</f>
        <v/>
      </c>
      <c r="I145" s="43" t="str">
        <f aca="false">IF(OR($A145="",I$4=""),"",IF(每月预算!$B$29="雪崩法",计算_雪崩!AM164,计算_雪球!AM164))</f>
        <v/>
      </c>
      <c r="J145" s="43" t="str">
        <f aca="false">IF(OR($A145="",J$4=""),"",IF(每月预算!$B$29="雪崩法",计算_雪崩!AR164,计算_雪球!AR164))</f>
        <v/>
      </c>
      <c r="K145" s="43" t="str">
        <f aca="false">IF(OR($A145="",K$4=""),"",IF(每月预算!$B$29="雪崩法",计算_雪崩!AW164,计算_雪球!AW164))</f>
        <v/>
      </c>
      <c r="L145" s="43" t="str">
        <f aca="false">IF(OR($A145="",L$4=""),"",IF(每月预算!$B$29="雪崩法",计算_雪崩!BB164,计算_雪球!BB164))</f>
        <v/>
      </c>
      <c r="M145" s="43" t="str">
        <f aca="false">IF($A145="","",IF(每月预算!$B$29="雪崩法",计算_雪崩!BC164,计算_雪球!BC164))</f>
        <v/>
      </c>
      <c r="N145" s="43" t="str">
        <f aca="false">IF($A145="","",IF(每月预算!$B$29="雪崩法",计算_雪崩!BE164,计算_雪球!BE164))</f>
        <v/>
      </c>
      <c r="O145" s="43" t="str">
        <f aca="false">IF($A145="","",IF(每月预算!$B$29="雪崩法",计算_雪崩!BD164,计算_雪球!BD164))</f>
        <v/>
      </c>
    </row>
    <row r="146" customFormat="false" ht="15" hidden="false" customHeight="false" outlineLevel="0" collapsed="false">
      <c r="A146" s="24" t="str">
        <f aca="false">IF(142&lt;=$R$2,142,"")</f>
        <v/>
      </c>
      <c r="B146" s="42" t="str">
        <f aca="false">IF($A146="","",计算_雪球!B165)</f>
        <v/>
      </c>
      <c r="C146" s="43" t="str">
        <f aca="false">IF(OR($A146="",C$4=""),"",IF(每月预算!$B$29="雪崩法",计算_雪崩!I165,计算_雪球!I165))</f>
        <v/>
      </c>
      <c r="D146" s="43" t="str">
        <f aca="false">IF(OR($A146="",D$4=""),"",IF(每月预算!$B$29="雪崩法",计算_雪崩!N165,计算_雪球!N165))</f>
        <v/>
      </c>
      <c r="E146" s="43" t="str">
        <f aca="false">IF(OR($A146="",E$4=""),"",IF(每月预算!$B$29="雪崩法",计算_雪崩!S165,计算_雪球!S165))</f>
        <v/>
      </c>
      <c r="F146" s="43" t="str">
        <f aca="false">IF(OR($A146="",F$4=""),"",IF(每月预算!$B$29="雪崩法",计算_雪崩!X165,计算_雪球!X165))</f>
        <v/>
      </c>
      <c r="G146" s="43" t="str">
        <f aca="false">IF(OR($A146="",G$4=""),"",IF(每月预算!$B$29="雪崩法",计算_雪崩!AC165,计算_雪球!AC165))</f>
        <v/>
      </c>
      <c r="H146" s="43" t="str">
        <f aca="false">IF(OR($A146="",H$4=""),"",IF(每月预算!$B$29="雪崩法",计算_雪崩!AH165,计算_雪球!AH165))</f>
        <v/>
      </c>
      <c r="I146" s="43" t="str">
        <f aca="false">IF(OR($A146="",I$4=""),"",IF(每月预算!$B$29="雪崩法",计算_雪崩!AM165,计算_雪球!AM165))</f>
        <v/>
      </c>
      <c r="J146" s="43" t="str">
        <f aca="false">IF(OR($A146="",J$4=""),"",IF(每月预算!$B$29="雪崩法",计算_雪崩!AR165,计算_雪球!AR165))</f>
        <v/>
      </c>
      <c r="K146" s="43" t="str">
        <f aca="false">IF(OR($A146="",K$4=""),"",IF(每月预算!$B$29="雪崩法",计算_雪崩!AW165,计算_雪球!AW165))</f>
        <v/>
      </c>
      <c r="L146" s="43" t="str">
        <f aca="false">IF(OR($A146="",L$4=""),"",IF(每月预算!$B$29="雪崩法",计算_雪崩!BB165,计算_雪球!BB165))</f>
        <v/>
      </c>
      <c r="M146" s="43" t="str">
        <f aca="false">IF($A146="","",IF(每月预算!$B$29="雪崩法",计算_雪崩!BC165,计算_雪球!BC165))</f>
        <v/>
      </c>
      <c r="N146" s="43" t="str">
        <f aca="false">IF($A146="","",IF(每月预算!$B$29="雪崩法",计算_雪崩!BE165,计算_雪球!BE165))</f>
        <v/>
      </c>
      <c r="O146" s="43" t="str">
        <f aca="false">IF($A146="","",IF(每月预算!$B$29="雪崩法",计算_雪崩!BD165,计算_雪球!BD165))</f>
        <v/>
      </c>
    </row>
    <row r="147" customFormat="false" ht="15" hidden="false" customHeight="false" outlineLevel="0" collapsed="false">
      <c r="A147" s="24" t="str">
        <f aca="false">IF(143&lt;=$R$2,143,"")</f>
        <v/>
      </c>
      <c r="B147" s="42" t="str">
        <f aca="false">IF($A147="","",计算_雪球!B166)</f>
        <v/>
      </c>
      <c r="C147" s="43" t="str">
        <f aca="false">IF(OR($A147="",C$4=""),"",IF(每月预算!$B$29="雪崩法",计算_雪崩!I166,计算_雪球!I166))</f>
        <v/>
      </c>
      <c r="D147" s="43" t="str">
        <f aca="false">IF(OR($A147="",D$4=""),"",IF(每月预算!$B$29="雪崩法",计算_雪崩!N166,计算_雪球!N166))</f>
        <v/>
      </c>
      <c r="E147" s="43" t="str">
        <f aca="false">IF(OR($A147="",E$4=""),"",IF(每月预算!$B$29="雪崩法",计算_雪崩!S166,计算_雪球!S166))</f>
        <v/>
      </c>
      <c r="F147" s="43" t="str">
        <f aca="false">IF(OR($A147="",F$4=""),"",IF(每月预算!$B$29="雪崩法",计算_雪崩!X166,计算_雪球!X166))</f>
        <v/>
      </c>
      <c r="G147" s="43" t="str">
        <f aca="false">IF(OR($A147="",G$4=""),"",IF(每月预算!$B$29="雪崩法",计算_雪崩!AC166,计算_雪球!AC166))</f>
        <v/>
      </c>
      <c r="H147" s="43" t="str">
        <f aca="false">IF(OR($A147="",H$4=""),"",IF(每月预算!$B$29="雪崩法",计算_雪崩!AH166,计算_雪球!AH166))</f>
        <v/>
      </c>
      <c r="I147" s="43" t="str">
        <f aca="false">IF(OR($A147="",I$4=""),"",IF(每月预算!$B$29="雪崩法",计算_雪崩!AM166,计算_雪球!AM166))</f>
        <v/>
      </c>
      <c r="J147" s="43" t="str">
        <f aca="false">IF(OR($A147="",J$4=""),"",IF(每月预算!$B$29="雪崩法",计算_雪崩!AR166,计算_雪球!AR166))</f>
        <v/>
      </c>
      <c r="K147" s="43" t="str">
        <f aca="false">IF(OR($A147="",K$4=""),"",IF(每月预算!$B$29="雪崩法",计算_雪崩!AW166,计算_雪球!AW166))</f>
        <v/>
      </c>
      <c r="L147" s="43" t="str">
        <f aca="false">IF(OR($A147="",L$4=""),"",IF(每月预算!$B$29="雪崩法",计算_雪崩!BB166,计算_雪球!BB166))</f>
        <v/>
      </c>
      <c r="M147" s="43" t="str">
        <f aca="false">IF($A147="","",IF(每月预算!$B$29="雪崩法",计算_雪崩!BC166,计算_雪球!BC166))</f>
        <v/>
      </c>
      <c r="N147" s="43" t="str">
        <f aca="false">IF($A147="","",IF(每月预算!$B$29="雪崩法",计算_雪崩!BE166,计算_雪球!BE166))</f>
        <v/>
      </c>
      <c r="O147" s="43" t="str">
        <f aca="false">IF($A147="","",IF(每月预算!$B$29="雪崩法",计算_雪崩!BD166,计算_雪球!BD166))</f>
        <v/>
      </c>
    </row>
    <row r="148" customFormat="false" ht="15" hidden="false" customHeight="false" outlineLevel="0" collapsed="false">
      <c r="A148" s="24" t="str">
        <f aca="false">IF(144&lt;=$R$2,144,"")</f>
        <v/>
      </c>
      <c r="B148" s="42" t="str">
        <f aca="false">IF($A148="","",计算_雪球!B167)</f>
        <v/>
      </c>
      <c r="C148" s="43" t="str">
        <f aca="false">IF(OR($A148="",C$4=""),"",IF(每月预算!$B$29="雪崩法",计算_雪崩!I167,计算_雪球!I167))</f>
        <v/>
      </c>
      <c r="D148" s="43" t="str">
        <f aca="false">IF(OR($A148="",D$4=""),"",IF(每月预算!$B$29="雪崩法",计算_雪崩!N167,计算_雪球!N167))</f>
        <v/>
      </c>
      <c r="E148" s="43" t="str">
        <f aca="false">IF(OR($A148="",E$4=""),"",IF(每月预算!$B$29="雪崩法",计算_雪崩!S167,计算_雪球!S167))</f>
        <v/>
      </c>
      <c r="F148" s="43" t="str">
        <f aca="false">IF(OR($A148="",F$4=""),"",IF(每月预算!$B$29="雪崩法",计算_雪崩!X167,计算_雪球!X167))</f>
        <v/>
      </c>
      <c r="G148" s="43" t="str">
        <f aca="false">IF(OR($A148="",G$4=""),"",IF(每月预算!$B$29="雪崩法",计算_雪崩!AC167,计算_雪球!AC167))</f>
        <v/>
      </c>
      <c r="H148" s="43" t="str">
        <f aca="false">IF(OR($A148="",H$4=""),"",IF(每月预算!$B$29="雪崩法",计算_雪崩!AH167,计算_雪球!AH167))</f>
        <v/>
      </c>
      <c r="I148" s="43" t="str">
        <f aca="false">IF(OR($A148="",I$4=""),"",IF(每月预算!$B$29="雪崩法",计算_雪崩!AM167,计算_雪球!AM167))</f>
        <v/>
      </c>
      <c r="J148" s="43" t="str">
        <f aca="false">IF(OR($A148="",J$4=""),"",IF(每月预算!$B$29="雪崩法",计算_雪崩!AR167,计算_雪球!AR167))</f>
        <v/>
      </c>
      <c r="K148" s="43" t="str">
        <f aca="false">IF(OR($A148="",K$4=""),"",IF(每月预算!$B$29="雪崩法",计算_雪崩!AW167,计算_雪球!AW167))</f>
        <v/>
      </c>
      <c r="L148" s="43" t="str">
        <f aca="false">IF(OR($A148="",L$4=""),"",IF(每月预算!$B$29="雪崩法",计算_雪崩!BB167,计算_雪球!BB167))</f>
        <v/>
      </c>
      <c r="M148" s="43" t="str">
        <f aca="false">IF($A148="","",IF(每月预算!$B$29="雪崩法",计算_雪崩!BC167,计算_雪球!BC167))</f>
        <v/>
      </c>
      <c r="N148" s="43" t="str">
        <f aca="false">IF($A148="","",IF(每月预算!$B$29="雪崩法",计算_雪崩!BE167,计算_雪球!BE167))</f>
        <v/>
      </c>
      <c r="O148" s="43" t="str">
        <f aca="false">IF($A148="","",IF(每月预算!$B$29="雪崩法",计算_雪崩!BD167,计算_雪球!BD167))</f>
        <v/>
      </c>
    </row>
    <row r="149" customFormat="false" ht="15" hidden="false" customHeight="false" outlineLevel="0" collapsed="false">
      <c r="A149" s="24" t="str">
        <f aca="false">IF(145&lt;=$R$2,145,"")</f>
        <v/>
      </c>
      <c r="B149" s="42" t="str">
        <f aca="false">IF($A149="","",计算_雪球!B168)</f>
        <v/>
      </c>
      <c r="C149" s="43" t="str">
        <f aca="false">IF(OR($A149="",C$4=""),"",IF(每月预算!$B$29="雪崩法",计算_雪崩!I168,计算_雪球!I168))</f>
        <v/>
      </c>
      <c r="D149" s="43" t="str">
        <f aca="false">IF(OR($A149="",D$4=""),"",IF(每月预算!$B$29="雪崩法",计算_雪崩!N168,计算_雪球!N168))</f>
        <v/>
      </c>
      <c r="E149" s="43" t="str">
        <f aca="false">IF(OR($A149="",E$4=""),"",IF(每月预算!$B$29="雪崩法",计算_雪崩!S168,计算_雪球!S168))</f>
        <v/>
      </c>
      <c r="F149" s="43" t="str">
        <f aca="false">IF(OR($A149="",F$4=""),"",IF(每月预算!$B$29="雪崩法",计算_雪崩!X168,计算_雪球!X168))</f>
        <v/>
      </c>
      <c r="G149" s="43" t="str">
        <f aca="false">IF(OR($A149="",G$4=""),"",IF(每月预算!$B$29="雪崩法",计算_雪崩!AC168,计算_雪球!AC168))</f>
        <v/>
      </c>
      <c r="H149" s="43" t="str">
        <f aca="false">IF(OR($A149="",H$4=""),"",IF(每月预算!$B$29="雪崩法",计算_雪崩!AH168,计算_雪球!AH168))</f>
        <v/>
      </c>
      <c r="I149" s="43" t="str">
        <f aca="false">IF(OR($A149="",I$4=""),"",IF(每月预算!$B$29="雪崩法",计算_雪崩!AM168,计算_雪球!AM168))</f>
        <v/>
      </c>
      <c r="J149" s="43" t="str">
        <f aca="false">IF(OR($A149="",J$4=""),"",IF(每月预算!$B$29="雪崩法",计算_雪崩!AR168,计算_雪球!AR168))</f>
        <v/>
      </c>
      <c r="K149" s="43" t="str">
        <f aca="false">IF(OR($A149="",K$4=""),"",IF(每月预算!$B$29="雪崩法",计算_雪崩!AW168,计算_雪球!AW168))</f>
        <v/>
      </c>
      <c r="L149" s="43" t="str">
        <f aca="false">IF(OR($A149="",L$4=""),"",IF(每月预算!$B$29="雪崩法",计算_雪崩!BB168,计算_雪球!BB168))</f>
        <v/>
      </c>
      <c r="M149" s="43" t="str">
        <f aca="false">IF($A149="","",IF(每月预算!$B$29="雪崩法",计算_雪崩!BC168,计算_雪球!BC168))</f>
        <v/>
      </c>
      <c r="N149" s="43" t="str">
        <f aca="false">IF($A149="","",IF(每月预算!$B$29="雪崩法",计算_雪崩!BE168,计算_雪球!BE168))</f>
        <v/>
      </c>
      <c r="O149" s="43" t="str">
        <f aca="false">IF($A149="","",IF(每月预算!$B$29="雪崩法",计算_雪崩!BD168,计算_雪球!BD168))</f>
        <v/>
      </c>
    </row>
    <row r="150" customFormat="false" ht="15" hidden="false" customHeight="false" outlineLevel="0" collapsed="false">
      <c r="A150" s="24" t="str">
        <f aca="false">IF(146&lt;=$R$2,146,"")</f>
        <v/>
      </c>
      <c r="B150" s="42" t="str">
        <f aca="false">IF($A150="","",计算_雪球!B169)</f>
        <v/>
      </c>
      <c r="C150" s="43" t="str">
        <f aca="false">IF(OR($A150="",C$4=""),"",IF(每月预算!$B$29="雪崩法",计算_雪崩!I169,计算_雪球!I169))</f>
        <v/>
      </c>
      <c r="D150" s="43" t="str">
        <f aca="false">IF(OR($A150="",D$4=""),"",IF(每月预算!$B$29="雪崩法",计算_雪崩!N169,计算_雪球!N169))</f>
        <v/>
      </c>
      <c r="E150" s="43" t="str">
        <f aca="false">IF(OR($A150="",E$4=""),"",IF(每月预算!$B$29="雪崩法",计算_雪崩!S169,计算_雪球!S169))</f>
        <v/>
      </c>
      <c r="F150" s="43" t="str">
        <f aca="false">IF(OR($A150="",F$4=""),"",IF(每月预算!$B$29="雪崩法",计算_雪崩!X169,计算_雪球!X169))</f>
        <v/>
      </c>
      <c r="G150" s="43" t="str">
        <f aca="false">IF(OR($A150="",G$4=""),"",IF(每月预算!$B$29="雪崩法",计算_雪崩!AC169,计算_雪球!AC169))</f>
        <v/>
      </c>
      <c r="H150" s="43" t="str">
        <f aca="false">IF(OR($A150="",H$4=""),"",IF(每月预算!$B$29="雪崩法",计算_雪崩!AH169,计算_雪球!AH169))</f>
        <v/>
      </c>
      <c r="I150" s="43" t="str">
        <f aca="false">IF(OR($A150="",I$4=""),"",IF(每月预算!$B$29="雪崩法",计算_雪崩!AM169,计算_雪球!AM169))</f>
        <v/>
      </c>
      <c r="J150" s="43" t="str">
        <f aca="false">IF(OR($A150="",J$4=""),"",IF(每月预算!$B$29="雪崩法",计算_雪崩!AR169,计算_雪球!AR169))</f>
        <v/>
      </c>
      <c r="K150" s="43" t="str">
        <f aca="false">IF(OR($A150="",K$4=""),"",IF(每月预算!$B$29="雪崩法",计算_雪崩!AW169,计算_雪球!AW169))</f>
        <v/>
      </c>
      <c r="L150" s="43" t="str">
        <f aca="false">IF(OR($A150="",L$4=""),"",IF(每月预算!$B$29="雪崩法",计算_雪崩!BB169,计算_雪球!BB169))</f>
        <v/>
      </c>
      <c r="M150" s="43" t="str">
        <f aca="false">IF($A150="","",IF(每月预算!$B$29="雪崩法",计算_雪崩!BC169,计算_雪球!BC169))</f>
        <v/>
      </c>
      <c r="N150" s="43" t="str">
        <f aca="false">IF($A150="","",IF(每月预算!$B$29="雪崩法",计算_雪崩!BE169,计算_雪球!BE169))</f>
        <v/>
      </c>
      <c r="O150" s="43" t="str">
        <f aca="false">IF($A150="","",IF(每月预算!$B$29="雪崩法",计算_雪崩!BD169,计算_雪球!BD169))</f>
        <v/>
      </c>
    </row>
    <row r="151" customFormat="false" ht="15" hidden="false" customHeight="false" outlineLevel="0" collapsed="false">
      <c r="A151" s="24" t="str">
        <f aca="false">IF(147&lt;=$R$2,147,"")</f>
        <v/>
      </c>
      <c r="B151" s="42" t="str">
        <f aca="false">IF($A151="","",计算_雪球!B170)</f>
        <v/>
      </c>
      <c r="C151" s="43" t="str">
        <f aca="false">IF(OR($A151="",C$4=""),"",IF(每月预算!$B$29="雪崩法",计算_雪崩!I170,计算_雪球!I170))</f>
        <v/>
      </c>
      <c r="D151" s="43" t="str">
        <f aca="false">IF(OR($A151="",D$4=""),"",IF(每月预算!$B$29="雪崩法",计算_雪崩!N170,计算_雪球!N170))</f>
        <v/>
      </c>
      <c r="E151" s="43" t="str">
        <f aca="false">IF(OR($A151="",E$4=""),"",IF(每月预算!$B$29="雪崩法",计算_雪崩!S170,计算_雪球!S170))</f>
        <v/>
      </c>
      <c r="F151" s="43" t="str">
        <f aca="false">IF(OR($A151="",F$4=""),"",IF(每月预算!$B$29="雪崩法",计算_雪崩!X170,计算_雪球!X170))</f>
        <v/>
      </c>
      <c r="G151" s="43" t="str">
        <f aca="false">IF(OR($A151="",G$4=""),"",IF(每月预算!$B$29="雪崩法",计算_雪崩!AC170,计算_雪球!AC170))</f>
        <v/>
      </c>
      <c r="H151" s="43" t="str">
        <f aca="false">IF(OR($A151="",H$4=""),"",IF(每月预算!$B$29="雪崩法",计算_雪崩!AH170,计算_雪球!AH170))</f>
        <v/>
      </c>
      <c r="I151" s="43" t="str">
        <f aca="false">IF(OR($A151="",I$4=""),"",IF(每月预算!$B$29="雪崩法",计算_雪崩!AM170,计算_雪球!AM170))</f>
        <v/>
      </c>
      <c r="J151" s="43" t="str">
        <f aca="false">IF(OR($A151="",J$4=""),"",IF(每月预算!$B$29="雪崩法",计算_雪崩!AR170,计算_雪球!AR170))</f>
        <v/>
      </c>
      <c r="K151" s="43" t="str">
        <f aca="false">IF(OR($A151="",K$4=""),"",IF(每月预算!$B$29="雪崩法",计算_雪崩!AW170,计算_雪球!AW170))</f>
        <v/>
      </c>
      <c r="L151" s="43" t="str">
        <f aca="false">IF(OR($A151="",L$4=""),"",IF(每月预算!$B$29="雪崩法",计算_雪崩!BB170,计算_雪球!BB170))</f>
        <v/>
      </c>
      <c r="M151" s="43" t="str">
        <f aca="false">IF($A151="","",IF(每月预算!$B$29="雪崩法",计算_雪崩!BC170,计算_雪球!BC170))</f>
        <v/>
      </c>
      <c r="N151" s="43" t="str">
        <f aca="false">IF($A151="","",IF(每月预算!$B$29="雪崩法",计算_雪崩!BE170,计算_雪球!BE170))</f>
        <v/>
      </c>
      <c r="O151" s="43" t="str">
        <f aca="false">IF($A151="","",IF(每月预算!$B$29="雪崩法",计算_雪崩!BD170,计算_雪球!BD170))</f>
        <v/>
      </c>
    </row>
    <row r="152" customFormat="false" ht="15" hidden="false" customHeight="false" outlineLevel="0" collapsed="false">
      <c r="A152" s="24" t="str">
        <f aca="false">IF(148&lt;=$R$2,148,"")</f>
        <v/>
      </c>
      <c r="B152" s="42" t="str">
        <f aca="false">IF($A152="","",计算_雪球!B171)</f>
        <v/>
      </c>
      <c r="C152" s="43" t="str">
        <f aca="false">IF(OR($A152="",C$4=""),"",IF(每月预算!$B$29="雪崩法",计算_雪崩!I171,计算_雪球!I171))</f>
        <v/>
      </c>
      <c r="D152" s="43" t="str">
        <f aca="false">IF(OR($A152="",D$4=""),"",IF(每月预算!$B$29="雪崩法",计算_雪崩!N171,计算_雪球!N171))</f>
        <v/>
      </c>
      <c r="E152" s="43" t="str">
        <f aca="false">IF(OR($A152="",E$4=""),"",IF(每月预算!$B$29="雪崩法",计算_雪崩!S171,计算_雪球!S171))</f>
        <v/>
      </c>
      <c r="F152" s="43" t="str">
        <f aca="false">IF(OR($A152="",F$4=""),"",IF(每月预算!$B$29="雪崩法",计算_雪崩!X171,计算_雪球!X171))</f>
        <v/>
      </c>
      <c r="G152" s="43" t="str">
        <f aca="false">IF(OR($A152="",G$4=""),"",IF(每月预算!$B$29="雪崩法",计算_雪崩!AC171,计算_雪球!AC171))</f>
        <v/>
      </c>
      <c r="H152" s="43" t="str">
        <f aca="false">IF(OR($A152="",H$4=""),"",IF(每月预算!$B$29="雪崩法",计算_雪崩!AH171,计算_雪球!AH171))</f>
        <v/>
      </c>
      <c r="I152" s="43" t="str">
        <f aca="false">IF(OR($A152="",I$4=""),"",IF(每月预算!$B$29="雪崩法",计算_雪崩!AM171,计算_雪球!AM171))</f>
        <v/>
      </c>
      <c r="J152" s="43" t="str">
        <f aca="false">IF(OR($A152="",J$4=""),"",IF(每月预算!$B$29="雪崩法",计算_雪崩!AR171,计算_雪球!AR171))</f>
        <v/>
      </c>
      <c r="K152" s="43" t="str">
        <f aca="false">IF(OR($A152="",K$4=""),"",IF(每月预算!$B$29="雪崩法",计算_雪崩!AW171,计算_雪球!AW171))</f>
        <v/>
      </c>
      <c r="L152" s="43" t="str">
        <f aca="false">IF(OR($A152="",L$4=""),"",IF(每月预算!$B$29="雪崩法",计算_雪崩!BB171,计算_雪球!BB171))</f>
        <v/>
      </c>
      <c r="M152" s="43" t="str">
        <f aca="false">IF($A152="","",IF(每月预算!$B$29="雪崩法",计算_雪崩!BC171,计算_雪球!BC171))</f>
        <v/>
      </c>
      <c r="N152" s="43" t="str">
        <f aca="false">IF($A152="","",IF(每月预算!$B$29="雪崩法",计算_雪崩!BE171,计算_雪球!BE171))</f>
        <v/>
      </c>
      <c r="O152" s="43" t="str">
        <f aca="false">IF($A152="","",IF(每月预算!$B$29="雪崩法",计算_雪崩!BD171,计算_雪球!BD171))</f>
        <v/>
      </c>
    </row>
    <row r="153" customFormat="false" ht="15" hidden="false" customHeight="false" outlineLevel="0" collapsed="false">
      <c r="A153" s="24" t="str">
        <f aca="false">IF(149&lt;=$R$2,149,"")</f>
        <v/>
      </c>
      <c r="B153" s="42" t="str">
        <f aca="false">IF($A153="","",计算_雪球!B172)</f>
        <v/>
      </c>
      <c r="C153" s="43" t="str">
        <f aca="false">IF(OR($A153="",C$4=""),"",IF(每月预算!$B$29="雪崩法",计算_雪崩!I172,计算_雪球!I172))</f>
        <v/>
      </c>
      <c r="D153" s="43" t="str">
        <f aca="false">IF(OR($A153="",D$4=""),"",IF(每月预算!$B$29="雪崩法",计算_雪崩!N172,计算_雪球!N172))</f>
        <v/>
      </c>
      <c r="E153" s="43" t="str">
        <f aca="false">IF(OR($A153="",E$4=""),"",IF(每月预算!$B$29="雪崩法",计算_雪崩!S172,计算_雪球!S172))</f>
        <v/>
      </c>
      <c r="F153" s="43" t="str">
        <f aca="false">IF(OR($A153="",F$4=""),"",IF(每月预算!$B$29="雪崩法",计算_雪崩!X172,计算_雪球!X172))</f>
        <v/>
      </c>
      <c r="G153" s="43" t="str">
        <f aca="false">IF(OR($A153="",G$4=""),"",IF(每月预算!$B$29="雪崩法",计算_雪崩!AC172,计算_雪球!AC172))</f>
        <v/>
      </c>
      <c r="H153" s="43" t="str">
        <f aca="false">IF(OR($A153="",H$4=""),"",IF(每月预算!$B$29="雪崩法",计算_雪崩!AH172,计算_雪球!AH172))</f>
        <v/>
      </c>
      <c r="I153" s="43" t="str">
        <f aca="false">IF(OR($A153="",I$4=""),"",IF(每月预算!$B$29="雪崩法",计算_雪崩!AM172,计算_雪球!AM172))</f>
        <v/>
      </c>
      <c r="J153" s="43" t="str">
        <f aca="false">IF(OR($A153="",J$4=""),"",IF(每月预算!$B$29="雪崩法",计算_雪崩!AR172,计算_雪球!AR172))</f>
        <v/>
      </c>
      <c r="K153" s="43" t="str">
        <f aca="false">IF(OR($A153="",K$4=""),"",IF(每月预算!$B$29="雪崩法",计算_雪崩!AW172,计算_雪球!AW172))</f>
        <v/>
      </c>
      <c r="L153" s="43" t="str">
        <f aca="false">IF(OR($A153="",L$4=""),"",IF(每月预算!$B$29="雪崩法",计算_雪崩!BB172,计算_雪球!BB172))</f>
        <v/>
      </c>
      <c r="M153" s="43" t="str">
        <f aca="false">IF($A153="","",IF(每月预算!$B$29="雪崩法",计算_雪崩!BC172,计算_雪球!BC172))</f>
        <v/>
      </c>
      <c r="N153" s="43" t="str">
        <f aca="false">IF($A153="","",IF(每月预算!$B$29="雪崩法",计算_雪崩!BE172,计算_雪球!BE172))</f>
        <v/>
      </c>
      <c r="O153" s="43" t="str">
        <f aca="false">IF($A153="","",IF(每月预算!$B$29="雪崩法",计算_雪崩!BD172,计算_雪球!BD172))</f>
        <v/>
      </c>
    </row>
    <row r="154" customFormat="false" ht="15" hidden="false" customHeight="false" outlineLevel="0" collapsed="false">
      <c r="A154" s="24" t="str">
        <f aca="false">IF(150&lt;=$R$2,150,"")</f>
        <v/>
      </c>
      <c r="B154" s="42" t="str">
        <f aca="false">IF($A154="","",计算_雪球!B173)</f>
        <v/>
      </c>
      <c r="C154" s="43" t="str">
        <f aca="false">IF(OR($A154="",C$4=""),"",IF(每月预算!$B$29="雪崩法",计算_雪崩!I173,计算_雪球!I173))</f>
        <v/>
      </c>
      <c r="D154" s="43" t="str">
        <f aca="false">IF(OR($A154="",D$4=""),"",IF(每月预算!$B$29="雪崩法",计算_雪崩!N173,计算_雪球!N173))</f>
        <v/>
      </c>
      <c r="E154" s="43" t="str">
        <f aca="false">IF(OR($A154="",E$4=""),"",IF(每月预算!$B$29="雪崩法",计算_雪崩!S173,计算_雪球!S173))</f>
        <v/>
      </c>
      <c r="F154" s="43" t="str">
        <f aca="false">IF(OR($A154="",F$4=""),"",IF(每月预算!$B$29="雪崩法",计算_雪崩!X173,计算_雪球!X173))</f>
        <v/>
      </c>
      <c r="G154" s="43" t="str">
        <f aca="false">IF(OR($A154="",G$4=""),"",IF(每月预算!$B$29="雪崩法",计算_雪崩!AC173,计算_雪球!AC173))</f>
        <v/>
      </c>
      <c r="H154" s="43" t="str">
        <f aca="false">IF(OR($A154="",H$4=""),"",IF(每月预算!$B$29="雪崩法",计算_雪崩!AH173,计算_雪球!AH173))</f>
        <v/>
      </c>
      <c r="I154" s="43" t="str">
        <f aca="false">IF(OR($A154="",I$4=""),"",IF(每月预算!$B$29="雪崩法",计算_雪崩!AM173,计算_雪球!AM173))</f>
        <v/>
      </c>
      <c r="J154" s="43" t="str">
        <f aca="false">IF(OR($A154="",J$4=""),"",IF(每月预算!$B$29="雪崩法",计算_雪崩!AR173,计算_雪球!AR173))</f>
        <v/>
      </c>
      <c r="K154" s="43" t="str">
        <f aca="false">IF(OR($A154="",K$4=""),"",IF(每月预算!$B$29="雪崩法",计算_雪崩!AW173,计算_雪球!AW173))</f>
        <v/>
      </c>
      <c r="L154" s="43" t="str">
        <f aca="false">IF(OR($A154="",L$4=""),"",IF(每月预算!$B$29="雪崩法",计算_雪崩!BB173,计算_雪球!BB173))</f>
        <v/>
      </c>
      <c r="M154" s="43" t="str">
        <f aca="false">IF($A154="","",IF(每月预算!$B$29="雪崩法",计算_雪崩!BC173,计算_雪球!BC173))</f>
        <v/>
      </c>
      <c r="N154" s="43" t="str">
        <f aca="false">IF($A154="","",IF(每月预算!$B$29="雪崩法",计算_雪崩!BE173,计算_雪球!BE173))</f>
        <v/>
      </c>
      <c r="O154" s="43" t="str">
        <f aca="false">IF($A154="","",IF(每月预算!$B$29="雪崩法",计算_雪崩!BD173,计算_雪球!BD173))</f>
        <v/>
      </c>
    </row>
    <row r="155" customFormat="false" ht="15" hidden="false" customHeight="false" outlineLevel="0" collapsed="false">
      <c r="A155" s="24" t="str">
        <f aca="false">IF(151&lt;=$R$2,151,"")</f>
        <v/>
      </c>
      <c r="B155" s="42" t="str">
        <f aca="false">IF($A155="","",计算_雪球!B174)</f>
        <v/>
      </c>
      <c r="C155" s="43" t="str">
        <f aca="false">IF(OR($A155="",C$4=""),"",IF(每月预算!$B$29="雪崩法",计算_雪崩!I174,计算_雪球!I174))</f>
        <v/>
      </c>
      <c r="D155" s="43" t="str">
        <f aca="false">IF(OR($A155="",D$4=""),"",IF(每月预算!$B$29="雪崩法",计算_雪崩!N174,计算_雪球!N174))</f>
        <v/>
      </c>
      <c r="E155" s="43" t="str">
        <f aca="false">IF(OR($A155="",E$4=""),"",IF(每月预算!$B$29="雪崩法",计算_雪崩!S174,计算_雪球!S174))</f>
        <v/>
      </c>
      <c r="F155" s="43" t="str">
        <f aca="false">IF(OR($A155="",F$4=""),"",IF(每月预算!$B$29="雪崩法",计算_雪崩!X174,计算_雪球!X174))</f>
        <v/>
      </c>
      <c r="G155" s="43" t="str">
        <f aca="false">IF(OR($A155="",G$4=""),"",IF(每月预算!$B$29="雪崩法",计算_雪崩!AC174,计算_雪球!AC174))</f>
        <v/>
      </c>
      <c r="H155" s="43" t="str">
        <f aca="false">IF(OR($A155="",H$4=""),"",IF(每月预算!$B$29="雪崩法",计算_雪崩!AH174,计算_雪球!AH174))</f>
        <v/>
      </c>
      <c r="I155" s="43" t="str">
        <f aca="false">IF(OR($A155="",I$4=""),"",IF(每月预算!$B$29="雪崩法",计算_雪崩!AM174,计算_雪球!AM174))</f>
        <v/>
      </c>
      <c r="J155" s="43" t="str">
        <f aca="false">IF(OR($A155="",J$4=""),"",IF(每月预算!$B$29="雪崩法",计算_雪崩!AR174,计算_雪球!AR174))</f>
        <v/>
      </c>
      <c r="K155" s="43" t="str">
        <f aca="false">IF(OR($A155="",K$4=""),"",IF(每月预算!$B$29="雪崩法",计算_雪崩!AW174,计算_雪球!AW174))</f>
        <v/>
      </c>
      <c r="L155" s="43" t="str">
        <f aca="false">IF(OR($A155="",L$4=""),"",IF(每月预算!$B$29="雪崩法",计算_雪崩!BB174,计算_雪球!BB174))</f>
        <v/>
      </c>
      <c r="M155" s="43" t="str">
        <f aca="false">IF($A155="","",IF(每月预算!$B$29="雪崩法",计算_雪崩!BC174,计算_雪球!BC174))</f>
        <v/>
      </c>
      <c r="N155" s="43" t="str">
        <f aca="false">IF($A155="","",IF(每月预算!$B$29="雪崩法",计算_雪崩!BE174,计算_雪球!BE174))</f>
        <v/>
      </c>
      <c r="O155" s="43" t="str">
        <f aca="false">IF($A155="","",IF(每月预算!$B$29="雪崩法",计算_雪崩!BD174,计算_雪球!BD174))</f>
        <v/>
      </c>
    </row>
    <row r="156" customFormat="false" ht="15" hidden="false" customHeight="false" outlineLevel="0" collapsed="false">
      <c r="A156" s="24" t="str">
        <f aca="false">IF(152&lt;=$R$2,152,"")</f>
        <v/>
      </c>
      <c r="B156" s="42" t="str">
        <f aca="false">IF($A156="","",计算_雪球!B175)</f>
        <v/>
      </c>
      <c r="C156" s="43" t="str">
        <f aca="false">IF(OR($A156="",C$4=""),"",IF(每月预算!$B$29="雪崩法",计算_雪崩!I175,计算_雪球!I175))</f>
        <v/>
      </c>
      <c r="D156" s="43" t="str">
        <f aca="false">IF(OR($A156="",D$4=""),"",IF(每月预算!$B$29="雪崩法",计算_雪崩!N175,计算_雪球!N175))</f>
        <v/>
      </c>
      <c r="E156" s="43" t="str">
        <f aca="false">IF(OR($A156="",E$4=""),"",IF(每月预算!$B$29="雪崩法",计算_雪崩!S175,计算_雪球!S175))</f>
        <v/>
      </c>
      <c r="F156" s="43" t="str">
        <f aca="false">IF(OR($A156="",F$4=""),"",IF(每月预算!$B$29="雪崩法",计算_雪崩!X175,计算_雪球!X175))</f>
        <v/>
      </c>
      <c r="G156" s="43" t="str">
        <f aca="false">IF(OR($A156="",G$4=""),"",IF(每月预算!$B$29="雪崩法",计算_雪崩!AC175,计算_雪球!AC175))</f>
        <v/>
      </c>
      <c r="H156" s="43" t="str">
        <f aca="false">IF(OR($A156="",H$4=""),"",IF(每月预算!$B$29="雪崩法",计算_雪崩!AH175,计算_雪球!AH175))</f>
        <v/>
      </c>
      <c r="I156" s="43" t="str">
        <f aca="false">IF(OR($A156="",I$4=""),"",IF(每月预算!$B$29="雪崩法",计算_雪崩!AM175,计算_雪球!AM175))</f>
        <v/>
      </c>
      <c r="J156" s="43" t="str">
        <f aca="false">IF(OR($A156="",J$4=""),"",IF(每月预算!$B$29="雪崩法",计算_雪崩!AR175,计算_雪球!AR175))</f>
        <v/>
      </c>
      <c r="K156" s="43" t="str">
        <f aca="false">IF(OR($A156="",K$4=""),"",IF(每月预算!$B$29="雪崩法",计算_雪崩!AW175,计算_雪球!AW175))</f>
        <v/>
      </c>
      <c r="L156" s="43" t="str">
        <f aca="false">IF(OR($A156="",L$4=""),"",IF(每月预算!$B$29="雪崩法",计算_雪崩!BB175,计算_雪球!BB175))</f>
        <v/>
      </c>
      <c r="M156" s="43" t="str">
        <f aca="false">IF($A156="","",IF(每月预算!$B$29="雪崩法",计算_雪崩!BC175,计算_雪球!BC175))</f>
        <v/>
      </c>
      <c r="N156" s="43" t="str">
        <f aca="false">IF($A156="","",IF(每月预算!$B$29="雪崩法",计算_雪崩!BE175,计算_雪球!BE175))</f>
        <v/>
      </c>
      <c r="O156" s="43" t="str">
        <f aca="false">IF($A156="","",IF(每月预算!$B$29="雪崩法",计算_雪崩!BD175,计算_雪球!BD175))</f>
        <v/>
      </c>
    </row>
    <row r="157" customFormat="false" ht="15" hidden="false" customHeight="false" outlineLevel="0" collapsed="false">
      <c r="A157" s="24" t="str">
        <f aca="false">IF(153&lt;=$R$2,153,"")</f>
        <v/>
      </c>
      <c r="B157" s="42" t="str">
        <f aca="false">IF($A157="","",计算_雪球!B176)</f>
        <v/>
      </c>
      <c r="C157" s="43" t="str">
        <f aca="false">IF(OR($A157="",C$4=""),"",IF(每月预算!$B$29="雪崩法",计算_雪崩!I176,计算_雪球!I176))</f>
        <v/>
      </c>
      <c r="D157" s="43" t="str">
        <f aca="false">IF(OR($A157="",D$4=""),"",IF(每月预算!$B$29="雪崩法",计算_雪崩!N176,计算_雪球!N176))</f>
        <v/>
      </c>
      <c r="E157" s="43" t="str">
        <f aca="false">IF(OR($A157="",E$4=""),"",IF(每月预算!$B$29="雪崩法",计算_雪崩!S176,计算_雪球!S176))</f>
        <v/>
      </c>
      <c r="F157" s="43" t="str">
        <f aca="false">IF(OR($A157="",F$4=""),"",IF(每月预算!$B$29="雪崩法",计算_雪崩!X176,计算_雪球!X176))</f>
        <v/>
      </c>
      <c r="G157" s="43" t="str">
        <f aca="false">IF(OR($A157="",G$4=""),"",IF(每月预算!$B$29="雪崩法",计算_雪崩!AC176,计算_雪球!AC176))</f>
        <v/>
      </c>
      <c r="H157" s="43" t="str">
        <f aca="false">IF(OR($A157="",H$4=""),"",IF(每月预算!$B$29="雪崩法",计算_雪崩!AH176,计算_雪球!AH176))</f>
        <v/>
      </c>
      <c r="I157" s="43" t="str">
        <f aca="false">IF(OR($A157="",I$4=""),"",IF(每月预算!$B$29="雪崩法",计算_雪崩!AM176,计算_雪球!AM176))</f>
        <v/>
      </c>
      <c r="J157" s="43" t="str">
        <f aca="false">IF(OR($A157="",J$4=""),"",IF(每月预算!$B$29="雪崩法",计算_雪崩!AR176,计算_雪球!AR176))</f>
        <v/>
      </c>
      <c r="K157" s="43" t="str">
        <f aca="false">IF(OR($A157="",K$4=""),"",IF(每月预算!$B$29="雪崩法",计算_雪崩!AW176,计算_雪球!AW176))</f>
        <v/>
      </c>
      <c r="L157" s="43" t="str">
        <f aca="false">IF(OR($A157="",L$4=""),"",IF(每月预算!$B$29="雪崩法",计算_雪崩!BB176,计算_雪球!BB176))</f>
        <v/>
      </c>
      <c r="M157" s="43" t="str">
        <f aca="false">IF($A157="","",IF(每月预算!$B$29="雪崩法",计算_雪崩!BC176,计算_雪球!BC176))</f>
        <v/>
      </c>
      <c r="N157" s="43" t="str">
        <f aca="false">IF($A157="","",IF(每月预算!$B$29="雪崩法",计算_雪崩!BE176,计算_雪球!BE176))</f>
        <v/>
      </c>
      <c r="O157" s="43" t="str">
        <f aca="false">IF($A157="","",IF(每月预算!$B$29="雪崩法",计算_雪崩!BD176,计算_雪球!BD176))</f>
        <v/>
      </c>
    </row>
    <row r="158" customFormat="false" ht="15" hidden="false" customHeight="false" outlineLevel="0" collapsed="false">
      <c r="A158" s="24" t="str">
        <f aca="false">IF(154&lt;=$R$2,154,"")</f>
        <v/>
      </c>
      <c r="B158" s="42" t="str">
        <f aca="false">IF($A158="","",计算_雪球!B177)</f>
        <v/>
      </c>
      <c r="C158" s="43" t="str">
        <f aca="false">IF(OR($A158="",C$4=""),"",IF(每月预算!$B$29="雪崩法",计算_雪崩!I177,计算_雪球!I177))</f>
        <v/>
      </c>
      <c r="D158" s="43" t="str">
        <f aca="false">IF(OR($A158="",D$4=""),"",IF(每月预算!$B$29="雪崩法",计算_雪崩!N177,计算_雪球!N177))</f>
        <v/>
      </c>
      <c r="E158" s="43" t="str">
        <f aca="false">IF(OR($A158="",E$4=""),"",IF(每月预算!$B$29="雪崩法",计算_雪崩!S177,计算_雪球!S177))</f>
        <v/>
      </c>
      <c r="F158" s="43" t="str">
        <f aca="false">IF(OR($A158="",F$4=""),"",IF(每月预算!$B$29="雪崩法",计算_雪崩!X177,计算_雪球!X177))</f>
        <v/>
      </c>
      <c r="G158" s="43" t="str">
        <f aca="false">IF(OR($A158="",G$4=""),"",IF(每月预算!$B$29="雪崩法",计算_雪崩!AC177,计算_雪球!AC177))</f>
        <v/>
      </c>
      <c r="H158" s="43" t="str">
        <f aca="false">IF(OR($A158="",H$4=""),"",IF(每月预算!$B$29="雪崩法",计算_雪崩!AH177,计算_雪球!AH177))</f>
        <v/>
      </c>
      <c r="I158" s="43" t="str">
        <f aca="false">IF(OR($A158="",I$4=""),"",IF(每月预算!$B$29="雪崩法",计算_雪崩!AM177,计算_雪球!AM177))</f>
        <v/>
      </c>
      <c r="J158" s="43" t="str">
        <f aca="false">IF(OR($A158="",J$4=""),"",IF(每月预算!$B$29="雪崩法",计算_雪崩!AR177,计算_雪球!AR177))</f>
        <v/>
      </c>
      <c r="K158" s="43" t="str">
        <f aca="false">IF(OR($A158="",K$4=""),"",IF(每月预算!$B$29="雪崩法",计算_雪崩!AW177,计算_雪球!AW177))</f>
        <v/>
      </c>
      <c r="L158" s="43" t="str">
        <f aca="false">IF(OR($A158="",L$4=""),"",IF(每月预算!$B$29="雪崩法",计算_雪崩!BB177,计算_雪球!BB177))</f>
        <v/>
      </c>
      <c r="M158" s="43" t="str">
        <f aca="false">IF($A158="","",IF(每月预算!$B$29="雪崩法",计算_雪崩!BC177,计算_雪球!BC177))</f>
        <v/>
      </c>
      <c r="N158" s="43" t="str">
        <f aca="false">IF($A158="","",IF(每月预算!$B$29="雪崩法",计算_雪崩!BE177,计算_雪球!BE177))</f>
        <v/>
      </c>
      <c r="O158" s="43" t="str">
        <f aca="false">IF($A158="","",IF(每月预算!$B$29="雪崩法",计算_雪崩!BD177,计算_雪球!BD177))</f>
        <v/>
      </c>
    </row>
    <row r="159" customFormat="false" ht="15" hidden="false" customHeight="false" outlineLevel="0" collapsed="false">
      <c r="A159" s="24" t="str">
        <f aca="false">IF(155&lt;=$R$2,155,"")</f>
        <v/>
      </c>
      <c r="B159" s="42" t="str">
        <f aca="false">IF($A159="","",计算_雪球!B178)</f>
        <v/>
      </c>
      <c r="C159" s="43" t="str">
        <f aca="false">IF(OR($A159="",C$4=""),"",IF(每月预算!$B$29="雪崩法",计算_雪崩!I178,计算_雪球!I178))</f>
        <v/>
      </c>
      <c r="D159" s="43" t="str">
        <f aca="false">IF(OR($A159="",D$4=""),"",IF(每月预算!$B$29="雪崩法",计算_雪崩!N178,计算_雪球!N178))</f>
        <v/>
      </c>
      <c r="E159" s="43" t="str">
        <f aca="false">IF(OR($A159="",E$4=""),"",IF(每月预算!$B$29="雪崩法",计算_雪崩!S178,计算_雪球!S178))</f>
        <v/>
      </c>
      <c r="F159" s="43" t="str">
        <f aca="false">IF(OR($A159="",F$4=""),"",IF(每月预算!$B$29="雪崩法",计算_雪崩!X178,计算_雪球!X178))</f>
        <v/>
      </c>
      <c r="G159" s="43" t="str">
        <f aca="false">IF(OR($A159="",G$4=""),"",IF(每月预算!$B$29="雪崩法",计算_雪崩!AC178,计算_雪球!AC178))</f>
        <v/>
      </c>
      <c r="H159" s="43" t="str">
        <f aca="false">IF(OR($A159="",H$4=""),"",IF(每月预算!$B$29="雪崩法",计算_雪崩!AH178,计算_雪球!AH178))</f>
        <v/>
      </c>
      <c r="I159" s="43" t="str">
        <f aca="false">IF(OR($A159="",I$4=""),"",IF(每月预算!$B$29="雪崩法",计算_雪崩!AM178,计算_雪球!AM178))</f>
        <v/>
      </c>
      <c r="J159" s="43" t="str">
        <f aca="false">IF(OR($A159="",J$4=""),"",IF(每月预算!$B$29="雪崩法",计算_雪崩!AR178,计算_雪球!AR178))</f>
        <v/>
      </c>
      <c r="K159" s="43" t="str">
        <f aca="false">IF(OR($A159="",K$4=""),"",IF(每月预算!$B$29="雪崩法",计算_雪崩!AW178,计算_雪球!AW178))</f>
        <v/>
      </c>
      <c r="L159" s="43" t="str">
        <f aca="false">IF(OR($A159="",L$4=""),"",IF(每月预算!$B$29="雪崩法",计算_雪崩!BB178,计算_雪球!BB178))</f>
        <v/>
      </c>
      <c r="M159" s="43" t="str">
        <f aca="false">IF($A159="","",IF(每月预算!$B$29="雪崩法",计算_雪崩!BC178,计算_雪球!BC178))</f>
        <v/>
      </c>
      <c r="N159" s="43" t="str">
        <f aca="false">IF($A159="","",IF(每月预算!$B$29="雪崩法",计算_雪崩!BE178,计算_雪球!BE178))</f>
        <v/>
      </c>
      <c r="O159" s="43" t="str">
        <f aca="false">IF($A159="","",IF(每月预算!$B$29="雪崩法",计算_雪崩!BD178,计算_雪球!BD178))</f>
        <v/>
      </c>
    </row>
    <row r="160" customFormat="false" ht="15" hidden="false" customHeight="false" outlineLevel="0" collapsed="false">
      <c r="A160" s="24" t="str">
        <f aca="false">IF(156&lt;=$R$2,156,"")</f>
        <v/>
      </c>
      <c r="B160" s="42" t="str">
        <f aca="false">IF($A160="","",计算_雪球!B179)</f>
        <v/>
      </c>
      <c r="C160" s="43" t="str">
        <f aca="false">IF(OR($A160="",C$4=""),"",IF(每月预算!$B$29="雪崩法",计算_雪崩!I179,计算_雪球!I179))</f>
        <v/>
      </c>
      <c r="D160" s="43" t="str">
        <f aca="false">IF(OR($A160="",D$4=""),"",IF(每月预算!$B$29="雪崩法",计算_雪崩!N179,计算_雪球!N179))</f>
        <v/>
      </c>
      <c r="E160" s="43" t="str">
        <f aca="false">IF(OR($A160="",E$4=""),"",IF(每月预算!$B$29="雪崩法",计算_雪崩!S179,计算_雪球!S179))</f>
        <v/>
      </c>
      <c r="F160" s="43" t="str">
        <f aca="false">IF(OR($A160="",F$4=""),"",IF(每月预算!$B$29="雪崩法",计算_雪崩!X179,计算_雪球!X179))</f>
        <v/>
      </c>
      <c r="G160" s="43" t="str">
        <f aca="false">IF(OR($A160="",G$4=""),"",IF(每月预算!$B$29="雪崩法",计算_雪崩!AC179,计算_雪球!AC179))</f>
        <v/>
      </c>
      <c r="H160" s="43" t="str">
        <f aca="false">IF(OR($A160="",H$4=""),"",IF(每月预算!$B$29="雪崩法",计算_雪崩!AH179,计算_雪球!AH179))</f>
        <v/>
      </c>
      <c r="I160" s="43" t="str">
        <f aca="false">IF(OR($A160="",I$4=""),"",IF(每月预算!$B$29="雪崩法",计算_雪崩!AM179,计算_雪球!AM179))</f>
        <v/>
      </c>
      <c r="J160" s="43" t="str">
        <f aca="false">IF(OR($A160="",J$4=""),"",IF(每月预算!$B$29="雪崩法",计算_雪崩!AR179,计算_雪球!AR179))</f>
        <v/>
      </c>
      <c r="K160" s="43" t="str">
        <f aca="false">IF(OR($A160="",K$4=""),"",IF(每月预算!$B$29="雪崩法",计算_雪崩!AW179,计算_雪球!AW179))</f>
        <v/>
      </c>
      <c r="L160" s="43" t="str">
        <f aca="false">IF(OR($A160="",L$4=""),"",IF(每月预算!$B$29="雪崩法",计算_雪崩!BB179,计算_雪球!BB179))</f>
        <v/>
      </c>
      <c r="M160" s="43" t="str">
        <f aca="false">IF($A160="","",IF(每月预算!$B$29="雪崩法",计算_雪崩!BC179,计算_雪球!BC179))</f>
        <v/>
      </c>
      <c r="N160" s="43" t="str">
        <f aca="false">IF($A160="","",IF(每月预算!$B$29="雪崩法",计算_雪崩!BE179,计算_雪球!BE179))</f>
        <v/>
      </c>
      <c r="O160" s="43" t="str">
        <f aca="false">IF($A160="","",IF(每月预算!$B$29="雪崩法",计算_雪崩!BD179,计算_雪球!BD179))</f>
        <v/>
      </c>
    </row>
    <row r="161" customFormat="false" ht="15" hidden="false" customHeight="false" outlineLevel="0" collapsed="false">
      <c r="A161" s="24" t="str">
        <f aca="false">IF(157&lt;=$R$2,157,"")</f>
        <v/>
      </c>
      <c r="B161" s="42" t="str">
        <f aca="false">IF($A161="","",计算_雪球!B180)</f>
        <v/>
      </c>
      <c r="C161" s="43" t="str">
        <f aca="false">IF(OR($A161="",C$4=""),"",IF(每月预算!$B$29="雪崩法",计算_雪崩!I180,计算_雪球!I180))</f>
        <v/>
      </c>
      <c r="D161" s="43" t="str">
        <f aca="false">IF(OR($A161="",D$4=""),"",IF(每月预算!$B$29="雪崩法",计算_雪崩!N180,计算_雪球!N180))</f>
        <v/>
      </c>
      <c r="E161" s="43" t="str">
        <f aca="false">IF(OR($A161="",E$4=""),"",IF(每月预算!$B$29="雪崩法",计算_雪崩!S180,计算_雪球!S180))</f>
        <v/>
      </c>
      <c r="F161" s="43" t="str">
        <f aca="false">IF(OR($A161="",F$4=""),"",IF(每月预算!$B$29="雪崩法",计算_雪崩!X180,计算_雪球!X180))</f>
        <v/>
      </c>
      <c r="G161" s="43" t="str">
        <f aca="false">IF(OR($A161="",G$4=""),"",IF(每月预算!$B$29="雪崩法",计算_雪崩!AC180,计算_雪球!AC180))</f>
        <v/>
      </c>
      <c r="H161" s="43" t="str">
        <f aca="false">IF(OR($A161="",H$4=""),"",IF(每月预算!$B$29="雪崩法",计算_雪崩!AH180,计算_雪球!AH180))</f>
        <v/>
      </c>
      <c r="I161" s="43" t="str">
        <f aca="false">IF(OR($A161="",I$4=""),"",IF(每月预算!$B$29="雪崩法",计算_雪崩!AM180,计算_雪球!AM180))</f>
        <v/>
      </c>
      <c r="J161" s="43" t="str">
        <f aca="false">IF(OR($A161="",J$4=""),"",IF(每月预算!$B$29="雪崩法",计算_雪崩!AR180,计算_雪球!AR180))</f>
        <v/>
      </c>
      <c r="K161" s="43" t="str">
        <f aca="false">IF(OR($A161="",K$4=""),"",IF(每月预算!$B$29="雪崩法",计算_雪崩!AW180,计算_雪球!AW180))</f>
        <v/>
      </c>
      <c r="L161" s="43" t="str">
        <f aca="false">IF(OR($A161="",L$4=""),"",IF(每月预算!$B$29="雪崩法",计算_雪崩!BB180,计算_雪球!BB180))</f>
        <v/>
      </c>
      <c r="M161" s="43" t="str">
        <f aca="false">IF($A161="","",IF(每月预算!$B$29="雪崩法",计算_雪崩!BC180,计算_雪球!BC180))</f>
        <v/>
      </c>
      <c r="N161" s="43" t="str">
        <f aca="false">IF($A161="","",IF(每月预算!$B$29="雪崩法",计算_雪崩!BE180,计算_雪球!BE180))</f>
        <v/>
      </c>
      <c r="O161" s="43" t="str">
        <f aca="false">IF($A161="","",IF(每月预算!$B$29="雪崩法",计算_雪崩!BD180,计算_雪球!BD180))</f>
        <v/>
      </c>
    </row>
    <row r="162" customFormat="false" ht="15" hidden="false" customHeight="false" outlineLevel="0" collapsed="false">
      <c r="A162" s="24" t="str">
        <f aca="false">IF(158&lt;=$R$2,158,"")</f>
        <v/>
      </c>
      <c r="B162" s="42" t="str">
        <f aca="false">IF($A162="","",计算_雪球!B181)</f>
        <v/>
      </c>
      <c r="C162" s="43" t="str">
        <f aca="false">IF(OR($A162="",C$4=""),"",IF(每月预算!$B$29="雪崩法",计算_雪崩!I181,计算_雪球!I181))</f>
        <v/>
      </c>
      <c r="D162" s="43" t="str">
        <f aca="false">IF(OR($A162="",D$4=""),"",IF(每月预算!$B$29="雪崩法",计算_雪崩!N181,计算_雪球!N181))</f>
        <v/>
      </c>
      <c r="E162" s="43" t="str">
        <f aca="false">IF(OR($A162="",E$4=""),"",IF(每月预算!$B$29="雪崩法",计算_雪崩!S181,计算_雪球!S181))</f>
        <v/>
      </c>
      <c r="F162" s="43" t="str">
        <f aca="false">IF(OR($A162="",F$4=""),"",IF(每月预算!$B$29="雪崩法",计算_雪崩!X181,计算_雪球!X181))</f>
        <v/>
      </c>
      <c r="G162" s="43" t="str">
        <f aca="false">IF(OR($A162="",G$4=""),"",IF(每月预算!$B$29="雪崩法",计算_雪崩!AC181,计算_雪球!AC181))</f>
        <v/>
      </c>
      <c r="H162" s="43" t="str">
        <f aca="false">IF(OR($A162="",H$4=""),"",IF(每月预算!$B$29="雪崩法",计算_雪崩!AH181,计算_雪球!AH181))</f>
        <v/>
      </c>
      <c r="I162" s="43" t="str">
        <f aca="false">IF(OR($A162="",I$4=""),"",IF(每月预算!$B$29="雪崩法",计算_雪崩!AM181,计算_雪球!AM181))</f>
        <v/>
      </c>
      <c r="J162" s="43" t="str">
        <f aca="false">IF(OR($A162="",J$4=""),"",IF(每月预算!$B$29="雪崩法",计算_雪崩!AR181,计算_雪球!AR181))</f>
        <v/>
      </c>
      <c r="K162" s="43" t="str">
        <f aca="false">IF(OR($A162="",K$4=""),"",IF(每月预算!$B$29="雪崩法",计算_雪崩!AW181,计算_雪球!AW181))</f>
        <v/>
      </c>
      <c r="L162" s="43" t="str">
        <f aca="false">IF(OR($A162="",L$4=""),"",IF(每月预算!$B$29="雪崩法",计算_雪崩!BB181,计算_雪球!BB181))</f>
        <v/>
      </c>
      <c r="M162" s="43" t="str">
        <f aca="false">IF($A162="","",IF(每月预算!$B$29="雪崩法",计算_雪崩!BC181,计算_雪球!BC181))</f>
        <v/>
      </c>
      <c r="N162" s="43" t="str">
        <f aca="false">IF($A162="","",IF(每月预算!$B$29="雪崩法",计算_雪崩!BE181,计算_雪球!BE181))</f>
        <v/>
      </c>
      <c r="O162" s="43" t="str">
        <f aca="false">IF($A162="","",IF(每月预算!$B$29="雪崩法",计算_雪崩!BD181,计算_雪球!BD181))</f>
        <v/>
      </c>
    </row>
    <row r="163" customFormat="false" ht="15" hidden="false" customHeight="false" outlineLevel="0" collapsed="false">
      <c r="A163" s="24" t="str">
        <f aca="false">IF(159&lt;=$R$2,159,"")</f>
        <v/>
      </c>
      <c r="B163" s="42" t="str">
        <f aca="false">IF($A163="","",计算_雪球!B182)</f>
        <v/>
      </c>
      <c r="C163" s="43" t="str">
        <f aca="false">IF(OR($A163="",C$4=""),"",IF(每月预算!$B$29="雪崩法",计算_雪崩!I182,计算_雪球!I182))</f>
        <v/>
      </c>
      <c r="D163" s="43" t="str">
        <f aca="false">IF(OR($A163="",D$4=""),"",IF(每月预算!$B$29="雪崩法",计算_雪崩!N182,计算_雪球!N182))</f>
        <v/>
      </c>
      <c r="E163" s="43" t="str">
        <f aca="false">IF(OR($A163="",E$4=""),"",IF(每月预算!$B$29="雪崩法",计算_雪崩!S182,计算_雪球!S182))</f>
        <v/>
      </c>
      <c r="F163" s="43" t="str">
        <f aca="false">IF(OR($A163="",F$4=""),"",IF(每月预算!$B$29="雪崩法",计算_雪崩!X182,计算_雪球!X182))</f>
        <v/>
      </c>
      <c r="G163" s="43" t="str">
        <f aca="false">IF(OR($A163="",G$4=""),"",IF(每月预算!$B$29="雪崩法",计算_雪崩!AC182,计算_雪球!AC182))</f>
        <v/>
      </c>
      <c r="H163" s="43" t="str">
        <f aca="false">IF(OR($A163="",H$4=""),"",IF(每月预算!$B$29="雪崩法",计算_雪崩!AH182,计算_雪球!AH182))</f>
        <v/>
      </c>
      <c r="I163" s="43" t="str">
        <f aca="false">IF(OR($A163="",I$4=""),"",IF(每月预算!$B$29="雪崩法",计算_雪崩!AM182,计算_雪球!AM182))</f>
        <v/>
      </c>
      <c r="J163" s="43" t="str">
        <f aca="false">IF(OR($A163="",J$4=""),"",IF(每月预算!$B$29="雪崩法",计算_雪崩!AR182,计算_雪球!AR182))</f>
        <v/>
      </c>
      <c r="K163" s="43" t="str">
        <f aca="false">IF(OR($A163="",K$4=""),"",IF(每月预算!$B$29="雪崩法",计算_雪崩!AW182,计算_雪球!AW182))</f>
        <v/>
      </c>
      <c r="L163" s="43" t="str">
        <f aca="false">IF(OR($A163="",L$4=""),"",IF(每月预算!$B$29="雪崩法",计算_雪崩!BB182,计算_雪球!BB182))</f>
        <v/>
      </c>
      <c r="M163" s="43" t="str">
        <f aca="false">IF($A163="","",IF(每月预算!$B$29="雪崩法",计算_雪崩!BC182,计算_雪球!BC182))</f>
        <v/>
      </c>
      <c r="N163" s="43" t="str">
        <f aca="false">IF($A163="","",IF(每月预算!$B$29="雪崩法",计算_雪崩!BE182,计算_雪球!BE182))</f>
        <v/>
      </c>
      <c r="O163" s="43" t="str">
        <f aca="false">IF($A163="","",IF(每月预算!$B$29="雪崩法",计算_雪崩!BD182,计算_雪球!BD182))</f>
        <v/>
      </c>
    </row>
    <row r="164" customFormat="false" ht="15" hidden="false" customHeight="false" outlineLevel="0" collapsed="false">
      <c r="A164" s="24" t="str">
        <f aca="false">IF(160&lt;=$R$2,160,"")</f>
        <v/>
      </c>
      <c r="B164" s="42" t="str">
        <f aca="false">IF($A164="","",计算_雪球!B183)</f>
        <v/>
      </c>
      <c r="C164" s="43" t="str">
        <f aca="false">IF(OR($A164="",C$4=""),"",IF(每月预算!$B$29="雪崩法",计算_雪崩!I183,计算_雪球!I183))</f>
        <v/>
      </c>
      <c r="D164" s="43" t="str">
        <f aca="false">IF(OR($A164="",D$4=""),"",IF(每月预算!$B$29="雪崩法",计算_雪崩!N183,计算_雪球!N183))</f>
        <v/>
      </c>
      <c r="E164" s="43" t="str">
        <f aca="false">IF(OR($A164="",E$4=""),"",IF(每月预算!$B$29="雪崩法",计算_雪崩!S183,计算_雪球!S183))</f>
        <v/>
      </c>
      <c r="F164" s="43" t="str">
        <f aca="false">IF(OR($A164="",F$4=""),"",IF(每月预算!$B$29="雪崩法",计算_雪崩!X183,计算_雪球!X183))</f>
        <v/>
      </c>
      <c r="G164" s="43" t="str">
        <f aca="false">IF(OR($A164="",G$4=""),"",IF(每月预算!$B$29="雪崩法",计算_雪崩!AC183,计算_雪球!AC183))</f>
        <v/>
      </c>
      <c r="H164" s="43" t="str">
        <f aca="false">IF(OR($A164="",H$4=""),"",IF(每月预算!$B$29="雪崩法",计算_雪崩!AH183,计算_雪球!AH183))</f>
        <v/>
      </c>
      <c r="I164" s="43" t="str">
        <f aca="false">IF(OR($A164="",I$4=""),"",IF(每月预算!$B$29="雪崩法",计算_雪崩!AM183,计算_雪球!AM183))</f>
        <v/>
      </c>
      <c r="J164" s="43" t="str">
        <f aca="false">IF(OR($A164="",J$4=""),"",IF(每月预算!$B$29="雪崩法",计算_雪崩!AR183,计算_雪球!AR183))</f>
        <v/>
      </c>
      <c r="K164" s="43" t="str">
        <f aca="false">IF(OR($A164="",K$4=""),"",IF(每月预算!$B$29="雪崩法",计算_雪崩!AW183,计算_雪球!AW183))</f>
        <v/>
      </c>
      <c r="L164" s="43" t="str">
        <f aca="false">IF(OR($A164="",L$4=""),"",IF(每月预算!$B$29="雪崩法",计算_雪崩!BB183,计算_雪球!BB183))</f>
        <v/>
      </c>
      <c r="M164" s="43" t="str">
        <f aca="false">IF($A164="","",IF(每月预算!$B$29="雪崩法",计算_雪崩!BC183,计算_雪球!BC183))</f>
        <v/>
      </c>
      <c r="N164" s="43" t="str">
        <f aca="false">IF($A164="","",IF(每月预算!$B$29="雪崩法",计算_雪崩!BE183,计算_雪球!BE183))</f>
        <v/>
      </c>
      <c r="O164" s="43" t="str">
        <f aca="false">IF($A164="","",IF(每月预算!$B$29="雪崩法",计算_雪崩!BD183,计算_雪球!BD183))</f>
        <v/>
      </c>
    </row>
    <row r="165" customFormat="false" ht="15" hidden="false" customHeight="false" outlineLevel="0" collapsed="false">
      <c r="A165" s="24" t="str">
        <f aca="false">IF(161&lt;=$R$2,161,"")</f>
        <v/>
      </c>
      <c r="B165" s="42" t="str">
        <f aca="false">IF($A165="","",计算_雪球!B184)</f>
        <v/>
      </c>
      <c r="C165" s="43" t="str">
        <f aca="false">IF(OR($A165="",C$4=""),"",IF(每月预算!$B$29="雪崩法",计算_雪崩!I184,计算_雪球!I184))</f>
        <v/>
      </c>
      <c r="D165" s="43" t="str">
        <f aca="false">IF(OR($A165="",D$4=""),"",IF(每月预算!$B$29="雪崩法",计算_雪崩!N184,计算_雪球!N184))</f>
        <v/>
      </c>
      <c r="E165" s="43" t="str">
        <f aca="false">IF(OR($A165="",E$4=""),"",IF(每月预算!$B$29="雪崩法",计算_雪崩!S184,计算_雪球!S184))</f>
        <v/>
      </c>
      <c r="F165" s="43" t="str">
        <f aca="false">IF(OR($A165="",F$4=""),"",IF(每月预算!$B$29="雪崩法",计算_雪崩!X184,计算_雪球!X184))</f>
        <v/>
      </c>
      <c r="G165" s="43" t="str">
        <f aca="false">IF(OR($A165="",G$4=""),"",IF(每月预算!$B$29="雪崩法",计算_雪崩!AC184,计算_雪球!AC184))</f>
        <v/>
      </c>
      <c r="H165" s="43" t="str">
        <f aca="false">IF(OR($A165="",H$4=""),"",IF(每月预算!$B$29="雪崩法",计算_雪崩!AH184,计算_雪球!AH184))</f>
        <v/>
      </c>
      <c r="I165" s="43" t="str">
        <f aca="false">IF(OR($A165="",I$4=""),"",IF(每月预算!$B$29="雪崩法",计算_雪崩!AM184,计算_雪球!AM184))</f>
        <v/>
      </c>
      <c r="J165" s="43" t="str">
        <f aca="false">IF(OR($A165="",J$4=""),"",IF(每月预算!$B$29="雪崩法",计算_雪崩!AR184,计算_雪球!AR184))</f>
        <v/>
      </c>
      <c r="K165" s="43" t="str">
        <f aca="false">IF(OR($A165="",K$4=""),"",IF(每月预算!$B$29="雪崩法",计算_雪崩!AW184,计算_雪球!AW184))</f>
        <v/>
      </c>
      <c r="L165" s="43" t="str">
        <f aca="false">IF(OR($A165="",L$4=""),"",IF(每月预算!$B$29="雪崩法",计算_雪崩!BB184,计算_雪球!BB184))</f>
        <v/>
      </c>
      <c r="M165" s="43" t="str">
        <f aca="false">IF($A165="","",IF(每月预算!$B$29="雪崩法",计算_雪崩!BC184,计算_雪球!BC184))</f>
        <v/>
      </c>
      <c r="N165" s="43" t="str">
        <f aca="false">IF($A165="","",IF(每月预算!$B$29="雪崩法",计算_雪崩!BE184,计算_雪球!BE184))</f>
        <v/>
      </c>
      <c r="O165" s="43" t="str">
        <f aca="false">IF($A165="","",IF(每月预算!$B$29="雪崩法",计算_雪崩!BD184,计算_雪球!BD184))</f>
        <v/>
      </c>
    </row>
    <row r="166" customFormat="false" ht="15" hidden="false" customHeight="false" outlineLevel="0" collapsed="false">
      <c r="A166" s="24" t="str">
        <f aca="false">IF(162&lt;=$R$2,162,"")</f>
        <v/>
      </c>
      <c r="B166" s="42" t="str">
        <f aca="false">IF($A166="","",计算_雪球!B185)</f>
        <v/>
      </c>
      <c r="C166" s="43" t="str">
        <f aca="false">IF(OR($A166="",C$4=""),"",IF(每月预算!$B$29="雪崩法",计算_雪崩!I185,计算_雪球!I185))</f>
        <v/>
      </c>
      <c r="D166" s="43" t="str">
        <f aca="false">IF(OR($A166="",D$4=""),"",IF(每月预算!$B$29="雪崩法",计算_雪崩!N185,计算_雪球!N185))</f>
        <v/>
      </c>
      <c r="E166" s="43" t="str">
        <f aca="false">IF(OR($A166="",E$4=""),"",IF(每月预算!$B$29="雪崩法",计算_雪崩!S185,计算_雪球!S185))</f>
        <v/>
      </c>
      <c r="F166" s="43" t="str">
        <f aca="false">IF(OR($A166="",F$4=""),"",IF(每月预算!$B$29="雪崩法",计算_雪崩!X185,计算_雪球!X185))</f>
        <v/>
      </c>
      <c r="G166" s="43" t="str">
        <f aca="false">IF(OR($A166="",G$4=""),"",IF(每月预算!$B$29="雪崩法",计算_雪崩!AC185,计算_雪球!AC185))</f>
        <v/>
      </c>
      <c r="H166" s="43" t="str">
        <f aca="false">IF(OR($A166="",H$4=""),"",IF(每月预算!$B$29="雪崩法",计算_雪崩!AH185,计算_雪球!AH185))</f>
        <v/>
      </c>
      <c r="I166" s="43" t="str">
        <f aca="false">IF(OR($A166="",I$4=""),"",IF(每月预算!$B$29="雪崩法",计算_雪崩!AM185,计算_雪球!AM185))</f>
        <v/>
      </c>
      <c r="J166" s="43" t="str">
        <f aca="false">IF(OR($A166="",J$4=""),"",IF(每月预算!$B$29="雪崩法",计算_雪崩!AR185,计算_雪球!AR185))</f>
        <v/>
      </c>
      <c r="K166" s="43" t="str">
        <f aca="false">IF(OR($A166="",K$4=""),"",IF(每月预算!$B$29="雪崩法",计算_雪崩!AW185,计算_雪球!AW185))</f>
        <v/>
      </c>
      <c r="L166" s="43" t="str">
        <f aca="false">IF(OR($A166="",L$4=""),"",IF(每月预算!$B$29="雪崩法",计算_雪崩!BB185,计算_雪球!BB185))</f>
        <v/>
      </c>
      <c r="M166" s="43" t="str">
        <f aca="false">IF($A166="","",IF(每月预算!$B$29="雪崩法",计算_雪崩!BC185,计算_雪球!BC185))</f>
        <v/>
      </c>
      <c r="N166" s="43" t="str">
        <f aca="false">IF($A166="","",IF(每月预算!$B$29="雪崩法",计算_雪崩!BE185,计算_雪球!BE185))</f>
        <v/>
      </c>
      <c r="O166" s="43" t="str">
        <f aca="false">IF($A166="","",IF(每月预算!$B$29="雪崩法",计算_雪崩!BD185,计算_雪球!BD185))</f>
        <v/>
      </c>
    </row>
    <row r="167" customFormat="false" ht="15" hidden="false" customHeight="false" outlineLevel="0" collapsed="false">
      <c r="A167" s="24" t="str">
        <f aca="false">IF(163&lt;=$R$2,163,"")</f>
        <v/>
      </c>
      <c r="B167" s="42" t="str">
        <f aca="false">IF($A167="","",计算_雪球!B186)</f>
        <v/>
      </c>
      <c r="C167" s="43" t="str">
        <f aca="false">IF(OR($A167="",C$4=""),"",IF(每月预算!$B$29="雪崩法",计算_雪崩!I186,计算_雪球!I186))</f>
        <v/>
      </c>
      <c r="D167" s="43" t="str">
        <f aca="false">IF(OR($A167="",D$4=""),"",IF(每月预算!$B$29="雪崩法",计算_雪崩!N186,计算_雪球!N186))</f>
        <v/>
      </c>
      <c r="E167" s="43" t="str">
        <f aca="false">IF(OR($A167="",E$4=""),"",IF(每月预算!$B$29="雪崩法",计算_雪崩!S186,计算_雪球!S186))</f>
        <v/>
      </c>
      <c r="F167" s="43" t="str">
        <f aca="false">IF(OR($A167="",F$4=""),"",IF(每月预算!$B$29="雪崩法",计算_雪崩!X186,计算_雪球!X186))</f>
        <v/>
      </c>
      <c r="G167" s="43" t="str">
        <f aca="false">IF(OR($A167="",G$4=""),"",IF(每月预算!$B$29="雪崩法",计算_雪崩!AC186,计算_雪球!AC186))</f>
        <v/>
      </c>
      <c r="H167" s="43" t="str">
        <f aca="false">IF(OR($A167="",H$4=""),"",IF(每月预算!$B$29="雪崩法",计算_雪崩!AH186,计算_雪球!AH186))</f>
        <v/>
      </c>
      <c r="I167" s="43" t="str">
        <f aca="false">IF(OR($A167="",I$4=""),"",IF(每月预算!$B$29="雪崩法",计算_雪崩!AM186,计算_雪球!AM186))</f>
        <v/>
      </c>
      <c r="J167" s="43" t="str">
        <f aca="false">IF(OR($A167="",J$4=""),"",IF(每月预算!$B$29="雪崩法",计算_雪崩!AR186,计算_雪球!AR186))</f>
        <v/>
      </c>
      <c r="K167" s="43" t="str">
        <f aca="false">IF(OR($A167="",K$4=""),"",IF(每月预算!$B$29="雪崩法",计算_雪崩!AW186,计算_雪球!AW186))</f>
        <v/>
      </c>
      <c r="L167" s="43" t="str">
        <f aca="false">IF(OR($A167="",L$4=""),"",IF(每月预算!$B$29="雪崩法",计算_雪崩!BB186,计算_雪球!BB186))</f>
        <v/>
      </c>
      <c r="M167" s="43" t="str">
        <f aca="false">IF($A167="","",IF(每月预算!$B$29="雪崩法",计算_雪崩!BC186,计算_雪球!BC186))</f>
        <v/>
      </c>
      <c r="N167" s="43" t="str">
        <f aca="false">IF($A167="","",IF(每月预算!$B$29="雪崩法",计算_雪崩!BE186,计算_雪球!BE186))</f>
        <v/>
      </c>
      <c r="O167" s="43" t="str">
        <f aca="false">IF($A167="","",IF(每月预算!$B$29="雪崩法",计算_雪崩!BD186,计算_雪球!BD186))</f>
        <v/>
      </c>
    </row>
    <row r="168" customFormat="false" ht="15" hidden="false" customHeight="false" outlineLevel="0" collapsed="false">
      <c r="A168" s="24" t="str">
        <f aca="false">IF(164&lt;=$R$2,164,"")</f>
        <v/>
      </c>
      <c r="B168" s="42" t="str">
        <f aca="false">IF($A168="","",计算_雪球!B187)</f>
        <v/>
      </c>
      <c r="C168" s="43" t="str">
        <f aca="false">IF(OR($A168="",C$4=""),"",IF(每月预算!$B$29="雪崩法",计算_雪崩!I187,计算_雪球!I187))</f>
        <v/>
      </c>
      <c r="D168" s="43" t="str">
        <f aca="false">IF(OR($A168="",D$4=""),"",IF(每月预算!$B$29="雪崩法",计算_雪崩!N187,计算_雪球!N187))</f>
        <v/>
      </c>
      <c r="E168" s="43" t="str">
        <f aca="false">IF(OR($A168="",E$4=""),"",IF(每月预算!$B$29="雪崩法",计算_雪崩!S187,计算_雪球!S187))</f>
        <v/>
      </c>
      <c r="F168" s="43" t="str">
        <f aca="false">IF(OR($A168="",F$4=""),"",IF(每月预算!$B$29="雪崩法",计算_雪崩!X187,计算_雪球!X187))</f>
        <v/>
      </c>
      <c r="G168" s="43" t="str">
        <f aca="false">IF(OR($A168="",G$4=""),"",IF(每月预算!$B$29="雪崩法",计算_雪崩!AC187,计算_雪球!AC187))</f>
        <v/>
      </c>
      <c r="H168" s="43" t="str">
        <f aca="false">IF(OR($A168="",H$4=""),"",IF(每月预算!$B$29="雪崩法",计算_雪崩!AH187,计算_雪球!AH187))</f>
        <v/>
      </c>
      <c r="I168" s="43" t="str">
        <f aca="false">IF(OR($A168="",I$4=""),"",IF(每月预算!$B$29="雪崩法",计算_雪崩!AM187,计算_雪球!AM187))</f>
        <v/>
      </c>
      <c r="J168" s="43" t="str">
        <f aca="false">IF(OR($A168="",J$4=""),"",IF(每月预算!$B$29="雪崩法",计算_雪崩!AR187,计算_雪球!AR187))</f>
        <v/>
      </c>
      <c r="K168" s="43" t="str">
        <f aca="false">IF(OR($A168="",K$4=""),"",IF(每月预算!$B$29="雪崩法",计算_雪崩!AW187,计算_雪球!AW187))</f>
        <v/>
      </c>
      <c r="L168" s="43" t="str">
        <f aca="false">IF(OR($A168="",L$4=""),"",IF(每月预算!$B$29="雪崩法",计算_雪崩!BB187,计算_雪球!BB187))</f>
        <v/>
      </c>
      <c r="M168" s="43" t="str">
        <f aca="false">IF($A168="","",IF(每月预算!$B$29="雪崩法",计算_雪崩!BC187,计算_雪球!BC187))</f>
        <v/>
      </c>
      <c r="N168" s="43" t="str">
        <f aca="false">IF($A168="","",IF(每月预算!$B$29="雪崩法",计算_雪崩!BE187,计算_雪球!BE187))</f>
        <v/>
      </c>
      <c r="O168" s="43" t="str">
        <f aca="false">IF($A168="","",IF(每月预算!$B$29="雪崩法",计算_雪崩!BD187,计算_雪球!BD187))</f>
        <v/>
      </c>
    </row>
    <row r="169" customFormat="false" ht="15" hidden="false" customHeight="false" outlineLevel="0" collapsed="false">
      <c r="A169" s="24" t="str">
        <f aca="false">IF(165&lt;=$R$2,165,"")</f>
        <v/>
      </c>
      <c r="B169" s="42" t="str">
        <f aca="false">IF($A169="","",计算_雪球!B188)</f>
        <v/>
      </c>
      <c r="C169" s="43" t="str">
        <f aca="false">IF(OR($A169="",C$4=""),"",IF(每月预算!$B$29="雪崩法",计算_雪崩!I188,计算_雪球!I188))</f>
        <v/>
      </c>
      <c r="D169" s="43" t="str">
        <f aca="false">IF(OR($A169="",D$4=""),"",IF(每月预算!$B$29="雪崩法",计算_雪崩!N188,计算_雪球!N188))</f>
        <v/>
      </c>
      <c r="E169" s="43" t="str">
        <f aca="false">IF(OR($A169="",E$4=""),"",IF(每月预算!$B$29="雪崩法",计算_雪崩!S188,计算_雪球!S188))</f>
        <v/>
      </c>
      <c r="F169" s="43" t="str">
        <f aca="false">IF(OR($A169="",F$4=""),"",IF(每月预算!$B$29="雪崩法",计算_雪崩!X188,计算_雪球!X188))</f>
        <v/>
      </c>
      <c r="G169" s="43" t="str">
        <f aca="false">IF(OR($A169="",G$4=""),"",IF(每月预算!$B$29="雪崩法",计算_雪崩!AC188,计算_雪球!AC188))</f>
        <v/>
      </c>
      <c r="H169" s="43" t="str">
        <f aca="false">IF(OR($A169="",H$4=""),"",IF(每月预算!$B$29="雪崩法",计算_雪崩!AH188,计算_雪球!AH188))</f>
        <v/>
      </c>
      <c r="I169" s="43" t="str">
        <f aca="false">IF(OR($A169="",I$4=""),"",IF(每月预算!$B$29="雪崩法",计算_雪崩!AM188,计算_雪球!AM188))</f>
        <v/>
      </c>
      <c r="J169" s="43" t="str">
        <f aca="false">IF(OR($A169="",J$4=""),"",IF(每月预算!$B$29="雪崩法",计算_雪崩!AR188,计算_雪球!AR188))</f>
        <v/>
      </c>
      <c r="K169" s="43" t="str">
        <f aca="false">IF(OR($A169="",K$4=""),"",IF(每月预算!$B$29="雪崩法",计算_雪崩!AW188,计算_雪球!AW188))</f>
        <v/>
      </c>
      <c r="L169" s="43" t="str">
        <f aca="false">IF(OR($A169="",L$4=""),"",IF(每月预算!$B$29="雪崩法",计算_雪崩!BB188,计算_雪球!BB188))</f>
        <v/>
      </c>
      <c r="M169" s="43" t="str">
        <f aca="false">IF($A169="","",IF(每月预算!$B$29="雪崩法",计算_雪崩!BC188,计算_雪球!BC188))</f>
        <v/>
      </c>
      <c r="N169" s="43" t="str">
        <f aca="false">IF($A169="","",IF(每月预算!$B$29="雪崩法",计算_雪崩!BE188,计算_雪球!BE188))</f>
        <v/>
      </c>
      <c r="O169" s="43" t="str">
        <f aca="false">IF($A169="","",IF(每月预算!$B$29="雪崩法",计算_雪崩!BD188,计算_雪球!BD188))</f>
        <v/>
      </c>
    </row>
    <row r="170" customFormat="false" ht="15" hidden="false" customHeight="false" outlineLevel="0" collapsed="false">
      <c r="A170" s="24" t="str">
        <f aca="false">IF(166&lt;=$R$2,166,"")</f>
        <v/>
      </c>
      <c r="B170" s="42" t="str">
        <f aca="false">IF($A170="","",计算_雪球!B189)</f>
        <v/>
      </c>
      <c r="C170" s="43" t="str">
        <f aca="false">IF(OR($A170="",C$4=""),"",IF(每月预算!$B$29="雪崩法",计算_雪崩!I189,计算_雪球!I189))</f>
        <v/>
      </c>
      <c r="D170" s="43" t="str">
        <f aca="false">IF(OR($A170="",D$4=""),"",IF(每月预算!$B$29="雪崩法",计算_雪崩!N189,计算_雪球!N189))</f>
        <v/>
      </c>
      <c r="E170" s="43" t="str">
        <f aca="false">IF(OR($A170="",E$4=""),"",IF(每月预算!$B$29="雪崩法",计算_雪崩!S189,计算_雪球!S189))</f>
        <v/>
      </c>
      <c r="F170" s="43" t="str">
        <f aca="false">IF(OR($A170="",F$4=""),"",IF(每月预算!$B$29="雪崩法",计算_雪崩!X189,计算_雪球!X189))</f>
        <v/>
      </c>
      <c r="G170" s="43" t="str">
        <f aca="false">IF(OR($A170="",G$4=""),"",IF(每月预算!$B$29="雪崩法",计算_雪崩!AC189,计算_雪球!AC189))</f>
        <v/>
      </c>
      <c r="H170" s="43" t="str">
        <f aca="false">IF(OR($A170="",H$4=""),"",IF(每月预算!$B$29="雪崩法",计算_雪崩!AH189,计算_雪球!AH189))</f>
        <v/>
      </c>
      <c r="I170" s="43" t="str">
        <f aca="false">IF(OR($A170="",I$4=""),"",IF(每月预算!$B$29="雪崩法",计算_雪崩!AM189,计算_雪球!AM189))</f>
        <v/>
      </c>
      <c r="J170" s="43" t="str">
        <f aca="false">IF(OR($A170="",J$4=""),"",IF(每月预算!$B$29="雪崩法",计算_雪崩!AR189,计算_雪球!AR189))</f>
        <v/>
      </c>
      <c r="K170" s="43" t="str">
        <f aca="false">IF(OR($A170="",K$4=""),"",IF(每月预算!$B$29="雪崩法",计算_雪崩!AW189,计算_雪球!AW189))</f>
        <v/>
      </c>
      <c r="L170" s="43" t="str">
        <f aca="false">IF(OR($A170="",L$4=""),"",IF(每月预算!$B$29="雪崩法",计算_雪崩!BB189,计算_雪球!BB189))</f>
        <v/>
      </c>
      <c r="M170" s="43" t="str">
        <f aca="false">IF($A170="","",IF(每月预算!$B$29="雪崩法",计算_雪崩!BC189,计算_雪球!BC189))</f>
        <v/>
      </c>
      <c r="N170" s="43" t="str">
        <f aca="false">IF($A170="","",IF(每月预算!$B$29="雪崩法",计算_雪崩!BE189,计算_雪球!BE189))</f>
        <v/>
      </c>
      <c r="O170" s="43" t="str">
        <f aca="false">IF($A170="","",IF(每月预算!$B$29="雪崩法",计算_雪崩!BD189,计算_雪球!BD189))</f>
        <v/>
      </c>
    </row>
    <row r="171" customFormat="false" ht="15" hidden="false" customHeight="false" outlineLevel="0" collapsed="false">
      <c r="A171" s="24" t="str">
        <f aca="false">IF(167&lt;=$R$2,167,"")</f>
        <v/>
      </c>
      <c r="B171" s="42" t="str">
        <f aca="false">IF($A171="","",计算_雪球!B190)</f>
        <v/>
      </c>
      <c r="C171" s="43" t="str">
        <f aca="false">IF(OR($A171="",C$4=""),"",IF(每月预算!$B$29="雪崩法",计算_雪崩!I190,计算_雪球!I190))</f>
        <v/>
      </c>
      <c r="D171" s="43" t="str">
        <f aca="false">IF(OR($A171="",D$4=""),"",IF(每月预算!$B$29="雪崩法",计算_雪崩!N190,计算_雪球!N190))</f>
        <v/>
      </c>
      <c r="E171" s="43" t="str">
        <f aca="false">IF(OR($A171="",E$4=""),"",IF(每月预算!$B$29="雪崩法",计算_雪崩!S190,计算_雪球!S190))</f>
        <v/>
      </c>
      <c r="F171" s="43" t="str">
        <f aca="false">IF(OR($A171="",F$4=""),"",IF(每月预算!$B$29="雪崩法",计算_雪崩!X190,计算_雪球!X190))</f>
        <v/>
      </c>
      <c r="G171" s="43" t="str">
        <f aca="false">IF(OR($A171="",G$4=""),"",IF(每月预算!$B$29="雪崩法",计算_雪崩!AC190,计算_雪球!AC190))</f>
        <v/>
      </c>
      <c r="H171" s="43" t="str">
        <f aca="false">IF(OR($A171="",H$4=""),"",IF(每月预算!$B$29="雪崩法",计算_雪崩!AH190,计算_雪球!AH190))</f>
        <v/>
      </c>
      <c r="I171" s="43" t="str">
        <f aca="false">IF(OR($A171="",I$4=""),"",IF(每月预算!$B$29="雪崩法",计算_雪崩!AM190,计算_雪球!AM190))</f>
        <v/>
      </c>
      <c r="J171" s="43" t="str">
        <f aca="false">IF(OR($A171="",J$4=""),"",IF(每月预算!$B$29="雪崩法",计算_雪崩!AR190,计算_雪球!AR190))</f>
        <v/>
      </c>
      <c r="K171" s="43" t="str">
        <f aca="false">IF(OR($A171="",K$4=""),"",IF(每月预算!$B$29="雪崩法",计算_雪崩!AW190,计算_雪球!AW190))</f>
        <v/>
      </c>
      <c r="L171" s="43" t="str">
        <f aca="false">IF(OR($A171="",L$4=""),"",IF(每月预算!$B$29="雪崩法",计算_雪崩!BB190,计算_雪球!BB190))</f>
        <v/>
      </c>
      <c r="M171" s="43" t="str">
        <f aca="false">IF($A171="","",IF(每月预算!$B$29="雪崩法",计算_雪崩!BC190,计算_雪球!BC190))</f>
        <v/>
      </c>
      <c r="N171" s="43" t="str">
        <f aca="false">IF($A171="","",IF(每月预算!$B$29="雪崩法",计算_雪崩!BE190,计算_雪球!BE190))</f>
        <v/>
      </c>
      <c r="O171" s="43" t="str">
        <f aca="false">IF($A171="","",IF(每月预算!$B$29="雪崩法",计算_雪崩!BD190,计算_雪球!BD190))</f>
        <v/>
      </c>
    </row>
    <row r="172" customFormat="false" ht="15" hidden="false" customHeight="false" outlineLevel="0" collapsed="false">
      <c r="A172" s="24" t="str">
        <f aca="false">IF(168&lt;=$R$2,168,"")</f>
        <v/>
      </c>
      <c r="B172" s="42" t="str">
        <f aca="false">IF($A172="","",计算_雪球!B191)</f>
        <v/>
      </c>
      <c r="C172" s="43" t="str">
        <f aca="false">IF(OR($A172="",C$4=""),"",IF(每月预算!$B$29="雪崩法",计算_雪崩!I191,计算_雪球!I191))</f>
        <v/>
      </c>
      <c r="D172" s="43" t="str">
        <f aca="false">IF(OR($A172="",D$4=""),"",IF(每月预算!$B$29="雪崩法",计算_雪崩!N191,计算_雪球!N191))</f>
        <v/>
      </c>
      <c r="E172" s="43" t="str">
        <f aca="false">IF(OR($A172="",E$4=""),"",IF(每月预算!$B$29="雪崩法",计算_雪崩!S191,计算_雪球!S191))</f>
        <v/>
      </c>
      <c r="F172" s="43" t="str">
        <f aca="false">IF(OR($A172="",F$4=""),"",IF(每月预算!$B$29="雪崩法",计算_雪崩!X191,计算_雪球!X191))</f>
        <v/>
      </c>
      <c r="G172" s="43" t="str">
        <f aca="false">IF(OR($A172="",G$4=""),"",IF(每月预算!$B$29="雪崩法",计算_雪崩!AC191,计算_雪球!AC191))</f>
        <v/>
      </c>
      <c r="H172" s="43" t="str">
        <f aca="false">IF(OR($A172="",H$4=""),"",IF(每月预算!$B$29="雪崩法",计算_雪崩!AH191,计算_雪球!AH191))</f>
        <v/>
      </c>
      <c r="I172" s="43" t="str">
        <f aca="false">IF(OR($A172="",I$4=""),"",IF(每月预算!$B$29="雪崩法",计算_雪崩!AM191,计算_雪球!AM191))</f>
        <v/>
      </c>
      <c r="J172" s="43" t="str">
        <f aca="false">IF(OR($A172="",J$4=""),"",IF(每月预算!$B$29="雪崩法",计算_雪崩!AR191,计算_雪球!AR191))</f>
        <v/>
      </c>
      <c r="K172" s="43" t="str">
        <f aca="false">IF(OR($A172="",K$4=""),"",IF(每月预算!$B$29="雪崩法",计算_雪崩!AW191,计算_雪球!AW191))</f>
        <v/>
      </c>
      <c r="L172" s="43" t="str">
        <f aca="false">IF(OR($A172="",L$4=""),"",IF(每月预算!$B$29="雪崩法",计算_雪崩!BB191,计算_雪球!BB191))</f>
        <v/>
      </c>
      <c r="M172" s="43" t="str">
        <f aca="false">IF($A172="","",IF(每月预算!$B$29="雪崩法",计算_雪崩!BC191,计算_雪球!BC191))</f>
        <v/>
      </c>
      <c r="N172" s="43" t="str">
        <f aca="false">IF($A172="","",IF(每月预算!$B$29="雪崩法",计算_雪崩!BE191,计算_雪球!BE191))</f>
        <v/>
      </c>
      <c r="O172" s="43" t="str">
        <f aca="false">IF($A172="","",IF(每月预算!$B$29="雪崩法",计算_雪崩!BD191,计算_雪球!BD191))</f>
        <v/>
      </c>
    </row>
    <row r="173" customFormat="false" ht="15" hidden="false" customHeight="false" outlineLevel="0" collapsed="false">
      <c r="A173" s="24" t="str">
        <f aca="false">IF(169&lt;=$R$2,169,"")</f>
        <v/>
      </c>
      <c r="B173" s="42" t="str">
        <f aca="false">IF($A173="","",计算_雪球!B192)</f>
        <v/>
      </c>
      <c r="C173" s="43" t="str">
        <f aca="false">IF(OR($A173="",C$4=""),"",IF(每月预算!$B$29="雪崩法",计算_雪崩!I192,计算_雪球!I192))</f>
        <v/>
      </c>
      <c r="D173" s="43" t="str">
        <f aca="false">IF(OR($A173="",D$4=""),"",IF(每月预算!$B$29="雪崩法",计算_雪崩!N192,计算_雪球!N192))</f>
        <v/>
      </c>
      <c r="E173" s="43" t="str">
        <f aca="false">IF(OR($A173="",E$4=""),"",IF(每月预算!$B$29="雪崩法",计算_雪崩!S192,计算_雪球!S192))</f>
        <v/>
      </c>
      <c r="F173" s="43" t="str">
        <f aca="false">IF(OR($A173="",F$4=""),"",IF(每月预算!$B$29="雪崩法",计算_雪崩!X192,计算_雪球!X192))</f>
        <v/>
      </c>
      <c r="G173" s="43" t="str">
        <f aca="false">IF(OR($A173="",G$4=""),"",IF(每月预算!$B$29="雪崩法",计算_雪崩!AC192,计算_雪球!AC192))</f>
        <v/>
      </c>
      <c r="H173" s="43" t="str">
        <f aca="false">IF(OR($A173="",H$4=""),"",IF(每月预算!$B$29="雪崩法",计算_雪崩!AH192,计算_雪球!AH192))</f>
        <v/>
      </c>
      <c r="I173" s="43" t="str">
        <f aca="false">IF(OR($A173="",I$4=""),"",IF(每月预算!$B$29="雪崩法",计算_雪崩!AM192,计算_雪球!AM192))</f>
        <v/>
      </c>
      <c r="J173" s="43" t="str">
        <f aca="false">IF(OR($A173="",J$4=""),"",IF(每月预算!$B$29="雪崩法",计算_雪崩!AR192,计算_雪球!AR192))</f>
        <v/>
      </c>
      <c r="K173" s="43" t="str">
        <f aca="false">IF(OR($A173="",K$4=""),"",IF(每月预算!$B$29="雪崩法",计算_雪崩!AW192,计算_雪球!AW192))</f>
        <v/>
      </c>
      <c r="L173" s="43" t="str">
        <f aca="false">IF(OR($A173="",L$4=""),"",IF(每月预算!$B$29="雪崩法",计算_雪崩!BB192,计算_雪球!BB192))</f>
        <v/>
      </c>
      <c r="M173" s="43" t="str">
        <f aca="false">IF($A173="","",IF(每月预算!$B$29="雪崩法",计算_雪崩!BC192,计算_雪球!BC192))</f>
        <v/>
      </c>
      <c r="N173" s="43" t="str">
        <f aca="false">IF($A173="","",IF(每月预算!$B$29="雪崩法",计算_雪崩!BE192,计算_雪球!BE192))</f>
        <v/>
      </c>
      <c r="O173" s="43" t="str">
        <f aca="false">IF($A173="","",IF(每月预算!$B$29="雪崩法",计算_雪崩!BD192,计算_雪球!BD192))</f>
        <v/>
      </c>
    </row>
    <row r="174" customFormat="false" ht="15" hidden="false" customHeight="false" outlineLevel="0" collapsed="false">
      <c r="A174" s="24" t="str">
        <f aca="false">IF(170&lt;=$R$2,170,"")</f>
        <v/>
      </c>
      <c r="B174" s="42" t="str">
        <f aca="false">IF($A174="","",计算_雪球!B193)</f>
        <v/>
      </c>
      <c r="C174" s="43" t="str">
        <f aca="false">IF(OR($A174="",C$4=""),"",IF(每月预算!$B$29="雪崩法",计算_雪崩!I193,计算_雪球!I193))</f>
        <v/>
      </c>
      <c r="D174" s="43" t="str">
        <f aca="false">IF(OR($A174="",D$4=""),"",IF(每月预算!$B$29="雪崩法",计算_雪崩!N193,计算_雪球!N193))</f>
        <v/>
      </c>
      <c r="E174" s="43" t="str">
        <f aca="false">IF(OR($A174="",E$4=""),"",IF(每月预算!$B$29="雪崩法",计算_雪崩!S193,计算_雪球!S193))</f>
        <v/>
      </c>
      <c r="F174" s="43" t="str">
        <f aca="false">IF(OR($A174="",F$4=""),"",IF(每月预算!$B$29="雪崩法",计算_雪崩!X193,计算_雪球!X193))</f>
        <v/>
      </c>
      <c r="G174" s="43" t="str">
        <f aca="false">IF(OR($A174="",G$4=""),"",IF(每月预算!$B$29="雪崩法",计算_雪崩!AC193,计算_雪球!AC193))</f>
        <v/>
      </c>
      <c r="H174" s="43" t="str">
        <f aca="false">IF(OR($A174="",H$4=""),"",IF(每月预算!$B$29="雪崩法",计算_雪崩!AH193,计算_雪球!AH193))</f>
        <v/>
      </c>
      <c r="I174" s="43" t="str">
        <f aca="false">IF(OR($A174="",I$4=""),"",IF(每月预算!$B$29="雪崩法",计算_雪崩!AM193,计算_雪球!AM193))</f>
        <v/>
      </c>
      <c r="J174" s="43" t="str">
        <f aca="false">IF(OR($A174="",J$4=""),"",IF(每月预算!$B$29="雪崩法",计算_雪崩!AR193,计算_雪球!AR193))</f>
        <v/>
      </c>
      <c r="K174" s="43" t="str">
        <f aca="false">IF(OR($A174="",K$4=""),"",IF(每月预算!$B$29="雪崩法",计算_雪崩!AW193,计算_雪球!AW193))</f>
        <v/>
      </c>
      <c r="L174" s="43" t="str">
        <f aca="false">IF(OR($A174="",L$4=""),"",IF(每月预算!$B$29="雪崩法",计算_雪崩!BB193,计算_雪球!BB193))</f>
        <v/>
      </c>
      <c r="M174" s="43" t="str">
        <f aca="false">IF($A174="","",IF(每月预算!$B$29="雪崩法",计算_雪崩!BC193,计算_雪球!BC193))</f>
        <v/>
      </c>
      <c r="N174" s="43" t="str">
        <f aca="false">IF($A174="","",IF(每月预算!$B$29="雪崩法",计算_雪崩!BE193,计算_雪球!BE193))</f>
        <v/>
      </c>
      <c r="O174" s="43" t="str">
        <f aca="false">IF($A174="","",IF(每月预算!$B$29="雪崩法",计算_雪崩!BD193,计算_雪球!BD193))</f>
        <v/>
      </c>
    </row>
    <row r="175" customFormat="false" ht="15" hidden="false" customHeight="false" outlineLevel="0" collapsed="false">
      <c r="A175" s="24" t="str">
        <f aca="false">IF(171&lt;=$R$2,171,"")</f>
        <v/>
      </c>
      <c r="B175" s="42" t="str">
        <f aca="false">IF($A175="","",计算_雪球!B194)</f>
        <v/>
      </c>
      <c r="C175" s="43" t="str">
        <f aca="false">IF(OR($A175="",C$4=""),"",IF(每月预算!$B$29="雪崩法",计算_雪崩!I194,计算_雪球!I194))</f>
        <v/>
      </c>
      <c r="D175" s="43" t="str">
        <f aca="false">IF(OR($A175="",D$4=""),"",IF(每月预算!$B$29="雪崩法",计算_雪崩!N194,计算_雪球!N194))</f>
        <v/>
      </c>
      <c r="E175" s="43" t="str">
        <f aca="false">IF(OR($A175="",E$4=""),"",IF(每月预算!$B$29="雪崩法",计算_雪崩!S194,计算_雪球!S194))</f>
        <v/>
      </c>
      <c r="F175" s="43" t="str">
        <f aca="false">IF(OR($A175="",F$4=""),"",IF(每月预算!$B$29="雪崩法",计算_雪崩!X194,计算_雪球!X194))</f>
        <v/>
      </c>
      <c r="G175" s="43" t="str">
        <f aca="false">IF(OR($A175="",G$4=""),"",IF(每月预算!$B$29="雪崩法",计算_雪崩!AC194,计算_雪球!AC194))</f>
        <v/>
      </c>
      <c r="H175" s="43" t="str">
        <f aca="false">IF(OR($A175="",H$4=""),"",IF(每月预算!$B$29="雪崩法",计算_雪崩!AH194,计算_雪球!AH194))</f>
        <v/>
      </c>
      <c r="I175" s="43" t="str">
        <f aca="false">IF(OR($A175="",I$4=""),"",IF(每月预算!$B$29="雪崩法",计算_雪崩!AM194,计算_雪球!AM194))</f>
        <v/>
      </c>
      <c r="J175" s="43" t="str">
        <f aca="false">IF(OR($A175="",J$4=""),"",IF(每月预算!$B$29="雪崩法",计算_雪崩!AR194,计算_雪球!AR194))</f>
        <v/>
      </c>
      <c r="K175" s="43" t="str">
        <f aca="false">IF(OR($A175="",K$4=""),"",IF(每月预算!$B$29="雪崩法",计算_雪崩!AW194,计算_雪球!AW194))</f>
        <v/>
      </c>
      <c r="L175" s="43" t="str">
        <f aca="false">IF(OR($A175="",L$4=""),"",IF(每月预算!$B$29="雪崩法",计算_雪崩!BB194,计算_雪球!BB194))</f>
        <v/>
      </c>
      <c r="M175" s="43" t="str">
        <f aca="false">IF($A175="","",IF(每月预算!$B$29="雪崩法",计算_雪崩!BC194,计算_雪球!BC194))</f>
        <v/>
      </c>
      <c r="N175" s="43" t="str">
        <f aca="false">IF($A175="","",IF(每月预算!$B$29="雪崩法",计算_雪崩!BE194,计算_雪球!BE194))</f>
        <v/>
      </c>
      <c r="O175" s="43" t="str">
        <f aca="false">IF($A175="","",IF(每月预算!$B$29="雪崩法",计算_雪崩!BD194,计算_雪球!BD194))</f>
        <v/>
      </c>
    </row>
    <row r="176" customFormat="false" ht="15" hidden="false" customHeight="false" outlineLevel="0" collapsed="false">
      <c r="A176" s="24" t="str">
        <f aca="false">IF(172&lt;=$R$2,172,"")</f>
        <v/>
      </c>
      <c r="B176" s="42" t="str">
        <f aca="false">IF($A176="","",计算_雪球!B195)</f>
        <v/>
      </c>
      <c r="C176" s="43" t="str">
        <f aca="false">IF(OR($A176="",C$4=""),"",IF(每月预算!$B$29="雪崩法",计算_雪崩!I195,计算_雪球!I195))</f>
        <v/>
      </c>
      <c r="D176" s="43" t="str">
        <f aca="false">IF(OR($A176="",D$4=""),"",IF(每月预算!$B$29="雪崩法",计算_雪崩!N195,计算_雪球!N195))</f>
        <v/>
      </c>
      <c r="E176" s="43" t="str">
        <f aca="false">IF(OR($A176="",E$4=""),"",IF(每月预算!$B$29="雪崩法",计算_雪崩!S195,计算_雪球!S195))</f>
        <v/>
      </c>
      <c r="F176" s="43" t="str">
        <f aca="false">IF(OR($A176="",F$4=""),"",IF(每月预算!$B$29="雪崩法",计算_雪崩!X195,计算_雪球!X195))</f>
        <v/>
      </c>
      <c r="G176" s="43" t="str">
        <f aca="false">IF(OR($A176="",G$4=""),"",IF(每月预算!$B$29="雪崩法",计算_雪崩!AC195,计算_雪球!AC195))</f>
        <v/>
      </c>
      <c r="H176" s="43" t="str">
        <f aca="false">IF(OR($A176="",H$4=""),"",IF(每月预算!$B$29="雪崩法",计算_雪崩!AH195,计算_雪球!AH195))</f>
        <v/>
      </c>
      <c r="I176" s="43" t="str">
        <f aca="false">IF(OR($A176="",I$4=""),"",IF(每月预算!$B$29="雪崩法",计算_雪崩!AM195,计算_雪球!AM195))</f>
        <v/>
      </c>
      <c r="J176" s="43" t="str">
        <f aca="false">IF(OR($A176="",J$4=""),"",IF(每月预算!$B$29="雪崩法",计算_雪崩!AR195,计算_雪球!AR195))</f>
        <v/>
      </c>
      <c r="K176" s="43" t="str">
        <f aca="false">IF(OR($A176="",K$4=""),"",IF(每月预算!$B$29="雪崩法",计算_雪崩!AW195,计算_雪球!AW195))</f>
        <v/>
      </c>
      <c r="L176" s="43" t="str">
        <f aca="false">IF(OR($A176="",L$4=""),"",IF(每月预算!$B$29="雪崩法",计算_雪崩!BB195,计算_雪球!BB195))</f>
        <v/>
      </c>
      <c r="M176" s="43" t="str">
        <f aca="false">IF($A176="","",IF(每月预算!$B$29="雪崩法",计算_雪崩!BC195,计算_雪球!BC195))</f>
        <v/>
      </c>
      <c r="N176" s="43" t="str">
        <f aca="false">IF($A176="","",IF(每月预算!$B$29="雪崩法",计算_雪崩!BE195,计算_雪球!BE195))</f>
        <v/>
      </c>
      <c r="O176" s="43" t="str">
        <f aca="false">IF($A176="","",IF(每月预算!$B$29="雪崩法",计算_雪崩!BD195,计算_雪球!BD195))</f>
        <v/>
      </c>
    </row>
    <row r="177" customFormat="false" ht="15" hidden="false" customHeight="false" outlineLevel="0" collapsed="false">
      <c r="A177" s="24" t="str">
        <f aca="false">IF(173&lt;=$R$2,173,"")</f>
        <v/>
      </c>
      <c r="B177" s="42" t="str">
        <f aca="false">IF($A177="","",计算_雪球!B196)</f>
        <v/>
      </c>
      <c r="C177" s="43" t="str">
        <f aca="false">IF(OR($A177="",C$4=""),"",IF(每月预算!$B$29="雪崩法",计算_雪崩!I196,计算_雪球!I196))</f>
        <v/>
      </c>
      <c r="D177" s="43" t="str">
        <f aca="false">IF(OR($A177="",D$4=""),"",IF(每月预算!$B$29="雪崩法",计算_雪崩!N196,计算_雪球!N196))</f>
        <v/>
      </c>
      <c r="E177" s="43" t="str">
        <f aca="false">IF(OR($A177="",E$4=""),"",IF(每月预算!$B$29="雪崩法",计算_雪崩!S196,计算_雪球!S196))</f>
        <v/>
      </c>
      <c r="F177" s="43" t="str">
        <f aca="false">IF(OR($A177="",F$4=""),"",IF(每月预算!$B$29="雪崩法",计算_雪崩!X196,计算_雪球!X196))</f>
        <v/>
      </c>
      <c r="G177" s="43" t="str">
        <f aca="false">IF(OR($A177="",G$4=""),"",IF(每月预算!$B$29="雪崩法",计算_雪崩!AC196,计算_雪球!AC196))</f>
        <v/>
      </c>
      <c r="H177" s="43" t="str">
        <f aca="false">IF(OR($A177="",H$4=""),"",IF(每月预算!$B$29="雪崩法",计算_雪崩!AH196,计算_雪球!AH196))</f>
        <v/>
      </c>
      <c r="I177" s="43" t="str">
        <f aca="false">IF(OR($A177="",I$4=""),"",IF(每月预算!$B$29="雪崩法",计算_雪崩!AM196,计算_雪球!AM196))</f>
        <v/>
      </c>
      <c r="J177" s="43" t="str">
        <f aca="false">IF(OR($A177="",J$4=""),"",IF(每月预算!$B$29="雪崩法",计算_雪崩!AR196,计算_雪球!AR196))</f>
        <v/>
      </c>
      <c r="K177" s="43" t="str">
        <f aca="false">IF(OR($A177="",K$4=""),"",IF(每月预算!$B$29="雪崩法",计算_雪崩!AW196,计算_雪球!AW196))</f>
        <v/>
      </c>
      <c r="L177" s="43" t="str">
        <f aca="false">IF(OR($A177="",L$4=""),"",IF(每月预算!$B$29="雪崩法",计算_雪崩!BB196,计算_雪球!BB196))</f>
        <v/>
      </c>
      <c r="M177" s="43" t="str">
        <f aca="false">IF($A177="","",IF(每月预算!$B$29="雪崩法",计算_雪崩!BC196,计算_雪球!BC196))</f>
        <v/>
      </c>
      <c r="N177" s="43" t="str">
        <f aca="false">IF($A177="","",IF(每月预算!$B$29="雪崩法",计算_雪崩!BE196,计算_雪球!BE196))</f>
        <v/>
      </c>
      <c r="O177" s="43" t="str">
        <f aca="false">IF($A177="","",IF(每月预算!$B$29="雪崩法",计算_雪崩!BD196,计算_雪球!BD196))</f>
        <v/>
      </c>
    </row>
    <row r="178" customFormat="false" ht="15" hidden="false" customHeight="false" outlineLevel="0" collapsed="false">
      <c r="A178" s="24" t="str">
        <f aca="false">IF(174&lt;=$R$2,174,"")</f>
        <v/>
      </c>
      <c r="B178" s="42" t="str">
        <f aca="false">IF($A178="","",计算_雪球!B197)</f>
        <v/>
      </c>
      <c r="C178" s="43" t="str">
        <f aca="false">IF(OR($A178="",C$4=""),"",IF(每月预算!$B$29="雪崩法",计算_雪崩!I197,计算_雪球!I197))</f>
        <v/>
      </c>
      <c r="D178" s="43" t="str">
        <f aca="false">IF(OR($A178="",D$4=""),"",IF(每月预算!$B$29="雪崩法",计算_雪崩!N197,计算_雪球!N197))</f>
        <v/>
      </c>
      <c r="E178" s="43" t="str">
        <f aca="false">IF(OR($A178="",E$4=""),"",IF(每月预算!$B$29="雪崩法",计算_雪崩!S197,计算_雪球!S197))</f>
        <v/>
      </c>
      <c r="F178" s="43" t="str">
        <f aca="false">IF(OR($A178="",F$4=""),"",IF(每月预算!$B$29="雪崩法",计算_雪崩!X197,计算_雪球!X197))</f>
        <v/>
      </c>
      <c r="G178" s="43" t="str">
        <f aca="false">IF(OR($A178="",G$4=""),"",IF(每月预算!$B$29="雪崩法",计算_雪崩!AC197,计算_雪球!AC197))</f>
        <v/>
      </c>
      <c r="H178" s="43" t="str">
        <f aca="false">IF(OR($A178="",H$4=""),"",IF(每月预算!$B$29="雪崩法",计算_雪崩!AH197,计算_雪球!AH197))</f>
        <v/>
      </c>
      <c r="I178" s="43" t="str">
        <f aca="false">IF(OR($A178="",I$4=""),"",IF(每月预算!$B$29="雪崩法",计算_雪崩!AM197,计算_雪球!AM197))</f>
        <v/>
      </c>
      <c r="J178" s="43" t="str">
        <f aca="false">IF(OR($A178="",J$4=""),"",IF(每月预算!$B$29="雪崩法",计算_雪崩!AR197,计算_雪球!AR197))</f>
        <v/>
      </c>
      <c r="K178" s="43" t="str">
        <f aca="false">IF(OR($A178="",K$4=""),"",IF(每月预算!$B$29="雪崩法",计算_雪崩!AW197,计算_雪球!AW197))</f>
        <v/>
      </c>
      <c r="L178" s="43" t="str">
        <f aca="false">IF(OR($A178="",L$4=""),"",IF(每月预算!$B$29="雪崩法",计算_雪崩!BB197,计算_雪球!BB197))</f>
        <v/>
      </c>
      <c r="M178" s="43" t="str">
        <f aca="false">IF($A178="","",IF(每月预算!$B$29="雪崩法",计算_雪崩!BC197,计算_雪球!BC197))</f>
        <v/>
      </c>
      <c r="N178" s="43" t="str">
        <f aca="false">IF($A178="","",IF(每月预算!$B$29="雪崩法",计算_雪崩!BE197,计算_雪球!BE197))</f>
        <v/>
      </c>
      <c r="O178" s="43" t="str">
        <f aca="false">IF($A178="","",IF(每月预算!$B$29="雪崩法",计算_雪崩!BD197,计算_雪球!BD197))</f>
        <v/>
      </c>
    </row>
    <row r="179" customFormat="false" ht="15" hidden="false" customHeight="false" outlineLevel="0" collapsed="false">
      <c r="A179" s="24" t="str">
        <f aca="false">IF(175&lt;=$R$2,175,"")</f>
        <v/>
      </c>
      <c r="B179" s="42" t="str">
        <f aca="false">IF($A179="","",计算_雪球!B198)</f>
        <v/>
      </c>
      <c r="C179" s="43" t="str">
        <f aca="false">IF(OR($A179="",C$4=""),"",IF(每月预算!$B$29="雪崩法",计算_雪崩!I198,计算_雪球!I198))</f>
        <v/>
      </c>
      <c r="D179" s="43" t="str">
        <f aca="false">IF(OR($A179="",D$4=""),"",IF(每月预算!$B$29="雪崩法",计算_雪崩!N198,计算_雪球!N198))</f>
        <v/>
      </c>
      <c r="E179" s="43" t="str">
        <f aca="false">IF(OR($A179="",E$4=""),"",IF(每月预算!$B$29="雪崩法",计算_雪崩!S198,计算_雪球!S198))</f>
        <v/>
      </c>
      <c r="F179" s="43" t="str">
        <f aca="false">IF(OR($A179="",F$4=""),"",IF(每月预算!$B$29="雪崩法",计算_雪崩!X198,计算_雪球!X198))</f>
        <v/>
      </c>
      <c r="G179" s="43" t="str">
        <f aca="false">IF(OR($A179="",G$4=""),"",IF(每月预算!$B$29="雪崩法",计算_雪崩!AC198,计算_雪球!AC198))</f>
        <v/>
      </c>
      <c r="H179" s="43" t="str">
        <f aca="false">IF(OR($A179="",H$4=""),"",IF(每月预算!$B$29="雪崩法",计算_雪崩!AH198,计算_雪球!AH198))</f>
        <v/>
      </c>
      <c r="I179" s="43" t="str">
        <f aca="false">IF(OR($A179="",I$4=""),"",IF(每月预算!$B$29="雪崩法",计算_雪崩!AM198,计算_雪球!AM198))</f>
        <v/>
      </c>
      <c r="J179" s="43" t="str">
        <f aca="false">IF(OR($A179="",J$4=""),"",IF(每月预算!$B$29="雪崩法",计算_雪崩!AR198,计算_雪球!AR198))</f>
        <v/>
      </c>
      <c r="K179" s="43" t="str">
        <f aca="false">IF(OR($A179="",K$4=""),"",IF(每月预算!$B$29="雪崩法",计算_雪崩!AW198,计算_雪球!AW198))</f>
        <v/>
      </c>
      <c r="L179" s="43" t="str">
        <f aca="false">IF(OR($A179="",L$4=""),"",IF(每月预算!$B$29="雪崩法",计算_雪崩!BB198,计算_雪球!BB198))</f>
        <v/>
      </c>
      <c r="M179" s="43" t="str">
        <f aca="false">IF($A179="","",IF(每月预算!$B$29="雪崩法",计算_雪崩!BC198,计算_雪球!BC198))</f>
        <v/>
      </c>
      <c r="N179" s="43" t="str">
        <f aca="false">IF($A179="","",IF(每月预算!$B$29="雪崩法",计算_雪崩!BE198,计算_雪球!BE198))</f>
        <v/>
      </c>
      <c r="O179" s="43" t="str">
        <f aca="false">IF($A179="","",IF(每月预算!$B$29="雪崩法",计算_雪崩!BD198,计算_雪球!BD198))</f>
        <v/>
      </c>
    </row>
    <row r="180" customFormat="false" ht="15" hidden="false" customHeight="false" outlineLevel="0" collapsed="false">
      <c r="A180" s="24" t="str">
        <f aca="false">IF(176&lt;=$R$2,176,"")</f>
        <v/>
      </c>
      <c r="B180" s="42" t="str">
        <f aca="false">IF($A180="","",计算_雪球!B199)</f>
        <v/>
      </c>
      <c r="C180" s="43" t="str">
        <f aca="false">IF(OR($A180="",C$4=""),"",IF(每月预算!$B$29="雪崩法",计算_雪崩!I199,计算_雪球!I199))</f>
        <v/>
      </c>
      <c r="D180" s="43" t="str">
        <f aca="false">IF(OR($A180="",D$4=""),"",IF(每月预算!$B$29="雪崩法",计算_雪崩!N199,计算_雪球!N199))</f>
        <v/>
      </c>
      <c r="E180" s="43" t="str">
        <f aca="false">IF(OR($A180="",E$4=""),"",IF(每月预算!$B$29="雪崩法",计算_雪崩!S199,计算_雪球!S199))</f>
        <v/>
      </c>
      <c r="F180" s="43" t="str">
        <f aca="false">IF(OR($A180="",F$4=""),"",IF(每月预算!$B$29="雪崩法",计算_雪崩!X199,计算_雪球!X199))</f>
        <v/>
      </c>
      <c r="G180" s="43" t="str">
        <f aca="false">IF(OR($A180="",G$4=""),"",IF(每月预算!$B$29="雪崩法",计算_雪崩!AC199,计算_雪球!AC199))</f>
        <v/>
      </c>
      <c r="H180" s="43" t="str">
        <f aca="false">IF(OR($A180="",H$4=""),"",IF(每月预算!$B$29="雪崩法",计算_雪崩!AH199,计算_雪球!AH199))</f>
        <v/>
      </c>
      <c r="I180" s="43" t="str">
        <f aca="false">IF(OR($A180="",I$4=""),"",IF(每月预算!$B$29="雪崩法",计算_雪崩!AM199,计算_雪球!AM199))</f>
        <v/>
      </c>
      <c r="J180" s="43" t="str">
        <f aca="false">IF(OR($A180="",J$4=""),"",IF(每月预算!$B$29="雪崩法",计算_雪崩!AR199,计算_雪球!AR199))</f>
        <v/>
      </c>
      <c r="K180" s="43" t="str">
        <f aca="false">IF(OR($A180="",K$4=""),"",IF(每月预算!$B$29="雪崩法",计算_雪崩!AW199,计算_雪球!AW199))</f>
        <v/>
      </c>
      <c r="L180" s="43" t="str">
        <f aca="false">IF(OR($A180="",L$4=""),"",IF(每月预算!$B$29="雪崩法",计算_雪崩!BB199,计算_雪球!BB199))</f>
        <v/>
      </c>
      <c r="M180" s="43" t="str">
        <f aca="false">IF($A180="","",IF(每月预算!$B$29="雪崩法",计算_雪崩!BC199,计算_雪球!BC199))</f>
        <v/>
      </c>
      <c r="N180" s="43" t="str">
        <f aca="false">IF($A180="","",IF(每月预算!$B$29="雪崩法",计算_雪崩!BE199,计算_雪球!BE199))</f>
        <v/>
      </c>
      <c r="O180" s="43" t="str">
        <f aca="false">IF($A180="","",IF(每月预算!$B$29="雪崩法",计算_雪崩!BD199,计算_雪球!BD199))</f>
        <v/>
      </c>
    </row>
    <row r="181" customFormat="false" ht="15" hidden="false" customHeight="false" outlineLevel="0" collapsed="false">
      <c r="A181" s="24" t="str">
        <f aca="false">IF(177&lt;=$R$2,177,"")</f>
        <v/>
      </c>
      <c r="B181" s="42" t="str">
        <f aca="false">IF($A181="","",计算_雪球!B200)</f>
        <v/>
      </c>
      <c r="C181" s="43" t="str">
        <f aca="false">IF(OR($A181="",C$4=""),"",IF(每月预算!$B$29="雪崩法",计算_雪崩!I200,计算_雪球!I200))</f>
        <v/>
      </c>
      <c r="D181" s="43" t="str">
        <f aca="false">IF(OR($A181="",D$4=""),"",IF(每月预算!$B$29="雪崩法",计算_雪崩!N200,计算_雪球!N200))</f>
        <v/>
      </c>
      <c r="E181" s="43" t="str">
        <f aca="false">IF(OR($A181="",E$4=""),"",IF(每月预算!$B$29="雪崩法",计算_雪崩!S200,计算_雪球!S200))</f>
        <v/>
      </c>
      <c r="F181" s="43" t="str">
        <f aca="false">IF(OR($A181="",F$4=""),"",IF(每月预算!$B$29="雪崩法",计算_雪崩!X200,计算_雪球!X200))</f>
        <v/>
      </c>
      <c r="G181" s="43" t="str">
        <f aca="false">IF(OR($A181="",G$4=""),"",IF(每月预算!$B$29="雪崩法",计算_雪崩!AC200,计算_雪球!AC200))</f>
        <v/>
      </c>
      <c r="H181" s="43" t="str">
        <f aca="false">IF(OR($A181="",H$4=""),"",IF(每月预算!$B$29="雪崩法",计算_雪崩!AH200,计算_雪球!AH200))</f>
        <v/>
      </c>
      <c r="I181" s="43" t="str">
        <f aca="false">IF(OR($A181="",I$4=""),"",IF(每月预算!$B$29="雪崩法",计算_雪崩!AM200,计算_雪球!AM200))</f>
        <v/>
      </c>
      <c r="J181" s="43" t="str">
        <f aca="false">IF(OR($A181="",J$4=""),"",IF(每月预算!$B$29="雪崩法",计算_雪崩!AR200,计算_雪球!AR200))</f>
        <v/>
      </c>
      <c r="K181" s="43" t="str">
        <f aca="false">IF(OR($A181="",K$4=""),"",IF(每月预算!$B$29="雪崩法",计算_雪崩!AW200,计算_雪球!AW200))</f>
        <v/>
      </c>
      <c r="L181" s="43" t="str">
        <f aca="false">IF(OR($A181="",L$4=""),"",IF(每月预算!$B$29="雪崩法",计算_雪崩!BB200,计算_雪球!BB200))</f>
        <v/>
      </c>
      <c r="M181" s="43" t="str">
        <f aca="false">IF($A181="","",IF(每月预算!$B$29="雪崩法",计算_雪崩!BC200,计算_雪球!BC200))</f>
        <v/>
      </c>
      <c r="N181" s="43" t="str">
        <f aca="false">IF($A181="","",IF(每月预算!$B$29="雪崩法",计算_雪崩!BE200,计算_雪球!BE200))</f>
        <v/>
      </c>
      <c r="O181" s="43" t="str">
        <f aca="false">IF($A181="","",IF(每月预算!$B$29="雪崩法",计算_雪崩!BD200,计算_雪球!BD200))</f>
        <v/>
      </c>
    </row>
    <row r="182" customFormat="false" ht="15" hidden="false" customHeight="false" outlineLevel="0" collapsed="false">
      <c r="A182" s="24" t="str">
        <f aca="false">IF(178&lt;=$R$2,178,"")</f>
        <v/>
      </c>
      <c r="B182" s="42" t="str">
        <f aca="false">IF($A182="","",计算_雪球!B201)</f>
        <v/>
      </c>
      <c r="C182" s="43" t="str">
        <f aca="false">IF(OR($A182="",C$4=""),"",IF(每月预算!$B$29="雪崩法",计算_雪崩!I201,计算_雪球!I201))</f>
        <v/>
      </c>
      <c r="D182" s="43" t="str">
        <f aca="false">IF(OR($A182="",D$4=""),"",IF(每月预算!$B$29="雪崩法",计算_雪崩!N201,计算_雪球!N201))</f>
        <v/>
      </c>
      <c r="E182" s="43" t="str">
        <f aca="false">IF(OR($A182="",E$4=""),"",IF(每月预算!$B$29="雪崩法",计算_雪崩!S201,计算_雪球!S201))</f>
        <v/>
      </c>
      <c r="F182" s="43" t="str">
        <f aca="false">IF(OR($A182="",F$4=""),"",IF(每月预算!$B$29="雪崩法",计算_雪崩!X201,计算_雪球!X201))</f>
        <v/>
      </c>
      <c r="G182" s="43" t="str">
        <f aca="false">IF(OR($A182="",G$4=""),"",IF(每月预算!$B$29="雪崩法",计算_雪崩!AC201,计算_雪球!AC201))</f>
        <v/>
      </c>
      <c r="H182" s="43" t="str">
        <f aca="false">IF(OR($A182="",H$4=""),"",IF(每月预算!$B$29="雪崩法",计算_雪崩!AH201,计算_雪球!AH201))</f>
        <v/>
      </c>
      <c r="I182" s="43" t="str">
        <f aca="false">IF(OR($A182="",I$4=""),"",IF(每月预算!$B$29="雪崩法",计算_雪崩!AM201,计算_雪球!AM201))</f>
        <v/>
      </c>
      <c r="J182" s="43" t="str">
        <f aca="false">IF(OR($A182="",J$4=""),"",IF(每月预算!$B$29="雪崩法",计算_雪崩!AR201,计算_雪球!AR201))</f>
        <v/>
      </c>
      <c r="K182" s="43" t="str">
        <f aca="false">IF(OR($A182="",K$4=""),"",IF(每月预算!$B$29="雪崩法",计算_雪崩!AW201,计算_雪球!AW201))</f>
        <v/>
      </c>
      <c r="L182" s="43" t="str">
        <f aca="false">IF(OR($A182="",L$4=""),"",IF(每月预算!$B$29="雪崩法",计算_雪崩!BB201,计算_雪球!BB201))</f>
        <v/>
      </c>
      <c r="M182" s="43" t="str">
        <f aca="false">IF($A182="","",IF(每月预算!$B$29="雪崩法",计算_雪崩!BC201,计算_雪球!BC201))</f>
        <v/>
      </c>
      <c r="N182" s="43" t="str">
        <f aca="false">IF($A182="","",IF(每月预算!$B$29="雪崩法",计算_雪崩!BE201,计算_雪球!BE201))</f>
        <v/>
      </c>
      <c r="O182" s="43" t="str">
        <f aca="false">IF($A182="","",IF(每月预算!$B$29="雪崩法",计算_雪崩!BD201,计算_雪球!BD201))</f>
        <v/>
      </c>
    </row>
    <row r="183" customFormat="false" ht="15" hidden="false" customHeight="false" outlineLevel="0" collapsed="false">
      <c r="A183" s="24" t="str">
        <f aca="false">IF(179&lt;=$R$2,179,"")</f>
        <v/>
      </c>
      <c r="B183" s="42" t="str">
        <f aca="false">IF($A183="","",计算_雪球!B202)</f>
        <v/>
      </c>
      <c r="C183" s="43" t="str">
        <f aca="false">IF(OR($A183="",C$4=""),"",IF(每月预算!$B$29="雪崩法",计算_雪崩!I202,计算_雪球!I202))</f>
        <v/>
      </c>
      <c r="D183" s="43" t="str">
        <f aca="false">IF(OR($A183="",D$4=""),"",IF(每月预算!$B$29="雪崩法",计算_雪崩!N202,计算_雪球!N202))</f>
        <v/>
      </c>
      <c r="E183" s="43" t="str">
        <f aca="false">IF(OR($A183="",E$4=""),"",IF(每月预算!$B$29="雪崩法",计算_雪崩!S202,计算_雪球!S202))</f>
        <v/>
      </c>
      <c r="F183" s="43" t="str">
        <f aca="false">IF(OR($A183="",F$4=""),"",IF(每月预算!$B$29="雪崩法",计算_雪崩!X202,计算_雪球!X202))</f>
        <v/>
      </c>
      <c r="G183" s="43" t="str">
        <f aca="false">IF(OR($A183="",G$4=""),"",IF(每月预算!$B$29="雪崩法",计算_雪崩!AC202,计算_雪球!AC202))</f>
        <v/>
      </c>
      <c r="H183" s="43" t="str">
        <f aca="false">IF(OR($A183="",H$4=""),"",IF(每月预算!$B$29="雪崩法",计算_雪崩!AH202,计算_雪球!AH202))</f>
        <v/>
      </c>
      <c r="I183" s="43" t="str">
        <f aca="false">IF(OR($A183="",I$4=""),"",IF(每月预算!$B$29="雪崩法",计算_雪崩!AM202,计算_雪球!AM202))</f>
        <v/>
      </c>
      <c r="J183" s="43" t="str">
        <f aca="false">IF(OR($A183="",J$4=""),"",IF(每月预算!$B$29="雪崩法",计算_雪崩!AR202,计算_雪球!AR202))</f>
        <v/>
      </c>
      <c r="K183" s="43" t="str">
        <f aca="false">IF(OR($A183="",K$4=""),"",IF(每月预算!$B$29="雪崩法",计算_雪崩!AW202,计算_雪球!AW202))</f>
        <v/>
      </c>
      <c r="L183" s="43" t="str">
        <f aca="false">IF(OR($A183="",L$4=""),"",IF(每月预算!$B$29="雪崩法",计算_雪崩!BB202,计算_雪球!BB202))</f>
        <v/>
      </c>
      <c r="M183" s="43" t="str">
        <f aca="false">IF($A183="","",IF(每月预算!$B$29="雪崩法",计算_雪崩!BC202,计算_雪球!BC202))</f>
        <v/>
      </c>
      <c r="N183" s="43" t="str">
        <f aca="false">IF($A183="","",IF(每月预算!$B$29="雪崩法",计算_雪崩!BE202,计算_雪球!BE202))</f>
        <v/>
      </c>
      <c r="O183" s="43" t="str">
        <f aca="false">IF($A183="","",IF(每月预算!$B$29="雪崩法",计算_雪崩!BD202,计算_雪球!BD202))</f>
        <v/>
      </c>
    </row>
    <row r="184" customFormat="false" ht="15" hidden="false" customHeight="false" outlineLevel="0" collapsed="false">
      <c r="A184" s="24" t="str">
        <f aca="false">IF(180&lt;=$R$2,180,"")</f>
        <v/>
      </c>
      <c r="B184" s="42" t="str">
        <f aca="false">IF($A184="","",计算_雪球!B203)</f>
        <v/>
      </c>
      <c r="C184" s="43" t="str">
        <f aca="false">IF(OR($A184="",C$4=""),"",IF(每月预算!$B$29="雪崩法",计算_雪崩!I203,计算_雪球!I203))</f>
        <v/>
      </c>
      <c r="D184" s="43" t="str">
        <f aca="false">IF(OR($A184="",D$4=""),"",IF(每月预算!$B$29="雪崩法",计算_雪崩!N203,计算_雪球!N203))</f>
        <v/>
      </c>
      <c r="E184" s="43" t="str">
        <f aca="false">IF(OR($A184="",E$4=""),"",IF(每月预算!$B$29="雪崩法",计算_雪崩!S203,计算_雪球!S203))</f>
        <v/>
      </c>
      <c r="F184" s="43" t="str">
        <f aca="false">IF(OR($A184="",F$4=""),"",IF(每月预算!$B$29="雪崩法",计算_雪崩!X203,计算_雪球!X203))</f>
        <v/>
      </c>
      <c r="G184" s="43" t="str">
        <f aca="false">IF(OR($A184="",G$4=""),"",IF(每月预算!$B$29="雪崩法",计算_雪崩!AC203,计算_雪球!AC203))</f>
        <v/>
      </c>
      <c r="H184" s="43" t="str">
        <f aca="false">IF(OR($A184="",H$4=""),"",IF(每月预算!$B$29="雪崩法",计算_雪崩!AH203,计算_雪球!AH203))</f>
        <v/>
      </c>
      <c r="I184" s="43" t="str">
        <f aca="false">IF(OR($A184="",I$4=""),"",IF(每月预算!$B$29="雪崩法",计算_雪崩!AM203,计算_雪球!AM203))</f>
        <v/>
      </c>
      <c r="J184" s="43" t="str">
        <f aca="false">IF(OR($A184="",J$4=""),"",IF(每月预算!$B$29="雪崩法",计算_雪崩!AR203,计算_雪球!AR203))</f>
        <v/>
      </c>
      <c r="K184" s="43" t="str">
        <f aca="false">IF(OR($A184="",K$4=""),"",IF(每月预算!$B$29="雪崩法",计算_雪崩!AW203,计算_雪球!AW203))</f>
        <v/>
      </c>
      <c r="L184" s="43" t="str">
        <f aca="false">IF(OR($A184="",L$4=""),"",IF(每月预算!$B$29="雪崩法",计算_雪崩!BB203,计算_雪球!BB203))</f>
        <v/>
      </c>
      <c r="M184" s="43" t="str">
        <f aca="false">IF($A184="","",IF(每月预算!$B$29="雪崩法",计算_雪崩!BC203,计算_雪球!BC203))</f>
        <v/>
      </c>
      <c r="N184" s="43" t="str">
        <f aca="false">IF($A184="","",IF(每月预算!$B$29="雪崩法",计算_雪崩!BE203,计算_雪球!BE203))</f>
        <v/>
      </c>
      <c r="O184" s="43" t="str">
        <f aca="false">IF($A184="","",IF(每月预算!$B$29="雪崩法",计算_雪崩!BD203,计算_雪球!BD203))</f>
        <v/>
      </c>
    </row>
    <row r="185" customFormat="false" ht="15" hidden="false" customHeight="false" outlineLevel="0" collapsed="false">
      <c r="A185" s="24" t="str">
        <f aca="false">IF(181&lt;=$R$2,181,"")</f>
        <v/>
      </c>
      <c r="B185" s="42" t="str">
        <f aca="false">IF($A185="","",计算_雪球!B204)</f>
        <v/>
      </c>
      <c r="C185" s="43" t="str">
        <f aca="false">IF(OR($A185="",C$4=""),"",IF(每月预算!$B$29="雪崩法",计算_雪崩!I204,计算_雪球!I204))</f>
        <v/>
      </c>
      <c r="D185" s="43" t="str">
        <f aca="false">IF(OR($A185="",D$4=""),"",IF(每月预算!$B$29="雪崩法",计算_雪崩!N204,计算_雪球!N204))</f>
        <v/>
      </c>
      <c r="E185" s="43" t="str">
        <f aca="false">IF(OR($A185="",E$4=""),"",IF(每月预算!$B$29="雪崩法",计算_雪崩!S204,计算_雪球!S204))</f>
        <v/>
      </c>
      <c r="F185" s="43" t="str">
        <f aca="false">IF(OR($A185="",F$4=""),"",IF(每月预算!$B$29="雪崩法",计算_雪崩!X204,计算_雪球!X204))</f>
        <v/>
      </c>
      <c r="G185" s="43" t="str">
        <f aca="false">IF(OR($A185="",G$4=""),"",IF(每月预算!$B$29="雪崩法",计算_雪崩!AC204,计算_雪球!AC204))</f>
        <v/>
      </c>
      <c r="H185" s="43" t="str">
        <f aca="false">IF(OR($A185="",H$4=""),"",IF(每月预算!$B$29="雪崩法",计算_雪崩!AH204,计算_雪球!AH204))</f>
        <v/>
      </c>
      <c r="I185" s="43" t="str">
        <f aca="false">IF(OR($A185="",I$4=""),"",IF(每月预算!$B$29="雪崩法",计算_雪崩!AM204,计算_雪球!AM204))</f>
        <v/>
      </c>
      <c r="J185" s="43" t="str">
        <f aca="false">IF(OR($A185="",J$4=""),"",IF(每月预算!$B$29="雪崩法",计算_雪崩!AR204,计算_雪球!AR204))</f>
        <v/>
      </c>
      <c r="K185" s="43" t="str">
        <f aca="false">IF(OR($A185="",K$4=""),"",IF(每月预算!$B$29="雪崩法",计算_雪崩!AW204,计算_雪球!AW204))</f>
        <v/>
      </c>
      <c r="L185" s="43" t="str">
        <f aca="false">IF(OR($A185="",L$4=""),"",IF(每月预算!$B$29="雪崩法",计算_雪崩!BB204,计算_雪球!BB204))</f>
        <v/>
      </c>
      <c r="M185" s="43" t="str">
        <f aca="false">IF($A185="","",IF(每月预算!$B$29="雪崩法",计算_雪崩!BC204,计算_雪球!BC204))</f>
        <v/>
      </c>
      <c r="N185" s="43" t="str">
        <f aca="false">IF($A185="","",IF(每月预算!$B$29="雪崩法",计算_雪崩!BE204,计算_雪球!BE204))</f>
        <v/>
      </c>
      <c r="O185" s="43" t="str">
        <f aca="false">IF($A185="","",IF(每月预算!$B$29="雪崩法",计算_雪崩!BD204,计算_雪球!BD204))</f>
        <v/>
      </c>
    </row>
    <row r="186" customFormat="false" ht="15" hidden="false" customHeight="false" outlineLevel="0" collapsed="false">
      <c r="A186" s="24" t="str">
        <f aca="false">IF(182&lt;=$R$2,182,"")</f>
        <v/>
      </c>
      <c r="B186" s="42" t="str">
        <f aca="false">IF($A186="","",计算_雪球!B205)</f>
        <v/>
      </c>
      <c r="C186" s="43" t="str">
        <f aca="false">IF(OR($A186="",C$4=""),"",IF(每月预算!$B$29="雪崩法",计算_雪崩!I205,计算_雪球!I205))</f>
        <v/>
      </c>
      <c r="D186" s="43" t="str">
        <f aca="false">IF(OR($A186="",D$4=""),"",IF(每月预算!$B$29="雪崩法",计算_雪崩!N205,计算_雪球!N205))</f>
        <v/>
      </c>
      <c r="E186" s="43" t="str">
        <f aca="false">IF(OR($A186="",E$4=""),"",IF(每月预算!$B$29="雪崩法",计算_雪崩!S205,计算_雪球!S205))</f>
        <v/>
      </c>
      <c r="F186" s="43" t="str">
        <f aca="false">IF(OR($A186="",F$4=""),"",IF(每月预算!$B$29="雪崩法",计算_雪崩!X205,计算_雪球!X205))</f>
        <v/>
      </c>
      <c r="G186" s="43" t="str">
        <f aca="false">IF(OR($A186="",G$4=""),"",IF(每月预算!$B$29="雪崩法",计算_雪崩!AC205,计算_雪球!AC205))</f>
        <v/>
      </c>
      <c r="H186" s="43" t="str">
        <f aca="false">IF(OR($A186="",H$4=""),"",IF(每月预算!$B$29="雪崩法",计算_雪崩!AH205,计算_雪球!AH205))</f>
        <v/>
      </c>
      <c r="I186" s="43" t="str">
        <f aca="false">IF(OR($A186="",I$4=""),"",IF(每月预算!$B$29="雪崩法",计算_雪崩!AM205,计算_雪球!AM205))</f>
        <v/>
      </c>
      <c r="J186" s="43" t="str">
        <f aca="false">IF(OR($A186="",J$4=""),"",IF(每月预算!$B$29="雪崩法",计算_雪崩!AR205,计算_雪球!AR205))</f>
        <v/>
      </c>
      <c r="K186" s="43" t="str">
        <f aca="false">IF(OR($A186="",K$4=""),"",IF(每月预算!$B$29="雪崩法",计算_雪崩!AW205,计算_雪球!AW205))</f>
        <v/>
      </c>
      <c r="L186" s="43" t="str">
        <f aca="false">IF(OR($A186="",L$4=""),"",IF(每月预算!$B$29="雪崩法",计算_雪崩!BB205,计算_雪球!BB205))</f>
        <v/>
      </c>
      <c r="M186" s="43" t="str">
        <f aca="false">IF($A186="","",IF(每月预算!$B$29="雪崩法",计算_雪崩!BC205,计算_雪球!BC205))</f>
        <v/>
      </c>
      <c r="N186" s="43" t="str">
        <f aca="false">IF($A186="","",IF(每月预算!$B$29="雪崩法",计算_雪崩!BE205,计算_雪球!BE205))</f>
        <v/>
      </c>
      <c r="O186" s="43" t="str">
        <f aca="false">IF($A186="","",IF(每月预算!$B$29="雪崩法",计算_雪崩!BD205,计算_雪球!BD205))</f>
        <v/>
      </c>
    </row>
    <row r="187" customFormat="false" ht="15" hidden="false" customHeight="false" outlineLevel="0" collapsed="false">
      <c r="A187" s="24" t="str">
        <f aca="false">IF(183&lt;=$R$2,183,"")</f>
        <v/>
      </c>
      <c r="B187" s="42" t="str">
        <f aca="false">IF($A187="","",计算_雪球!B206)</f>
        <v/>
      </c>
      <c r="C187" s="43" t="str">
        <f aca="false">IF(OR($A187="",C$4=""),"",IF(每月预算!$B$29="雪崩法",计算_雪崩!I206,计算_雪球!I206))</f>
        <v/>
      </c>
      <c r="D187" s="43" t="str">
        <f aca="false">IF(OR($A187="",D$4=""),"",IF(每月预算!$B$29="雪崩法",计算_雪崩!N206,计算_雪球!N206))</f>
        <v/>
      </c>
      <c r="E187" s="43" t="str">
        <f aca="false">IF(OR($A187="",E$4=""),"",IF(每月预算!$B$29="雪崩法",计算_雪崩!S206,计算_雪球!S206))</f>
        <v/>
      </c>
      <c r="F187" s="43" t="str">
        <f aca="false">IF(OR($A187="",F$4=""),"",IF(每月预算!$B$29="雪崩法",计算_雪崩!X206,计算_雪球!X206))</f>
        <v/>
      </c>
      <c r="G187" s="43" t="str">
        <f aca="false">IF(OR($A187="",G$4=""),"",IF(每月预算!$B$29="雪崩法",计算_雪崩!AC206,计算_雪球!AC206))</f>
        <v/>
      </c>
      <c r="H187" s="43" t="str">
        <f aca="false">IF(OR($A187="",H$4=""),"",IF(每月预算!$B$29="雪崩法",计算_雪崩!AH206,计算_雪球!AH206))</f>
        <v/>
      </c>
      <c r="I187" s="43" t="str">
        <f aca="false">IF(OR($A187="",I$4=""),"",IF(每月预算!$B$29="雪崩法",计算_雪崩!AM206,计算_雪球!AM206))</f>
        <v/>
      </c>
      <c r="J187" s="43" t="str">
        <f aca="false">IF(OR($A187="",J$4=""),"",IF(每月预算!$B$29="雪崩法",计算_雪崩!AR206,计算_雪球!AR206))</f>
        <v/>
      </c>
      <c r="K187" s="43" t="str">
        <f aca="false">IF(OR($A187="",K$4=""),"",IF(每月预算!$B$29="雪崩法",计算_雪崩!AW206,计算_雪球!AW206))</f>
        <v/>
      </c>
      <c r="L187" s="43" t="str">
        <f aca="false">IF(OR($A187="",L$4=""),"",IF(每月预算!$B$29="雪崩法",计算_雪崩!BB206,计算_雪球!BB206))</f>
        <v/>
      </c>
      <c r="M187" s="43" t="str">
        <f aca="false">IF($A187="","",IF(每月预算!$B$29="雪崩法",计算_雪崩!BC206,计算_雪球!BC206))</f>
        <v/>
      </c>
      <c r="N187" s="43" t="str">
        <f aca="false">IF($A187="","",IF(每月预算!$B$29="雪崩法",计算_雪崩!BE206,计算_雪球!BE206))</f>
        <v/>
      </c>
      <c r="O187" s="43" t="str">
        <f aca="false">IF($A187="","",IF(每月预算!$B$29="雪崩法",计算_雪崩!BD206,计算_雪球!BD206))</f>
        <v/>
      </c>
    </row>
    <row r="188" customFormat="false" ht="15" hidden="false" customHeight="false" outlineLevel="0" collapsed="false">
      <c r="A188" s="24" t="str">
        <f aca="false">IF(184&lt;=$R$2,184,"")</f>
        <v/>
      </c>
      <c r="B188" s="42" t="str">
        <f aca="false">IF($A188="","",计算_雪球!B207)</f>
        <v/>
      </c>
      <c r="C188" s="43" t="str">
        <f aca="false">IF(OR($A188="",C$4=""),"",IF(每月预算!$B$29="雪崩法",计算_雪崩!I207,计算_雪球!I207))</f>
        <v/>
      </c>
      <c r="D188" s="43" t="str">
        <f aca="false">IF(OR($A188="",D$4=""),"",IF(每月预算!$B$29="雪崩法",计算_雪崩!N207,计算_雪球!N207))</f>
        <v/>
      </c>
      <c r="E188" s="43" t="str">
        <f aca="false">IF(OR($A188="",E$4=""),"",IF(每月预算!$B$29="雪崩法",计算_雪崩!S207,计算_雪球!S207))</f>
        <v/>
      </c>
      <c r="F188" s="43" t="str">
        <f aca="false">IF(OR($A188="",F$4=""),"",IF(每月预算!$B$29="雪崩法",计算_雪崩!X207,计算_雪球!X207))</f>
        <v/>
      </c>
      <c r="G188" s="43" t="str">
        <f aca="false">IF(OR($A188="",G$4=""),"",IF(每月预算!$B$29="雪崩法",计算_雪崩!AC207,计算_雪球!AC207))</f>
        <v/>
      </c>
      <c r="H188" s="43" t="str">
        <f aca="false">IF(OR($A188="",H$4=""),"",IF(每月预算!$B$29="雪崩法",计算_雪崩!AH207,计算_雪球!AH207))</f>
        <v/>
      </c>
      <c r="I188" s="43" t="str">
        <f aca="false">IF(OR($A188="",I$4=""),"",IF(每月预算!$B$29="雪崩法",计算_雪崩!AM207,计算_雪球!AM207))</f>
        <v/>
      </c>
      <c r="J188" s="43" t="str">
        <f aca="false">IF(OR($A188="",J$4=""),"",IF(每月预算!$B$29="雪崩法",计算_雪崩!AR207,计算_雪球!AR207))</f>
        <v/>
      </c>
      <c r="K188" s="43" t="str">
        <f aca="false">IF(OR($A188="",K$4=""),"",IF(每月预算!$B$29="雪崩法",计算_雪崩!AW207,计算_雪球!AW207))</f>
        <v/>
      </c>
      <c r="L188" s="43" t="str">
        <f aca="false">IF(OR($A188="",L$4=""),"",IF(每月预算!$B$29="雪崩法",计算_雪崩!BB207,计算_雪球!BB207))</f>
        <v/>
      </c>
      <c r="M188" s="43" t="str">
        <f aca="false">IF($A188="","",IF(每月预算!$B$29="雪崩法",计算_雪崩!BC207,计算_雪球!BC207))</f>
        <v/>
      </c>
      <c r="N188" s="43" t="str">
        <f aca="false">IF($A188="","",IF(每月预算!$B$29="雪崩法",计算_雪崩!BE207,计算_雪球!BE207))</f>
        <v/>
      </c>
      <c r="O188" s="43" t="str">
        <f aca="false">IF($A188="","",IF(每月预算!$B$29="雪崩法",计算_雪崩!BD207,计算_雪球!BD207))</f>
        <v/>
      </c>
    </row>
    <row r="189" customFormat="false" ht="15" hidden="false" customHeight="false" outlineLevel="0" collapsed="false">
      <c r="A189" s="24" t="str">
        <f aca="false">IF(185&lt;=$R$2,185,"")</f>
        <v/>
      </c>
      <c r="B189" s="42" t="str">
        <f aca="false">IF($A189="","",计算_雪球!B208)</f>
        <v/>
      </c>
      <c r="C189" s="43" t="str">
        <f aca="false">IF(OR($A189="",C$4=""),"",IF(每月预算!$B$29="雪崩法",计算_雪崩!I208,计算_雪球!I208))</f>
        <v/>
      </c>
      <c r="D189" s="43" t="str">
        <f aca="false">IF(OR($A189="",D$4=""),"",IF(每月预算!$B$29="雪崩法",计算_雪崩!N208,计算_雪球!N208))</f>
        <v/>
      </c>
      <c r="E189" s="43" t="str">
        <f aca="false">IF(OR($A189="",E$4=""),"",IF(每月预算!$B$29="雪崩法",计算_雪崩!S208,计算_雪球!S208))</f>
        <v/>
      </c>
      <c r="F189" s="43" t="str">
        <f aca="false">IF(OR($A189="",F$4=""),"",IF(每月预算!$B$29="雪崩法",计算_雪崩!X208,计算_雪球!X208))</f>
        <v/>
      </c>
      <c r="G189" s="43" t="str">
        <f aca="false">IF(OR($A189="",G$4=""),"",IF(每月预算!$B$29="雪崩法",计算_雪崩!AC208,计算_雪球!AC208))</f>
        <v/>
      </c>
      <c r="H189" s="43" t="str">
        <f aca="false">IF(OR($A189="",H$4=""),"",IF(每月预算!$B$29="雪崩法",计算_雪崩!AH208,计算_雪球!AH208))</f>
        <v/>
      </c>
      <c r="I189" s="43" t="str">
        <f aca="false">IF(OR($A189="",I$4=""),"",IF(每月预算!$B$29="雪崩法",计算_雪崩!AM208,计算_雪球!AM208))</f>
        <v/>
      </c>
      <c r="J189" s="43" t="str">
        <f aca="false">IF(OR($A189="",J$4=""),"",IF(每月预算!$B$29="雪崩法",计算_雪崩!AR208,计算_雪球!AR208))</f>
        <v/>
      </c>
      <c r="K189" s="43" t="str">
        <f aca="false">IF(OR($A189="",K$4=""),"",IF(每月预算!$B$29="雪崩法",计算_雪崩!AW208,计算_雪球!AW208))</f>
        <v/>
      </c>
      <c r="L189" s="43" t="str">
        <f aca="false">IF(OR($A189="",L$4=""),"",IF(每月预算!$B$29="雪崩法",计算_雪崩!BB208,计算_雪球!BB208))</f>
        <v/>
      </c>
      <c r="M189" s="43" t="str">
        <f aca="false">IF($A189="","",IF(每月预算!$B$29="雪崩法",计算_雪崩!BC208,计算_雪球!BC208))</f>
        <v/>
      </c>
      <c r="N189" s="43" t="str">
        <f aca="false">IF($A189="","",IF(每月预算!$B$29="雪崩法",计算_雪崩!BE208,计算_雪球!BE208))</f>
        <v/>
      </c>
      <c r="O189" s="43" t="str">
        <f aca="false">IF($A189="","",IF(每月预算!$B$29="雪崩法",计算_雪崩!BD208,计算_雪球!BD208))</f>
        <v/>
      </c>
    </row>
    <row r="190" customFormat="false" ht="15" hidden="false" customHeight="false" outlineLevel="0" collapsed="false">
      <c r="A190" s="24" t="str">
        <f aca="false">IF(186&lt;=$R$2,186,"")</f>
        <v/>
      </c>
      <c r="B190" s="42" t="str">
        <f aca="false">IF($A190="","",计算_雪球!B209)</f>
        <v/>
      </c>
      <c r="C190" s="43" t="str">
        <f aca="false">IF(OR($A190="",C$4=""),"",IF(每月预算!$B$29="雪崩法",计算_雪崩!I209,计算_雪球!I209))</f>
        <v/>
      </c>
      <c r="D190" s="43" t="str">
        <f aca="false">IF(OR($A190="",D$4=""),"",IF(每月预算!$B$29="雪崩法",计算_雪崩!N209,计算_雪球!N209))</f>
        <v/>
      </c>
      <c r="E190" s="43" t="str">
        <f aca="false">IF(OR($A190="",E$4=""),"",IF(每月预算!$B$29="雪崩法",计算_雪崩!S209,计算_雪球!S209))</f>
        <v/>
      </c>
      <c r="F190" s="43" t="str">
        <f aca="false">IF(OR($A190="",F$4=""),"",IF(每月预算!$B$29="雪崩法",计算_雪崩!X209,计算_雪球!X209))</f>
        <v/>
      </c>
      <c r="G190" s="43" t="str">
        <f aca="false">IF(OR($A190="",G$4=""),"",IF(每月预算!$B$29="雪崩法",计算_雪崩!AC209,计算_雪球!AC209))</f>
        <v/>
      </c>
      <c r="H190" s="43" t="str">
        <f aca="false">IF(OR($A190="",H$4=""),"",IF(每月预算!$B$29="雪崩法",计算_雪崩!AH209,计算_雪球!AH209))</f>
        <v/>
      </c>
      <c r="I190" s="43" t="str">
        <f aca="false">IF(OR($A190="",I$4=""),"",IF(每月预算!$B$29="雪崩法",计算_雪崩!AM209,计算_雪球!AM209))</f>
        <v/>
      </c>
      <c r="J190" s="43" t="str">
        <f aca="false">IF(OR($A190="",J$4=""),"",IF(每月预算!$B$29="雪崩法",计算_雪崩!AR209,计算_雪球!AR209))</f>
        <v/>
      </c>
      <c r="K190" s="43" t="str">
        <f aca="false">IF(OR($A190="",K$4=""),"",IF(每月预算!$B$29="雪崩法",计算_雪崩!AW209,计算_雪球!AW209))</f>
        <v/>
      </c>
      <c r="L190" s="43" t="str">
        <f aca="false">IF(OR($A190="",L$4=""),"",IF(每月预算!$B$29="雪崩法",计算_雪崩!BB209,计算_雪球!BB209))</f>
        <v/>
      </c>
      <c r="M190" s="43" t="str">
        <f aca="false">IF($A190="","",IF(每月预算!$B$29="雪崩法",计算_雪崩!BC209,计算_雪球!BC209))</f>
        <v/>
      </c>
      <c r="N190" s="43" t="str">
        <f aca="false">IF($A190="","",IF(每月预算!$B$29="雪崩法",计算_雪崩!BE209,计算_雪球!BE209))</f>
        <v/>
      </c>
      <c r="O190" s="43" t="str">
        <f aca="false">IF($A190="","",IF(每月预算!$B$29="雪崩法",计算_雪崩!BD209,计算_雪球!BD209))</f>
        <v/>
      </c>
    </row>
    <row r="191" customFormat="false" ht="15" hidden="false" customHeight="false" outlineLevel="0" collapsed="false">
      <c r="A191" s="24" t="str">
        <f aca="false">IF(187&lt;=$R$2,187,"")</f>
        <v/>
      </c>
      <c r="B191" s="42" t="str">
        <f aca="false">IF($A191="","",计算_雪球!B210)</f>
        <v/>
      </c>
      <c r="C191" s="43" t="str">
        <f aca="false">IF(OR($A191="",C$4=""),"",IF(每月预算!$B$29="雪崩法",计算_雪崩!I210,计算_雪球!I210))</f>
        <v/>
      </c>
      <c r="D191" s="43" t="str">
        <f aca="false">IF(OR($A191="",D$4=""),"",IF(每月预算!$B$29="雪崩法",计算_雪崩!N210,计算_雪球!N210))</f>
        <v/>
      </c>
      <c r="E191" s="43" t="str">
        <f aca="false">IF(OR($A191="",E$4=""),"",IF(每月预算!$B$29="雪崩法",计算_雪崩!S210,计算_雪球!S210))</f>
        <v/>
      </c>
      <c r="F191" s="43" t="str">
        <f aca="false">IF(OR($A191="",F$4=""),"",IF(每月预算!$B$29="雪崩法",计算_雪崩!X210,计算_雪球!X210))</f>
        <v/>
      </c>
      <c r="G191" s="43" t="str">
        <f aca="false">IF(OR($A191="",G$4=""),"",IF(每月预算!$B$29="雪崩法",计算_雪崩!AC210,计算_雪球!AC210))</f>
        <v/>
      </c>
      <c r="H191" s="43" t="str">
        <f aca="false">IF(OR($A191="",H$4=""),"",IF(每月预算!$B$29="雪崩法",计算_雪崩!AH210,计算_雪球!AH210))</f>
        <v/>
      </c>
      <c r="I191" s="43" t="str">
        <f aca="false">IF(OR($A191="",I$4=""),"",IF(每月预算!$B$29="雪崩法",计算_雪崩!AM210,计算_雪球!AM210))</f>
        <v/>
      </c>
      <c r="J191" s="43" t="str">
        <f aca="false">IF(OR($A191="",J$4=""),"",IF(每月预算!$B$29="雪崩法",计算_雪崩!AR210,计算_雪球!AR210))</f>
        <v/>
      </c>
      <c r="K191" s="43" t="str">
        <f aca="false">IF(OR($A191="",K$4=""),"",IF(每月预算!$B$29="雪崩法",计算_雪崩!AW210,计算_雪球!AW210))</f>
        <v/>
      </c>
      <c r="L191" s="43" t="str">
        <f aca="false">IF(OR($A191="",L$4=""),"",IF(每月预算!$B$29="雪崩法",计算_雪崩!BB210,计算_雪球!BB210))</f>
        <v/>
      </c>
      <c r="M191" s="43" t="str">
        <f aca="false">IF($A191="","",IF(每月预算!$B$29="雪崩法",计算_雪崩!BC210,计算_雪球!BC210))</f>
        <v/>
      </c>
      <c r="N191" s="43" t="str">
        <f aca="false">IF($A191="","",IF(每月预算!$B$29="雪崩法",计算_雪崩!BE210,计算_雪球!BE210))</f>
        <v/>
      </c>
      <c r="O191" s="43" t="str">
        <f aca="false">IF($A191="","",IF(每月预算!$B$29="雪崩法",计算_雪崩!BD210,计算_雪球!BD210))</f>
        <v/>
      </c>
    </row>
    <row r="192" customFormat="false" ht="15" hidden="false" customHeight="false" outlineLevel="0" collapsed="false">
      <c r="A192" s="24" t="str">
        <f aca="false">IF(188&lt;=$R$2,188,"")</f>
        <v/>
      </c>
      <c r="B192" s="42" t="str">
        <f aca="false">IF($A192="","",计算_雪球!B211)</f>
        <v/>
      </c>
      <c r="C192" s="43" t="str">
        <f aca="false">IF(OR($A192="",C$4=""),"",IF(每月预算!$B$29="雪崩法",计算_雪崩!I211,计算_雪球!I211))</f>
        <v/>
      </c>
      <c r="D192" s="43" t="str">
        <f aca="false">IF(OR($A192="",D$4=""),"",IF(每月预算!$B$29="雪崩法",计算_雪崩!N211,计算_雪球!N211))</f>
        <v/>
      </c>
      <c r="E192" s="43" t="str">
        <f aca="false">IF(OR($A192="",E$4=""),"",IF(每月预算!$B$29="雪崩法",计算_雪崩!S211,计算_雪球!S211))</f>
        <v/>
      </c>
      <c r="F192" s="43" t="str">
        <f aca="false">IF(OR($A192="",F$4=""),"",IF(每月预算!$B$29="雪崩法",计算_雪崩!X211,计算_雪球!X211))</f>
        <v/>
      </c>
      <c r="G192" s="43" t="str">
        <f aca="false">IF(OR($A192="",G$4=""),"",IF(每月预算!$B$29="雪崩法",计算_雪崩!AC211,计算_雪球!AC211))</f>
        <v/>
      </c>
      <c r="H192" s="43" t="str">
        <f aca="false">IF(OR($A192="",H$4=""),"",IF(每月预算!$B$29="雪崩法",计算_雪崩!AH211,计算_雪球!AH211))</f>
        <v/>
      </c>
      <c r="I192" s="43" t="str">
        <f aca="false">IF(OR($A192="",I$4=""),"",IF(每月预算!$B$29="雪崩法",计算_雪崩!AM211,计算_雪球!AM211))</f>
        <v/>
      </c>
      <c r="J192" s="43" t="str">
        <f aca="false">IF(OR($A192="",J$4=""),"",IF(每月预算!$B$29="雪崩法",计算_雪崩!AR211,计算_雪球!AR211))</f>
        <v/>
      </c>
      <c r="K192" s="43" t="str">
        <f aca="false">IF(OR($A192="",K$4=""),"",IF(每月预算!$B$29="雪崩法",计算_雪崩!AW211,计算_雪球!AW211))</f>
        <v/>
      </c>
      <c r="L192" s="43" t="str">
        <f aca="false">IF(OR($A192="",L$4=""),"",IF(每月预算!$B$29="雪崩法",计算_雪崩!BB211,计算_雪球!BB211))</f>
        <v/>
      </c>
      <c r="M192" s="43" t="str">
        <f aca="false">IF($A192="","",IF(每月预算!$B$29="雪崩法",计算_雪崩!BC211,计算_雪球!BC211))</f>
        <v/>
      </c>
      <c r="N192" s="43" t="str">
        <f aca="false">IF($A192="","",IF(每月预算!$B$29="雪崩法",计算_雪崩!BE211,计算_雪球!BE211))</f>
        <v/>
      </c>
      <c r="O192" s="43" t="str">
        <f aca="false">IF($A192="","",IF(每月预算!$B$29="雪崩法",计算_雪崩!BD211,计算_雪球!BD211))</f>
        <v/>
      </c>
    </row>
    <row r="193" customFormat="false" ht="15" hidden="false" customHeight="false" outlineLevel="0" collapsed="false">
      <c r="A193" s="24" t="str">
        <f aca="false">IF(189&lt;=$R$2,189,"")</f>
        <v/>
      </c>
      <c r="B193" s="42" t="str">
        <f aca="false">IF($A193="","",计算_雪球!B212)</f>
        <v/>
      </c>
      <c r="C193" s="43" t="str">
        <f aca="false">IF(OR($A193="",C$4=""),"",IF(每月预算!$B$29="雪崩法",计算_雪崩!I212,计算_雪球!I212))</f>
        <v/>
      </c>
      <c r="D193" s="43" t="str">
        <f aca="false">IF(OR($A193="",D$4=""),"",IF(每月预算!$B$29="雪崩法",计算_雪崩!N212,计算_雪球!N212))</f>
        <v/>
      </c>
      <c r="E193" s="43" t="str">
        <f aca="false">IF(OR($A193="",E$4=""),"",IF(每月预算!$B$29="雪崩法",计算_雪崩!S212,计算_雪球!S212))</f>
        <v/>
      </c>
      <c r="F193" s="43" t="str">
        <f aca="false">IF(OR($A193="",F$4=""),"",IF(每月预算!$B$29="雪崩法",计算_雪崩!X212,计算_雪球!X212))</f>
        <v/>
      </c>
      <c r="G193" s="43" t="str">
        <f aca="false">IF(OR($A193="",G$4=""),"",IF(每月预算!$B$29="雪崩法",计算_雪崩!AC212,计算_雪球!AC212))</f>
        <v/>
      </c>
      <c r="H193" s="43" t="str">
        <f aca="false">IF(OR($A193="",H$4=""),"",IF(每月预算!$B$29="雪崩法",计算_雪崩!AH212,计算_雪球!AH212))</f>
        <v/>
      </c>
      <c r="I193" s="43" t="str">
        <f aca="false">IF(OR($A193="",I$4=""),"",IF(每月预算!$B$29="雪崩法",计算_雪崩!AM212,计算_雪球!AM212))</f>
        <v/>
      </c>
      <c r="J193" s="43" t="str">
        <f aca="false">IF(OR($A193="",J$4=""),"",IF(每月预算!$B$29="雪崩法",计算_雪崩!AR212,计算_雪球!AR212))</f>
        <v/>
      </c>
      <c r="K193" s="43" t="str">
        <f aca="false">IF(OR($A193="",K$4=""),"",IF(每月预算!$B$29="雪崩法",计算_雪崩!AW212,计算_雪球!AW212))</f>
        <v/>
      </c>
      <c r="L193" s="43" t="str">
        <f aca="false">IF(OR($A193="",L$4=""),"",IF(每月预算!$B$29="雪崩法",计算_雪崩!BB212,计算_雪球!BB212))</f>
        <v/>
      </c>
      <c r="M193" s="43" t="str">
        <f aca="false">IF($A193="","",IF(每月预算!$B$29="雪崩法",计算_雪崩!BC212,计算_雪球!BC212))</f>
        <v/>
      </c>
      <c r="N193" s="43" t="str">
        <f aca="false">IF($A193="","",IF(每月预算!$B$29="雪崩法",计算_雪崩!BE212,计算_雪球!BE212))</f>
        <v/>
      </c>
      <c r="O193" s="43" t="str">
        <f aca="false">IF($A193="","",IF(每月预算!$B$29="雪崩法",计算_雪崩!BD212,计算_雪球!BD212))</f>
        <v/>
      </c>
    </row>
    <row r="194" customFormat="false" ht="15" hidden="false" customHeight="false" outlineLevel="0" collapsed="false">
      <c r="A194" s="24" t="str">
        <f aca="false">IF(190&lt;=$R$2,190,"")</f>
        <v/>
      </c>
      <c r="B194" s="42" t="str">
        <f aca="false">IF($A194="","",计算_雪球!B213)</f>
        <v/>
      </c>
      <c r="C194" s="43" t="str">
        <f aca="false">IF(OR($A194="",C$4=""),"",IF(每月预算!$B$29="雪崩法",计算_雪崩!I213,计算_雪球!I213))</f>
        <v/>
      </c>
      <c r="D194" s="43" t="str">
        <f aca="false">IF(OR($A194="",D$4=""),"",IF(每月预算!$B$29="雪崩法",计算_雪崩!N213,计算_雪球!N213))</f>
        <v/>
      </c>
      <c r="E194" s="43" t="str">
        <f aca="false">IF(OR($A194="",E$4=""),"",IF(每月预算!$B$29="雪崩法",计算_雪崩!S213,计算_雪球!S213))</f>
        <v/>
      </c>
      <c r="F194" s="43" t="str">
        <f aca="false">IF(OR($A194="",F$4=""),"",IF(每月预算!$B$29="雪崩法",计算_雪崩!X213,计算_雪球!X213))</f>
        <v/>
      </c>
      <c r="G194" s="43" t="str">
        <f aca="false">IF(OR($A194="",G$4=""),"",IF(每月预算!$B$29="雪崩法",计算_雪崩!AC213,计算_雪球!AC213))</f>
        <v/>
      </c>
      <c r="H194" s="43" t="str">
        <f aca="false">IF(OR($A194="",H$4=""),"",IF(每月预算!$B$29="雪崩法",计算_雪崩!AH213,计算_雪球!AH213))</f>
        <v/>
      </c>
      <c r="I194" s="43" t="str">
        <f aca="false">IF(OR($A194="",I$4=""),"",IF(每月预算!$B$29="雪崩法",计算_雪崩!AM213,计算_雪球!AM213))</f>
        <v/>
      </c>
      <c r="J194" s="43" t="str">
        <f aca="false">IF(OR($A194="",J$4=""),"",IF(每月预算!$B$29="雪崩法",计算_雪崩!AR213,计算_雪球!AR213))</f>
        <v/>
      </c>
      <c r="K194" s="43" t="str">
        <f aca="false">IF(OR($A194="",K$4=""),"",IF(每月预算!$B$29="雪崩法",计算_雪崩!AW213,计算_雪球!AW213))</f>
        <v/>
      </c>
      <c r="L194" s="43" t="str">
        <f aca="false">IF(OR($A194="",L$4=""),"",IF(每月预算!$B$29="雪崩法",计算_雪崩!BB213,计算_雪球!BB213))</f>
        <v/>
      </c>
      <c r="M194" s="43" t="str">
        <f aca="false">IF($A194="","",IF(每月预算!$B$29="雪崩法",计算_雪崩!BC213,计算_雪球!BC213))</f>
        <v/>
      </c>
      <c r="N194" s="43" t="str">
        <f aca="false">IF($A194="","",IF(每月预算!$B$29="雪崩法",计算_雪崩!BE213,计算_雪球!BE213))</f>
        <v/>
      </c>
      <c r="O194" s="43" t="str">
        <f aca="false">IF($A194="","",IF(每月预算!$B$29="雪崩法",计算_雪崩!BD213,计算_雪球!BD213))</f>
        <v/>
      </c>
    </row>
    <row r="195" customFormat="false" ht="15" hidden="false" customHeight="false" outlineLevel="0" collapsed="false">
      <c r="A195" s="24" t="str">
        <f aca="false">IF(191&lt;=$R$2,191,"")</f>
        <v/>
      </c>
      <c r="B195" s="42" t="str">
        <f aca="false">IF($A195="","",计算_雪球!B214)</f>
        <v/>
      </c>
      <c r="C195" s="43" t="str">
        <f aca="false">IF(OR($A195="",C$4=""),"",IF(每月预算!$B$29="雪崩法",计算_雪崩!I214,计算_雪球!I214))</f>
        <v/>
      </c>
      <c r="D195" s="43" t="str">
        <f aca="false">IF(OR($A195="",D$4=""),"",IF(每月预算!$B$29="雪崩法",计算_雪崩!N214,计算_雪球!N214))</f>
        <v/>
      </c>
      <c r="E195" s="43" t="str">
        <f aca="false">IF(OR($A195="",E$4=""),"",IF(每月预算!$B$29="雪崩法",计算_雪崩!S214,计算_雪球!S214))</f>
        <v/>
      </c>
      <c r="F195" s="43" t="str">
        <f aca="false">IF(OR($A195="",F$4=""),"",IF(每月预算!$B$29="雪崩法",计算_雪崩!X214,计算_雪球!X214))</f>
        <v/>
      </c>
      <c r="G195" s="43" t="str">
        <f aca="false">IF(OR($A195="",G$4=""),"",IF(每月预算!$B$29="雪崩法",计算_雪崩!AC214,计算_雪球!AC214))</f>
        <v/>
      </c>
      <c r="H195" s="43" t="str">
        <f aca="false">IF(OR($A195="",H$4=""),"",IF(每月预算!$B$29="雪崩法",计算_雪崩!AH214,计算_雪球!AH214))</f>
        <v/>
      </c>
      <c r="I195" s="43" t="str">
        <f aca="false">IF(OR($A195="",I$4=""),"",IF(每月预算!$B$29="雪崩法",计算_雪崩!AM214,计算_雪球!AM214))</f>
        <v/>
      </c>
      <c r="J195" s="43" t="str">
        <f aca="false">IF(OR($A195="",J$4=""),"",IF(每月预算!$B$29="雪崩法",计算_雪崩!AR214,计算_雪球!AR214))</f>
        <v/>
      </c>
      <c r="K195" s="43" t="str">
        <f aca="false">IF(OR($A195="",K$4=""),"",IF(每月预算!$B$29="雪崩法",计算_雪崩!AW214,计算_雪球!AW214))</f>
        <v/>
      </c>
      <c r="L195" s="43" t="str">
        <f aca="false">IF(OR($A195="",L$4=""),"",IF(每月预算!$B$29="雪崩法",计算_雪崩!BB214,计算_雪球!BB214))</f>
        <v/>
      </c>
      <c r="M195" s="43" t="str">
        <f aca="false">IF($A195="","",IF(每月预算!$B$29="雪崩法",计算_雪崩!BC214,计算_雪球!BC214))</f>
        <v/>
      </c>
      <c r="N195" s="43" t="str">
        <f aca="false">IF($A195="","",IF(每月预算!$B$29="雪崩法",计算_雪崩!BE214,计算_雪球!BE214))</f>
        <v/>
      </c>
      <c r="O195" s="43" t="str">
        <f aca="false">IF($A195="","",IF(每月预算!$B$29="雪崩法",计算_雪崩!BD214,计算_雪球!BD214))</f>
        <v/>
      </c>
    </row>
    <row r="196" customFormat="false" ht="15" hidden="false" customHeight="false" outlineLevel="0" collapsed="false">
      <c r="A196" s="24" t="str">
        <f aca="false">IF(192&lt;=$R$2,192,"")</f>
        <v/>
      </c>
      <c r="B196" s="42" t="str">
        <f aca="false">IF($A196="","",计算_雪球!B215)</f>
        <v/>
      </c>
      <c r="C196" s="43" t="str">
        <f aca="false">IF(OR($A196="",C$4=""),"",IF(每月预算!$B$29="雪崩法",计算_雪崩!I215,计算_雪球!I215))</f>
        <v/>
      </c>
      <c r="D196" s="43" t="str">
        <f aca="false">IF(OR($A196="",D$4=""),"",IF(每月预算!$B$29="雪崩法",计算_雪崩!N215,计算_雪球!N215))</f>
        <v/>
      </c>
      <c r="E196" s="43" t="str">
        <f aca="false">IF(OR($A196="",E$4=""),"",IF(每月预算!$B$29="雪崩法",计算_雪崩!S215,计算_雪球!S215))</f>
        <v/>
      </c>
      <c r="F196" s="43" t="str">
        <f aca="false">IF(OR($A196="",F$4=""),"",IF(每月预算!$B$29="雪崩法",计算_雪崩!X215,计算_雪球!X215))</f>
        <v/>
      </c>
      <c r="G196" s="43" t="str">
        <f aca="false">IF(OR($A196="",G$4=""),"",IF(每月预算!$B$29="雪崩法",计算_雪崩!AC215,计算_雪球!AC215))</f>
        <v/>
      </c>
      <c r="H196" s="43" t="str">
        <f aca="false">IF(OR($A196="",H$4=""),"",IF(每月预算!$B$29="雪崩法",计算_雪崩!AH215,计算_雪球!AH215))</f>
        <v/>
      </c>
      <c r="I196" s="43" t="str">
        <f aca="false">IF(OR($A196="",I$4=""),"",IF(每月预算!$B$29="雪崩法",计算_雪崩!AM215,计算_雪球!AM215))</f>
        <v/>
      </c>
      <c r="J196" s="43" t="str">
        <f aca="false">IF(OR($A196="",J$4=""),"",IF(每月预算!$B$29="雪崩法",计算_雪崩!AR215,计算_雪球!AR215))</f>
        <v/>
      </c>
      <c r="K196" s="43" t="str">
        <f aca="false">IF(OR($A196="",K$4=""),"",IF(每月预算!$B$29="雪崩法",计算_雪崩!AW215,计算_雪球!AW215))</f>
        <v/>
      </c>
      <c r="L196" s="43" t="str">
        <f aca="false">IF(OR($A196="",L$4=""),"",IF(每月预算!$B$29="雪崩法",计算_雪崩!BB215,计算_雪球!BB215))</f>
        <v/>
      </c>
      <c r="M196" s="43" t="str">
        <f aca="false">IF($A196="","",IF(每月预算!$B$29="雪崩法",计算_雪崩!BC215,计算_雪球!BC215))</f>
        <v/>
      </c>
      <c r="N196" s="43" t="str">
        <f aca="false">IF($A196="","",IF(每月预算!$B$29="雪崩法",计算_雪崩!BE215,计算_雪球!BE215))</f>
        <v/>
      </c>
      <c r="O196" s="43" t="str">
        <f aca="false">IF($A196="","",IF(每月预算!$B$29="雪崩法",计算_雪崩!BD215,计算_雪球!BD215))</f>
        <v/>
      </c>
    </row>
    <row r="197" customFormat="false" ht="15" hidden="false" customHeight="false" outlineLevel="0" collapsed="false">
      <c r="A197" s="24" t="str">
        <f aca="false">IF(193&lt;=$R$2,193,"")</f>
        <v/>
      </c>
      <c r="B197" s="42" t="str">
        <f aca="false">IF($A197="","",计算_雪球!B216)</f>
        <v/>
      </c>
      <c r="C197" s="43" t="str">
        <f aca="false">IF(OR($A197="",C$4=""),"",IF(每月预算!$B$29="雪崩法",计算_雪崩!I216,计算_雪球!I216))</f>
        <v/>
      </c>
      <c r="D197" s="43" t="str">
        <f aca="false">IF(OR($A197="",D$4=""),"",IF(每月预算!$B$29="雪崩法",计算_雪崩!N216,计算_雪球!N216))</f>
        <v/>
      </c>
      <c r="E197" s="43" t="str">
        <f aca="false">IF(OR($A197="",E$4=""),"",IF(每月预算!$B$29="雪崩法",计算_雪崩!S216,计算_雪球!S216))</f>
        <v/>
      </c>
      <c r="F197" s="43" t="str">
        <f aca="false">IF(OR($A197="",F$4=""),"",IF(每月预算!$B$29="雪崩法",计算_雪崩!X216,计算_雪球!X216))</f>
        <v/>
      </c>
      <c r="G197" s="43" t="str">
        <f aca="false">IF(OR($A197="",G$4=""),"",IF(每月预算!$B$29="雪崩法",计算_雪崩!AC216,计算_雪球!AC216))</f>
        <v/>
      </c>
      <c r="H197" s="43" t="str">
        <f aca="false">IF(OR($A197="",H$4=""),"",IF(每月预算!$B$29="雪崩法",计算_雪崩!AH216,计算_雪球!AH216))</f>
        <v/>
      </c>
      <c r="I197" s="43" t="str">
        <f aca="false">IF(OR($A197="",I$4=""),"",IF(每月预算!$B$29="雪崩法",计算_雪崩!AM216,计算_雪球!AM216))</f>
        <v/>
      </c>
      <c r="J197" s="43" t="str">
        <f aca="false">IF(OR($A197="",J$4=""),"",IF(每月预算!$B$29="雪崩法",计算_雪崩!AR216,计算_雪球!AR216))</f>
        <v/>
      </c>
      <c r="K197" s="43" t="str">
        <f aca="false">IF(OR($A197="",K$4=""),"",IF(每月预算!$B$29="雪崩法",计算_雪崩!AW216,计算_雪球!AW216))</f>
        <v/>
      </c>
      <c r="L197" s="43" t="str">
        <f aca="false">IF(OR($A197="",L$4=""),"",IF(每月预算!$B$29="雪崩法",计算_雪崩!BB216,计算_雪球!BB216))</f>
        <v/>
      </c>
      <c r="M197" s="43" t="str">
        <f aca="false">IF($A197="","",IF(每月预算!$B$29="雪崩法",计算_雪崩!BC216,计算_雪球!BC216))</f>
        <v/>
      </c>
      <c r="N197" s="43" t="str">
        <f aca="false">IF($A197="","",IF(每月预算!$B$29="雪崩法",计算_雪崩!BE216,计算_雪球!BE216))</f>
        <v/>
      </c>
      <c r="O197" s="43" t="str">
        <f aca="false">IF($A197="","",IF(每月预算!$B$29="雪崩法",计算_雪崩!BD216,计算_雪球!BD216))</f>
        <v/>
      </c>
    </row>
    <row r="198" customFormat="false" ht="15" hidden="false" customHeight="false" outlineLevel="0" collapsed="false">
      <c r="A198" s="24" t="str">
        <f aca="false">IF(194&lt;=$R$2,194,"")</f>
        <v/>
      </c>
      <c r="B198" s="42" t="str">
        <f aca="false">IF($A198="","",计算_雪球!B217)</f>
        <v/>
      </c>
      <c r="C198" s="43" t="str">
        <f aca="false">IF(OR($A198="",C$4=""),"",IF(每月预算!$B$29="雪崩法",计算_雪崩!I217,计算_雪球!I217))</f>
        <v/>
      </c>
      <c r="D198" s="43" t="str">
        <f aca="false">IF(OR($A198="",D$4=""),"",IF(每月预算!$B$29="雪崩法",计算_雪崩!N217,计算_雪球!N217))</f>
        <v/>
      </c>
      <c r="E198" s="43" t="str">
        <f aca="false">IF(OR($A198="",E$4=""),"",IF(每月预算!$B$29="雪崩法",计算_雪崩!S217,计算_雪球!S217))</f>
        <v/>
      </c>
      <c r="F198" s="43" t="str">
        <f aca="false">IF(OR($A198="",F$4=""),"",IF(每月预算!$B$29="雪崩法",计算_雪崩!X217,计算_雪球!X217))</f>
        <v/>
      </c>
      <c r="G198" s="43" t="str">
        <f aca="false">IF(OR($A198="",G$4=""),"",IF(每月预算!$B$29="雪崩法",计算_雪崩!AC217,计算_雪球!AC217))</f>
        <v/>
      </c>
      <c r="H198" s="43" t="str">
        <f aca="false">IF(OR($A198="",H$4=""),"",IF(每月预算!$B$29="雪崩法",计算_雪崩!AH217,计算_雪球!AH217))</f>
        <v/>
      </c>
      <c r="I198" s="43" t="str">
        <f aca="false">IF(OR($A198="",I$4=""),"",IF(每月预算!$B$29="雪崩法",计算_雪崩!AM217,计算_雪球!AM217))</f>
        <v/>
      </c>
      <c r="J198" s="43" t="str">
        <f aca="false">IF(OR($A198="",J$4=""),"",IF(每月预算!$B$29="雪崩法",计算_雪崩!AR217,计算_雪球!AR217))</f>
        <v/>
      </c>
      <c r="K198" s="43" t="str">
        <f aca="false">IF(OR($A198="",K$4=""),"",IF(每月预算!$B$29="雪崩法",计算_雪崩!AW217,计算_雪球!AW217))</f>
        <v/>
      </c>
      <c r="L198" s="43" t="str">
        <f aca="false">IF(OR($A198="",L$4=""),"",IF(每月预算!$B$29="雪崩法",计算_雪崩!BB217,计算_雪球!BB217))</f>
        <v/>
      </c>
      <c r="M198" s="43" t="str">
        <f aca="false">IF($A198="","",IF(每月预算!$B$29="雪崩法",计算_雪崩!BC217,计算_雪球!BC217))</f>
        <v/>
      </c>
      <c r="N198" s="43" t="str">
        <f aca="false">IF($A198="","",IF(每月预算!$B$29="雪崩法",计算_雪崩!BE217,计算_雪球!BE217))</f>
        <v/>
      </c>
      <c r="O198" s="43" t="str">
        <f aca="false">IF($A198="","",IF(每月预算!$B$29="雪崩法",计算_雪崩!BD217,计算_雪球!BD217))</f>
        <v/>
      </c>
    </row>
    <row r="199" customFormat="false" ht="15" hidden="false" customHeight="false" outlineLevel="0" collapsed="false">
      <c r="A199" s="24" t="str">
        <f aca="false">IF(195&lt;=$R$2,195,"")</f>
        <v/>
      </c>
      <c r="B199" s="42" t="str">
        <f aca="false">IF($A199="","",计算_雪球!B218)</f>
        <v/>
      </c>
      <c r="C199" s="43" t="str">
        <f aca="false">IF(OR($A199="",C$4=""),"",IF(每月预算!$B$29="雪崩法",计算_雪崩!I218,计算_雪球!I218))</f>
        <v/>
      </c>
      <c r="D199" s="43" t="str">
        <f aca="false">IF(OR($A199="",D$4=""),"",IF(每月预算!$B$29="雪崩法",计算_雪崩!N218,计算_雪球!N218))</f>
        <v/>
      </c>
      <c r="E199" s="43" t="str">
        <f aca="false">IF(OR($A199="",E$4=""),"",IF(每月预算!$B$29="雪崩法",计算_雪崩!S218,计算_雪球!S218))</f>
        <v/>
      </c>
      <c r="F199" s="43" t="str">
        <f aca="false">IF(OR($A199="",F$4=""),"",IF(每月预算!$B$29="雪崩法",计算_雪崩!X218,计算_雪球!X218))</f>
        <v/>
      </c>
      <c r="G199" s="43" t="str">
        <f aca="false">IF(OR($A199="",G$4=""),"",IF(每月预算!$B$29="雪崩法",计算_雪崩!AC218,计算_雪球!AC218))</f>
        <v/>
      </c>
      <c r="H199" s="43" t="str">
        <f aca="false">IF(OR($A199="",H$4=""),"",IF(每月预算!$B$29="雪崩法",计算_雪崩!AH218,计算_雪球!AH218))</f>
        <v/>
      </c>
      <c r="I199" s="43" t="str">
        <f aca="false">IF(OR($A199="",I$4=""),"",IF(每月预算!$B$29="雪崩法",计算_雪崩!AM218,计算_雪球!AM218))</f>
        <v/>
      </c>
      <c r="J199" s="43" t="str">
        <f aca="false">IF(OR($A199="",J$4=""),"",IF(每月预算!$B$29="雪崩法",计算_雪崩!AR218,计算_雪球!AR218))</f>
        <v/>
      </c>
      <c r="K199" s="43" t="str">
        <f aca="false">IF(OR($A199="",K$4=""),"",IF(每月预算!$B$29="雪崩法",计算_雪崩!AW218,计算_雪球!AW218))</f>
        <v/>
      </c>
      <c r="L199" s="43" t="str">
        <f aca="false">IF(OR($A199="",L$4=""),"",IF(每月预算!$B$29="雪崩法",计算_雪崩!BB218,计算_雪球!BB218))</f>
        <v/>
      </c>
      <c r="M199" s="43" t="str">
        <f aca="false">IF($A199="","",IF(每月预算!$B$29="雪崩法",计算_雪崩!BC218,计算_雪球!BC218))</f>
        <v/>
      </c>
      <c r="N199" s="43" t="str">
        <f aca="false">IF($A199="","",IF(每月预算!$B$29="雪崩法",计算_雪崩!BE218,计算_雪球!BE218))</f>
        <v/>
      </c>
      <c r="O199" s="43" t="str">
        <f aca="false">IF($A199="","",IF(每月预算!$B$29="雪崩法",计算_雪崩!BD218,计算_雪球!BD218))</f>
        <v/>
      </c>
    </row>
    <row r="200" customFormat="false" ht="15" hidden="false" customHeight="false" outlineLevel="0" collapsed="false">
      <c r="A200" s="24" t="str">
        <f aca="false">IF(196&lt;=$R$2,196,"")</f>
        <v/>
      </c>
      <c r="B200" s="42" t="str">
        <f aca="false">IF($A200="","",计算_雪球!B219)</f>
        <v/>
      </c>
      <c r="C200" s="43" t="str">
        <f aca="false">IF(OR($A200="",C$4=""),"",IF(每月预算!$B$29="雪崩法",计算_雪崩!I219,计算_雪球!I219))</f>
        <v/>
      </c>
      <c r="D200" s="43" t="str">
        <f aca="false">IF(OR($A200="",D$4=""),"",IF(每月预算!$B$29="雪崩法",计算_雪崩!N219,计算_雪球!N219))</f>
        <v/>
      </c>
      <c r="E200" s="43" t="str">
        <f aca="false">IF(OR($A200="",E$4=""),"",IF(每月预算!$B$29="雪崩法",计算_雪崩!S219,计算_雪球!S219))</f>
        <v/>
      </c>
      <c r="F200" s="43" t="str">
        <f aca="false">IF(OR($A200="",F$4=""),"",IF(每月预算!$B$29="雪崩法",计算_雪崩!X219,计算_雪球!X219))</f>
        <v/>
      </c>
      <c r="G200" s="43" t="str">
        <f aca="false">IF(OR($A200="",G$4=""),"",IF(每月预算!$B$29="雪崩法",计算_雪崩!AC219,计算_雪球!AC219))</f>
        <v/>
      </c>
      <c r="H200" s="43" t="str">
        <f aca="false">IF(OR($A200="",H$4=""),"",IF(每月预算!$B$29="雪崩法",计算_雪崩!AH219,计算_雪球!AH219))</f>
        <v/>
      </c>
      <c r="I200" s="43" t="str">
        <f aca="false">IF(OR($A200="",I$4=""),"",IF(每月预算!$B$29="雪崩法",计算_雪崩!AM219,计算_雪球!AM219))</f>
        <v/>
      </c>
      <c r="J200" s="43" t="str">
        <f aca="false">IF(OR($A200="",J$4=""),"",IF(每月预算!$B$29="雪崩法",计算_雪崩!AR219,计算_雪球!AR219))</f>
        <v/>
      </c>
      <c r="K200" s="43" t="str">
        <f aca="false">IF(OR($A200="",K$4=""),"",IF(每月预算!$B$29="雪崩法",计算_雪崩!AW219,计算_雪球!AW219))</f>
        <v/>
      </c>
      <c r="L200" s="43" t="str">
        <f aca="false">IF(OR($A200="",L$4=""),"",IF(每月预算!$B$29="雪崩法",计算_雪崩!BB219,计算_雪球!BB219))</f>
        <v/>
      </c>
      <c r="M200" s="43" t="str">
        <f aca="false">IF($A200="","",IF(每月预算!$B$29="雪崩法",计算_雪崩!BC219,计算_雪球!BC219))</f>
        <v/>
      </c>
      <c r="N200" s="43" t="str">
        <f aca="false">IF($A200="","",IF(每月预算!$B$29="雪崩法",计算_雪崩!BE219,计算_雪球!BE219))</f>
        <v/>
      </c>
      <c r="O200" s="43" t="str">
        <f aca="false">IF($A200="","",IF(每月预算!$B$29="雪崩法",计算_雪崩!BD219,计算_雪球!BD219))</f>
        <v/>
      </c>
    </row>
    <row r="201" customFormat="false" ht="15" hidden="false" customHeight="false" outlineLevel="0" collapsed="false">
      <c r="A201" s="24" t="str">
        <f aca="false">IF(197&lt;=$R$2,197,"")</f>
        <v/>
      </c>
      <c r="B201" s="42" t="str">
        <f aca="false">IF($A201="","",计算_雪球!B220)</f>
        <v/>
      </c>
      <c r="C201" s="43" t="str">
        <f aca="false">IF(OR($A201="",C$4=""),"",IF(每月预算!$B$29="雪崩法",计算_雪崩!I220,计算_雪球!I220))</f>
        <v/>
      </c>
      <c r="D201" s="43" t="str">
        <f aca="false">IF(OR($A201="",D$4=""),"",IF(每月预算!$B$29="雪崩法",计算_雪崩!N220,计算_雪球!N220))</f>
        <v/>
      </c>
      <c r="E201" s="43" t="str">
        <f aca="false">IF(OR($A201="",E$4=""),"",IF(每月预算!$B$29="雪崩法",计算_雪崩!S220,计算_雪球!S220))</f>
        <v/>
      </c>
      <c r="F201" s="43" t="str">
        <f aca="false">IF(OR($A201="",F$4=""),"",IF(每月预算!$B$29="雪崩法",计算_雪崩!X220,计算_雪球!X220))</f>
        <v/>
      </c>
      <c r="G201" s="43" t="str">
        <f aca="false">IF(OR($A201="",G$4=""),"",IF(每月预算!$B$29="雪崩法",计算_雪崩!AC220,计算_雪球!AC220))</f>
        <v/>
      </c>
      <c r="H201" s="43" t="str">
        <f aca="false">IF(OR($A201="",H$4=""),"",IF(每月预算!$B$29="雪崩法",计算_雪崩!AH220,计算_雪球!AH220))</f>
        <v/>
      </c>
      <c r="I201" s="43" t="str">
        <f aca="false">IF(OR($A201="",I$4=""),"",IF(每月预算!$B$29="雪崩法",计算_雪崩!AM220,计算_雪球!AM220))</f>
        <v/>
      </c>
      <c r="J201" s="43" t="str">
        <f aca="false">IF(OR($A201="",J$4=""),"",IF(每月预算!$B$29="雪崩法",计算_雪崩!AR220,计算_雪球!AR220))</f>
        <v/>
      </c>
      <c r="K201" s="43" t="str">
        <f aca="false">IF(OR($A201="",K$4=""),"",IF(每月预算!$B$29="雪崩法",计算_雪崩!AW220,计算_雪球!AW220))</f>
        <v/>
      </c>
      <c r="L201" s="43" t="str">
        <f aca="false">IF(OR($A201="",L$4=""),"",IF(每月预算!$B$29="雪崩法",计算_雪崩!BB220,计算_雪球!BB220))</f>
        <v/>
      </c>
      <c r="M201" s="43" t="str">
        <f aca="false">IF($A201="","",IF(每月预算!$B$29="雪崩法",计算_雪崩!BC220,计算_雪球!BC220))</f>
        <v/>
      </c>
      <c r="N201" s="43" t="str">
        <f aca="false">IF($A201="","",IF(每月预算!$B$29="雪崩法",计算_雪崩!BE220,计算_雪球!BE220))</f>
        <v/>
      </c>
      <c r="O201" s="43" t="str">
        <f aca="false">IF($A201="","",IF(每月预算!$B$29="雪崩法",计算_雪崩!BD220,计算_雪球!BD220))</f>
        <v/>
      </c>
    </row>
    <row r="202" customFormat="false" ht="15" hidden="false" customHeight="false" outlineLevel="0" collapsed="false">
      <c r="A202" s="24" t="str">
        <f aca="false">IF(198&lt;=$R$2,198,"")</f>
        <v/>
      </c>
      <c r="B202" s="42" t="str">
        <f aca="false">IF($A202="","",计算_雪球!B221)</f>
        <v/>
      </c>
      <c r="C202" s="43" t="str">
        <f aca="false">IF(OR($A202="",C$4=""),"",IF(每月预算!$B$29="雪崩法",计算_雪崩!I221,计算_雪球!I221))</f>
        <v/>
      </c>
      <c r="D202" s="43" t="str">
        <f aca="false">IF(OR($A202="",D$4=""),"",IF(每月预算!$B$29="雪崩法",计算_雪崩!N221,计算_雪球!N221))</f>
        <v/>
      </c>
      <c r="E202" s="43" t="str">
        <f aca="false">IF(OR($A202="",E$4=""),"",IF(每月预算!$B$29="雪崩法",计算_雪崩!S221,计算_雪球!S221))</f>
        <v/>
      </c>
      <c r="F202" s="43" t="str">
        <f aca="false">IF(OR($A202="",F$4=""),"",IF(每月预算!$B$29="雪崩法",计算_雪崩!X221,计算_雪球!X221))</f>
        <v/>
      </c>
      <c r="G202" s="43" t="str">
        <f aca="false">IF(OR($A202="",G$4=""),"",IF(每月预算!$B$29="雪崩法",计算_雪崩!AC221,计算_雪球!AC221))</f>
        <v/>
      </c>
      <c r="H202" s="43" t="str">
        <f aca="false">IF(OR($A202="",H$4=""),"",IF(每月预算!$B$29="雪崩法",计算_雪崩!AH221,计算_雪球!AH221))</f>
        <v/>
      </c>
      <c r="I202" s="43" t="str">
        <f aca="false">IF(OR($A202="",I$4=""),"",IF(每月预算!$B$29="雪崩法",计算_雪崩!AM221,计算_雪球!AM221))</f>
        <v/>
      </c>
      <c r="J202" s="43" t="str">
        <f aca="false">IF(OR($A202="",J$4=""),"",IF(每月预算!$B$29="雪崩法",计算_雪崩!AR221,计算_雪球!AR221))</f>
        <v/>
      </c>
      <c r="K202" s="43" t="str">
        <f aca="false">IF(OR($A202="",K$4=""),"",IF(每月预算!$B$29="雪崩法",计算_雪崩!AW221,计算_雪球!AW221))</f>
        <v/>
      </c>
      <c r="L202" s="43" t="str">
        <f aca="false">IF(OR($A202="",L$4=""),"",IF(每月预算!$B$29="雪崩法",计算_雪崩!BB221,计算_雪球!BB221))</f>
        <v/>
      </c>
      <c r="M202" s="43" t="str">
        <f aca="false">IF($A202="","",IF(每月预算!$B$29="雪崩法",计算_雪崩!BC221,计算_雪球!BC221))</f>
        <v/>
      </c>
      <c r="N202" s="43" t="str">
        <f aca="false">IF($A202="","",IF(每月预算!$B$29="雪崩法",计算_雪崩!BE221,计算_雪球!BE221))</f>
        <v/>
      </c>
      <c r="O202" s="43" t="str">
        <f aca="false">IF($A202="","",IF(每月预算!$B$29="雪崩法",计算_雪崩!BD221,计算_雪球!BD221))</f>
        <v/>
      </c>
    </row>
    <row r="203" customFormat="false" ht="15" hidden="false" customHeight="false" outlineLevel="0" collapsed="false">
      <c r="A203" s="24" t="str">
        <f aca="false">IF(199&lt;=$R$2,199,"")</f>
        <v/>
      </c>
      <c r="B203" s="42" t="str">
        <f aca="false">IF($A203="","",计算_雪球!B222)</f>
        <v/>
      </c>
      <c r="C203" s="43" t="str">
        <f aca="false">IF(OR($A203="",C$4=""),"",IF(每月预算!$B$29="雪崩法",计算_雪崩!I222,计算_雪球!I222))</f>
        <v/>
      </c>
      <c r="D203" s="43" t="str">
        <f aca="false">IF(OR($A203="",D$4=""),"",IF(每月预算!$B$29="雪崩法",计算_雪崩!N222,计算_雪球!N222))</f>
        <v/>
      </c>
      <c r="E203" s="43" t="str">
        <f aca="false">IF(OR($A203="",E$4=""),"",IF(每月预算!$B$29="雪崩法",计算_雪崩!S222,计算_雪球!S222))</f>
        <v/>
      </c>
      <c r="F203" s="43" t="str">
        <f aca="false">IF(OR($A203="",F$4=""),"",IF(每月预算!$B$29="雪崩法",计算_雪崩!X222,计算_雪球!X222))</f>
        <v/>
      </c>
      <c r="G203" s="43" t="str">
        <f aca="false">IF(OR($A203="",G$4=""),"",IF(每月预算!$B$29="雪崩法",计算_雪崩!AC222,计算_雪球!AC222))</f>
        <v/>
      </c>
      <c r="H203" s="43" t="str">
        <f aca="false">IF(OR($A203="",H$4=""),"",IF(每月预算!$B$29="雪崩法",计算_雪崩!AH222,计算_雪球!AH222))</f>
        <v/>
      </c>
      <c r="I203" s="43" t="str">
        <f aca="false">IF(OR($A203="",I$4=""),"",IF(每月预算!$B$29="雪崩法",计算_雪崩!AM222,计算_雪球!AM222))</f>
        <v/>
      </c>
      <c r="J203" s="43" t="str">
        <f aca="false">IF(OR($A203="",J$4=""),"",IF(每月预算!$B$29="雪崩法",计算_雪崩!AR222,计算_雪球!AR222))</f>
        <v/>
      </c>
      <c r="K203" s="43" t="str">
        <f aca="false">IF(OR($A203="",K$4=""),"",IF(每月预算!$B$29="雪崩法",计算_雪崩!AW222,计算_雪球!AW222))</f>
        <v/>
      </c>
      <c r="L203" s="43" t="str">
        <f aca="false">IF(OR($A203="",L$4=""),"",IF(每月预算!$B$29="雪崩法",计算_雪崩!BB222,计算_雪球!BB222))</f>
        <v/>
      </c>
      <c r="M203" s="43" t="str">
        <f aca="false">IF($A203="","",IF(每月预算!$B$29="雪崩法",计算_雪崩!BC222,计算_雪球!BC222))</f>
        <v/>
      </c>
      <c r="N203" s="43" t="str">
        <f aca="false">IF($A203="","",IF(每月预算!$B$29="雪崩法",计算_雪崩!BE222,计算_雪球!BE222))</f>
        <v/>
      </c>
      <c r="O203" s="43" t="str">
        <f aca="false">IF($A203="","",IF(每月预算!$B$29="雪崩法",计算_雪崩!BD222,计算_雪球!BD222))</f>
        <v/>
      </c>
    </row>
    <row r="204" customFormat="false" ht="15" hidden="false" customHeight="false" outlineLevel="0" collapsed="false">
      <c r="A204" s="24" t="str">
        <f aca="false">IF(200&lt;=$R$2,200,"")</f>
        <v/>
      </c>
      <c r="B204" s="42" t="str">
        <f aca="false">IF($A204="","",计算_雪球!B223)</f>
        <v/>
      </c>
      <c r="C204" s="43" t="str">
        <f aca="false">IF(OR($A204="",C$4=""),"",IF(每月预算!$B$29="雪崩法",计算_雪崩!I223,计算_雪球!I223))</f>
        <v/>
      </c>
      <c r="D204" s="43" t="str">
        <f aca="false">IF(OR($A204="",D$4=""),"",IF(每月预算!$B$29="雪崩法",计算_雪崩!N223,计算_雪球!N223))</f>
        <v/>
      </c>
      <c r="E204" s="43" t="str">
        <f aca="false">IF(OR($A204="",E$4=""),"",IF(每月预算!$B$29="雪崩法",计算_雪崩!S223,计算_雪球!S223))</f>
        <v/>
      </c>
      <c r="F204" s="43" t="str">
        <f aca="false">IF(OR($A204="",F$4=""),"",IF(每月预算!$B$29="雪崩法",计算_雪崩!X223,计算_雪球!X223))</f>
        <v/>
      </c>
      <c r="G204" s="43" t="str">
        <f aca="false">IF(OR($A204="",G$4=""),"",IF(每月预算!$B$29="雪崩法",计算_雪崩!AC223,计算_雪球!AC223))</f>
        <v/>
      </c>
      <c r="H204" s="43" t="str">
        <f aca="false">IF(OR($A204="",H$4=""),"",IF(每月预算!$B$29="雪崩法",计算_雪崩!AH223,计算_雪球!AH223))</f>
        <v/>
      </c>
      <c r="I204" s="43" t="str">
        <f aca="false">IF(OR($A204="",I$4=""),"",IF(每月预算!$B$29="雪崩法",计算_雪崩!AM223,计算_雪球!AM223))</f>
        <v/>
      </c>
      <c r="J204" s="43" t="str">
        <f aca="false">IF(OR($A204="",J$4=""),"",IF(每月预算!$B$29="雪崩法",计算_雪崩!AR223,计算_雪球!AR223))</f>
        <v/>
      </c>
      <c r="K204" s="43" t="str">
        <f aca="false">IF(OR($A204="",K$4=""),"",IF(每月预算!$B$29="雪崩法",计算_雪崩!AW223,计算_雪球!AW223))</f>
        <v/>
      </c>
      <c r="L204" s="43" t="str">
        <f aca="false">IF(OR($A204="",L$4=""),"",IF(每月预算!$B$29="雪崩法",计算_雪崩!BB223,计算_雪球!BB223))</f>
        <v/>
      </c>
      <c r="M204" s="43" t="str">
        <f aca="false">IF($A204="","",IF(每月预算!$B$29="雪崩法",计算_雪崩!BC223,计算_雪球!BC223))</f>
        <v/>
      </c>
      <c r="N204" s="43" t="str">
        <f aca="false">IF($A204="","",IF(每月预算!$B$29="雪崩法",计算_雪崩!BE223,计算_雪球!BE223))</f>
        <v/>
      </c>
      <c r="O204" s="43" t="str">
        <f aca="false">IF($A204="","",IF(每月预算!$B$29="雪崩法",计算_雪崩!BD223,计算_雪球!BD223))</f>
        <v/>
      </c>
    </row>
    <row r="205" customFormat="false" ht="15" hidden="false" customHeight="false" outlineLevel="0" collapsed="false">
      <c r="A205" s="24" t="str">
        <f aca="false">IF(201&lt;=$R$2,201,"")</f>
        <v/>
      </c>
      <c r="B205" s="42" t="str">
        <f aca="false">IF($A205="","",计算_雪球!B224)</f>
        <v/>
      </c>
      <c r="C205" s="43" t="str">
        <f aca="false">IF(OR($A205="",C$4=""),"",IF(每月预算!$B$29="雪崩法",计算_雪崩!I224,计算_雪球!I224))</f>
        <v/>
      </c>
      <c r="D205" s="43" t="str">
        <f aca="false">IF(OR($A205="",D$4=""),"",IF(每月预算!$B$29="雪崩法",计算_雪崩!N224,计算_雪球!N224))</f>
        <v/>
      </c>
      <c r="E205" s="43" t="str">
        <f aca="false">IF(OR($A205="",E$4=""),"",IF(每月预算!$B$29="雪崩法",计算_雪崩!S224,计算_雪球!S224))</f>
        <v/>
      </c>
      <c r="F205" s="43" t="str">
        <f aca="false">IF(OR($A205="",F$4=""),"",IF(每月预算!$B$29="雪崩法",计算_雪崩!X224,计算_雪球!X224))</f>
        <v/>
      </c>
      <c r="G205" s="43" t="str">
        <f aca="false">IF(OR($A205="",G$4=""),"",IF(每月预算!$B$29="雪崩法",计算_雪崩!AC224,计算_雪球!AC224))</f>
        <v/>
      </c>
      <c r="H205" s="43" t="str">
        <f aca="false">IF(OR($A205="",H$4=""),"",IF(每月预算!$B$29="雪崩法",计算_雪崩!AH224,计算_雪球!AH224))</f>
        <v/>
      </c>
      <c r="I205" s="43" t="str">
        <f aca="false">IF(OR($A205="",I$4=""),"",IF(每月预算!$B$29="雪崩法",计算_雪崩!AM224,计算_雪球!AM224))</f>
        <v/>
      </c>
      <c r="J205" s="43" t="str">
        <f aca="false">IF(OR($A205="",J$4=""),"",IF(每月预算!$B$29="雪崩法",计算_雪崩!AR224,计算_雪球!AR224))</f>
        <v/>
      </c>
      <c r="K205" s="43" t="str">
        <f aca="false">IF(OR($A205="",K$4=""),"",IF(每月预算!$B$29="雪崩法",计算_雪崩!AW224,计算_雪球!AW224))</f>
        <v/>
      </c>
      <c r="L205" s="43" t="str">
        <f aca="false">IF(OR($A205="",L$4=""),"",IF(每月预算!$B$29="雪崩法",计算_雪崩!BB224,计算_雪球!BB224))</f>
        <v/>
      </c>
      <c r="M205" s="43" t="str">
        <f aca="false">IF($A205="","",IF(每月预算!$B$29="雪崩法",计算_雪崩!BC224,计算_雪球!BC224))</f>
        <v/>
      </c>
      <c r="N205" s="43" t="str">
        <f aca="false">IF($A205="","",IF(每月预算!$B$29="雪崩法",计算_雪崩!BE224,计算_雪球!BE224))</f>
        <v/>
      </c>
      <c r="O205" s="43" t="str">
        <f aca="false">IF($A205="","",IF(每月预算!$B$29="雪崩法",计算_雪崩!BD224,计算_雪球!BD224))</f>
        <v/>
      </c>
    </row>
    <row r="206" customFormat="false" ht="15" hidden="false" customHeight="false" outlineLevel="0" collapsed="false">
      <c r="A206" s="24" t="str">
        <f aca="false">IF(202&lt;=$R$2,202,"")</f>
        <v/>
      </c>
      <c r="B206" s="42" t="str">
        <f aca="false">IF($A206="","",计算_雪球!B225)</f>
        <v/>
      </c>
      <c r="C206" s="43" t="str">
        <f aca="false">IF(OR($A206="",C$4=""),"",IF(每月预算!$B$29="雪崩法",计算_雪崩!I225,计算_雪球!I225))</f>
        <v/>
      </c>
      <c r="D206" s="43" t="str">
        <f aca="false">IF(OR($A206="",D$4=""),"",IF(每月预算!$B$29="雪崩法",计算_雪崩!N225,计算_雪球!N225))</f>
        <v/>
      </c>
      <c r="E206" s="43" t="str">
        <f aca="false">IF(OR($A206="",E$4=""),"",IF(每月预算!$B$29="雪崩法",计算_雪崩!S225,计算_雪球!S225))</f>
        <v/>
      </c>
      <c r="F206" s="43" t="str">
        <f aca="false">IF(OR($A206="",F$4=""),"",IF(每月预算!$B$29="雪崩法",计算_雪崩!X225,计算_雪球!X225))</f>
        <v/>
      </c>
      <c r="G206" s="43" t="str">
        <f aca="false">IF(OR($A206="",G$4=""),"",IF(每月预算!$B$29="雪崩法",计算_雪崩!AC225,计算_雪球!AC225))</f>
        <v/>
      </c>
      <c r="H206" s="43" t="str">
        <f aca="false">IF(OR($A206="",H$4=""),"",IF(每月预算!$B$29="雪崩法",计算_雪崩!AH225,计算_雪球!AH225))</f>
        <v/>
      </c>
      <c r="I206" s="43" t="str">
        <f aca="false">IF(OR($A206="",I$4=""),"",IF(每月预算!$B$29="雪崩法",计算_雪崩!AM225,计算_雪球!AM225))</f>
        <v/>
      </c>
      <c r="J206" s="43" t="str">
        <f aca="false">IF(OR($A206="",J$4=""),"",IF(每月预算!$B$29="雪崩法",计算_雪崩!AR225,计算_雪球!AR225))</f>
        <v/>
      </c>
      <c r="K206" s="43" t="str">
        <f aca="false">IF(OR($A206="",K$4=""),"",IF(每月预算!$B$29="雪崩法",计算_雪崩!AW225,计算_雪球!AW225))</f>
        <v/>
      </c>
      <c r="L206" s="43" t="str">
        <f aca="false">IF(OR($A206="",L$4=""),"",IF(每月预算!$B$29="雪崩法",计算_雪崩!BB225,计算_雪球!BB225))</f>
        <v/>
      </c>
      <c r="M206" s="43" t="str">
        <f aca="false">IF($A206="","",IF(每月预算!$B$29="雪崩法",计算_雪崩!BC225,计算_雪球!BC225))</f>
        <v/>
      </c>
      <c r="N206" s="43" t="str">
        <f aca="false">IF($A206="","",IF(每月预算!$B$29="雪崩法",计算_雪崩!BE225,计算_雪球!BE225))</f>
        <v/>
      </c>
      <c r="O206" s="43" t="str">
        <f aca="false">IF($A206="","",IF(每月预算!$B$29="雪崩法",计算_雪崩!BD225,计算_雪球!BD225))</f>
        <v/>
      </c>
    </row>
    <row r="207" customFormat="false" ht="15" hidden="false" customHeight="false" outlineLevel="0" collapsed="false">
      <c r="A207" s="24" t="str">
        <f aca="false">IF(203&lt;=$R$2,203,"")</f>
        <v/>
      </c>
      <c r="B207" s="42" t="str">
        <f aca="false">IF($A207="","",计算_雪球!B226)</f>
        <v/>
      </c>
      <c r="C207" s="43" t="str">
        <f aca="false">IF(OR($A207="",C$4=""),"",IF(每月预算!$B$29="雪崩法",计算_雪崩!I226,计算_雪球!I226))</f>
        <v/>
      </c>
      <c r="D207" s="43" t="str">
        <f aca="false">IF(OR($A207="",D$4=""),"",IF(每月预算!$B$29="雪崩法",计算_雪崩!N226,计算_雪球!N226))</f>
        <v/>
      </c>
      <c r="E207" s="43" t="str">
        <f aca="false">IF(OR($A207="",E$4=""),"",IF(每月预算!$B$29="雪崩法",计算_雪崩!S226,计算_雪球!S226))</f>
        <v/>
      </c>
      <c r="F207" s="43" t="str">
        <f aca="false">IF(OR($A207="",F$4=""),"",IF(每月预算!$B$29="雪崩法",计算_雪崩!X226,计算_雪球!X226))</f>
        <v/>
      </c>
      <c r="G207" s="43" t="str">
        <f aca="false">IF(OR($A207="",G$4=""),"",IF(每月预算!$B$29="雪崩法",计算_雪崩!AC226,计算_雪球!AC226))</f>
        <v/>
      </c>
      <c r="H207" s="43" t="str">
        <f aca="false">IF(OR($A207="",H$4=""),"",IF(每月预算!$B$29="雪崩法",计算_雪崩!AH226,计算_雪球!AH226))</f>
        <v/>
      </c>
      <c r="I207" s="43" t="str">
        <f aca="false">IF(OR($A207="",I$4=""),"",IF(每月预算!$B$29="雪崩法",计算_雪崩!AM226,计算_雪球!AM226))</f>
        <v/>
      </c>
      <c r="J207" s="43" t="str">
        <f aca="false">IF(OR($A207="",J$4=""),"",IF(每月预算!$B$29="雪崩法",计算_雪崩!AR226,计算_雪球!AR226))</f>
        <v/>
      </c>
      <c r="K207" s="43" t="str">
        <f aca="false">IF(OR($A207="",K$4=""),"",IF(每月预算!$B$29="雪崩法",计算_雪崩!AW226,计算_雪球!AW226))</f>
        <v/>
      </c>
      <c r="L207" s="43" t="str">
        <f aca="false">IF(OR($A207="",L$4=""),"",IF(每月预算!$B$29="雪崩法",计算_雪崩!BB226,计算_雪球!BB226))</f>
        <v/>
      </c>
      <c r="M207" s="43" t="str">
        <f aca="false">IF($A207="","",IF(每月预算!$B$29="雪崩法",计算_雪崩!BC226,计算_雪球!BC226))</f>
        <v/>
      </c>
      <c r="N207" s="43" t="str">
        <f aca="false">IF($A207="","",IF(每月预算!$B$29="雪崩法",计算_雪崩!BE226,计算_雪球!BE226))</f>
        <v/>
      </c>
      <c r="O207" s="43" t="str">
        <f aca="false">IF($A207="","",IF(每月预算!$B$29="雪崩法",计算_雪崩!BD226,计算_雪球!BD226))</f>
        <v/>
      </c>
    </row>
    <row r="208" customFormat="false" ht="15" hidden="false" customHeight="false" outlineLevel="0" collapsed="false">
      <c r="A208" s="24" t="str">
        <f aca="false">IF(204&lt;=$R$2,204,"")</f>
        <v/>
      </c>
      <c r="B208" s="42" t="str">
        <f aca="false">IF($A208="","",计算_雪球!B227)</f>
        <v/>
      </c>
      <c r="C208" s="43" t="str">
        <f aca="false">IF(OR($A208="",C$4=""),"",IF(每月预算!$B$29="雪崩法",计算_雪崩!I227,计算_雪球!I227))</f>
        <v/>
      </c>
      <c r="D208" s="43" t="str">
        <f aca="false">IF(OR($A208="",D$4=""),"",IF(每月预算!$B$29="雪崩法",计算_雪崩!N227,计算_雪球!N227))</f>
        <v/>
      </c>
      <c r="E208" s="43" t="str">
        <f aca="false">IF(OR($A208="",E$4=""),"",IF(每月预算!$B$29="雪崩法",计算_雪崩!S227,计算_雪球!S227))</f>
        <v/>
      </c>
      <c r="F208" s="43" t="str">
        <f aca="false">IF(OR($A208="",F$4=""),"",IF(每月预算!$B$29="雪崩法",计算_雪崩!X227,计算_雪球!X227))</f>
        <v/>
      </c>
      <c r="G208" s="43" t="str">
        <f aca="false">IF(OR($A208="",G$4=""),"",IF(每月预算!$B$29="雪崩法",计算_雪崩!AC227,计算_雪球!AC227))</f>
        <v/>
      </c>
      <c r="H208" s="43" t="str">
        <f aca="false">IF(OR($A208="",H$4=""),"",IF(每月预算!$B$29="雪崩法",计算_雪崩!AH227,计算_雪球!AH227))</f>
        <v/>
      </c>
      <c r="I208" s="43" t="str">
        <f aca="false">IF(OR($A208="",I$4=""),"",IF(每月预算!$B$29="雪崩法",计算_雪崩!AM227,计算_雪球!AM227))</f>
        <v/>
      </c>
      <c r="J208" s="43" t="str">
        <f aca="false">IF(OR($A208="",J$4=""),"",IF(每月预算!$B$29="雪崩法",计算_雪崩!AR227,计算_雪球!AR227))</f>
        <v/>
      </c>
      <c r="K208" s="43" t="str">
        <f aca="false">IF(OR($A208="",K$4=""),"",IF(每月预算!$B$29="雪崩法",计算_雪崩!AW227,计算_雪球!AW227))</f>
        <v/>
      </c>
      <c r="L208" s="43" t="str">
        <f aca="false">IF(OR($A208="",L$4=""),"",IF(每月预算!$B$29="雪崩法",计算_雪崩!BB227,计算_雪球!BB227))</f>
        <v/>
      </c>
      <c r="M208" s="43" t="str">
        <f aca="false">IF($A208="","",IF(每月预算!$B$29="雪崩法",计算_雪崩!BC227,计算_雪球!BC227))</f>
        <v/>
      </c>
      <c r="N208" s="43" t="str">
        <f aca="false">IF($A208="","",IF(每月预算!$B$29="雪崩法",计算_雪崩!BE227,计算_雪球!BE227))</f>
        <v/>
      </c>
      <c r="O208" s="43" t="str">
        <f aca="false">IF($A208="","",IF(每月预算!$B$29="雪崩法",计算_雪崩!BD227,计算_雪球!BD227))</f>
        <v/>
      </c>
    </row>
    <row r="209" customFormat="false" ht="15" hidden="false" customHeight="false" outlineLevel="0" collapsed="false">
      <c r="A209" s="24" t="str">
        <f aca="false">IF(205&lt;=$R$2,205,"")</f>
        <v/>
      </c>
      <c r="B209" s="42" t="str">
        <f aca="false">IF($A209="","",计算_雪球!B228)</f>
        <v/>
      </c>
      <c r="C209" s="43" t="str">
        <f aca="false">IF(OR($A209="",C$4=""),"",IF(每月预算!$B$29="雪崩法",计算_雪崩!I228,计算_雪球!I228))</f>
        <v/>
      </c>
      <c r="D209" s="43" t="str">
        <f aca="false">IF(OR($A209="",D$4=""),"",IF(每月预算!$B$29="雪崩法",计算_雪崩!N228,计算_雪球!N228))</f>
        <v/>
      </c>
      <c r="E209" s="43" t="str">
        <f aca="false">IF(OR($A209="",E$4=""),"",IF(每月预算!$B$29="雪崩法",计算_雪崩!S228,计算_雪球!S228))</f>
        <v/>
      </c>
      <c r="F209" s="43" t="str">
        <f aca="false">IF(OR($A209="",F$4=""),"",IF(每月预算!$B$29="雪崩法",计算_雪崩!X228,计算_雪球!X228))</f>
        <v/>
      </c>
      <c r="G209" s="43" t="str">
        <f aca="false">IF(OR($A209="",G$4=""),"",IF(每月预算!$B$29="雪崩法",计算_雪崩!AC228,计算_雪球!AC228))</f>
        <v/>
      </c>
      <c r="H209" s="43" t="str">
        <f aca="false">IF(OR($A209="",H$4=""),"",IF(每月预算!$B$29="雪崩法",计算_雪崩!AH228,计算_雪球!AH228))</f>
        <v/>
      </c>
      <c r="I209" s="43" t="str">
        <f aca="false">IF(OR($A209="",I$4=""),"",IF(每月预算!$B$29="雪崩法",计算_雪崩!AM228,计算_雪球!AM228))</f>
        <v/>
      </c>
      <c r="J209" s="43" t="str">
        <f aca="false">IF(OR($A209="",J$4=""),"",IF(每月预算!$B$29="雪崩法",计算_雪崩!AR228,计算_雪球!AR228))</f>
        <v/>
      </c>
      <c r="K209" s="43" t="str">
        <f aca="false">IF(OR($A209="",K$4=""),"",IF(每月预算!$B$29="雪崩法",计算_雪崩!AW228,计算_雪球!AW228))</f>
        <v/>
      </c>
      <c r="L209" s="43" t="str">
        <f aca="false">IF(OR($A209="",L$4=""),"",IF(每月预算!$B$29="雪崩法",计算_雪崩!BB228,计算_雪球!BB228))</f>
        <v/>
      </c>
      <c r="M209" s="43" t="str">
        <f aca="false">IF($A209="","",IF(每月预算!$B$29="雪崩法",计算_雪崩!BC228,计算_雪球!BC228))</f>
        <v/>
      </c>
      <c r="N209" s="43" t="str">
        <f aca="false">IF($A209="","",IF(每月预算!$B$29="雪崩法",计算_雪崩!BE228,计算_雪球!BE228))</f>
        <v/>
      </c>
      <c r="O209" s="43" t="str">
        <f aca="false">IF($A209="","",IF(每月预算!$B$29="雪崩法",计算_雪崩!BD228,计算_雪球!BD228))</f>
        <v/>
      </c>
    </row>
    <row r="210" customFormat="false" ht="15" hidden="false" customHeight="false" outlineLevel="0" collapsed="false">
      <c r="A210" s="24" t="str">
        <f aca="false">IF(206&lt;=$R$2,206,"")</f>
        <v/>
      </c>
      <c r="B210" s="42" t="str">
        <f aca="false">IF($A210="","",计算_雪球!B229)</f>
        <v/>
      </c>
      <c r="C210" s="43" t="str">
        <f aca="false">IF(OR($A210="",C$4=""),"",IF(每月预算!$B$29="雪崩法",计算_雪崩!I229,计算_雪球!I229))</f>
        <v/>
      </c>
      <c r="D210" s="43" t="str">
        <f aca="false">IF(OR($A210="",D$4=""),"",IF(每月预算!$B$29="雪崩法",计算_雪崩!N229,计算_雪球!N229))</f>
        <v/>
      </c>
      <c r="E210" s="43" t="str">
        <f aca="false">IF(OR($A210="",E$4=""),"",IF(每月预算!$B$29="雪崩法",计算_雪崩!S229,计算_雪球!S229))</f>
        <v/>
      </c>
      <c r="F210" s="43" t="str">
        <f aca="false">IF(OR($A210="",F$4=""),"",IF(每月预算!$B$29="雪崩法",计算_雪崩!X229,计算_雪球!X229))</f>
        <v/>
      </c>
      <c r="G210" s="43" t="str">
        <f aca="false">IF(OR($A210="",G$4=""),"",IF(每月预算!$B$29="雪崩法",计算_雪崩!AC229,计算_雪球!AC229))</f>
        <v/>
      </c>
      <c r="H210" s="43" t="str">
        <f aca="false">IF(OR($A210="",H$4=""),"",IF(每月预算!$B$29="雪崩法",计算_雪崩!AH229,计算_雪球!AH229))</f>
        <v/>
      </c>
      <c r="I210" s="43" t="str">
        <f aca="false">IF(OR($A210="",I$4=""),"",IF(每月预算!$B$29="雪崩法",计算_雪崩!AM229,计算_雪球!AM229))</f>
        <v/>
      </c>
      <c r="J210" s="43" t="str">
        <f aca="false">IF(OR($A210="",J$4=""),"",IF(每月预算!$B$29="雪崩法",计算_雪崩!AR229,计算_雪球!AR229))</f>
        <v/>
      </c>
      <c r="K210" s="43" t="str">
        <f aca="false">IF(OR($A210="",K$4=""),"",IF(每月预算!$B$29="雪崩法",计算_雪崩!AW229,计算_雪球!AW229))</f>
        <v/>
      </c>
      <c r="L210" s="43" t="str">
        <f aca="false">IF(OR($A210="",L$4=""),"",IF(每月预算!$B$29="雪崩法",计算_雪崩!BB229,计算_雪球!BB229))</f>
        <v/>
      </c>
      <c r="M210" s="43" t="str">
        <f aca="false">IF($A210="","",IF(每月预算!$B$29="雪崩法",计算_雪崩!BC229,计算_雪球!BC229))</f>
        <v/>
      </c>
      <c r="N210" s="43" t="str">
        <f aca="false">IF($A210="","",IF(每月预算!$B$29="雪崩法",计算_雪崩!BE229,计算_雪球!BE229))</f>
        <v/>
      </c>
      <c r="O210" s="43" t="str">
        <f aca="false">IF($A210="","",IF(每月预算!$B$29="雪崩法",计算_雪崩!BD229,计算_雪球!BD229))</f>
        <v/>
      </c>
    </row>
    <row r="211" customFormat="false" ht="15" hidden="false" customHeight="false" outlineLevel="0" collapsed="false">
      <c r="A211" s="24" t="str">
        <f aca="false">IF(207&lt;=$R$2,207,"")</f>
        <v/>
      </c>
      <c r="B211" s="42" t="str">
        <f aca="false">IF($A211="","",计算_雪球!B230)</f>
        <v/>
      </c>
      <c r="C211" s="43" t="str">
        <f aca="false">IF(OR($A211="",C$4=""),"",IF(每月预算!$B$29="雪崩法",计算_雪崩!I230,计算_雪球!I230))</f>
        <v/>
      </c>
      <c r="D211" s="43" t="str">
        <f aca="false">IF(OR($A211="",D$4=""),"",IF(每月预算!$B$29="雪崩法",计算_雪崩!N230,计算_雪球!N230))</f>
        <v/>
      </c>
      <c r="E211" s="43" t="str">
        <f aca="false">IF(OR($A211="",E$4=""),"",IF(每月预算!$B$29="雪崩法",计算_雪崩!S230,计算_雪球!S230))</f>
        <v/>
      </c>
      <c r="F211" s="43" t="str">
        <f aca="false">IF(OR($A211="",F$4=""),"",IF(每月预算!$B$29="雪崩法",计算_雪崩!X230,计算_雪球!X230))</f>
        <v/>
      </c>
      <c r="G211" s="43" t="str">
        <f aca="false">IF(OR($A211="",G$4=""),"",IF(每月预算!$B$29="雪崩法",计算_雪崩!AC230,计算_雪球!AC230))</f>
        <v/>
      </c>
      <c r="H211" s="43" t="str">
        <f aca="false">IF(OR($A211="",H$4=""),"",IF(每月预算!$B$29="雪崩法",计算_雪崩!AH230,计算_雪球!AH230))</f>
        <v/>
      </c>
      <c r="I211" s="43" t="str">
        <f aca="false">IF(OR($A211="",I$4=""),"",IF(每月预算!$B$29="雪崩法",计算_雪崩!AM230,计算_雪球!AM230))</f>
        <v/>
      </c>
      <c r="J211" s="43" t="str">
        <f aca="false">IF(OR($A211="",J$4=""),"",IF(每月预算!$B$29="雪崩法",计算_雪崩!AR230,计算_雪球!AR230))</f>
        <v/>
      </c>
      <c r="K211" s="43" t="str">
        <f aca="false">IF(OR($A211="",K$4=""),"",IF(每月预算!$B$29="雪崩法",计算_雪崩!AW230,计算_雪球!AW230))</f>
        <v/>
      </c>
      <c r="L211" s="43" t="str">
        <f aca="false">IF(OR($A211="",L$4=""),"",IF(每月预算!$B$29="雪崩法",计算_雪崩!BB230,计算_雪球!BB230))</f>
        <v/>
      </c>
      <c r="M211" s="43" t="str">
        <f aca="false">IF($A211="","",IF(每月预算!$B$29="雪崩法",计算_雪崩!BC230,计算_雪球!BC230))</f>
        <v/>
      </c>
      <c r="N211" s="43" t="str">
        <f aca="false">IF($A211="","",IF(每月预算!$B$29="雪崩法",计算_雪崩!BE230,计算_雪球!BE230))</f>
        <v/>
      </c>
      <c r="O211" s="43" t="str">
        <f aca="false">IF($A211="","",IF(每月预算!$B$29="雪崩法",计算_雪崩!BD230,计算_雪球!BD230))</f>
        <v/>
      </c>
    </row>
    <row r="212" customFormat="false" ht="15" hidden="false" customHeight="false" outlineLevel="0" collapsed="false">
      <c r="A212" s="24" t="str">
        <f aca="false">IF(208&lt;=$R$2,208,"")</f>
        <v/>
      </c>
      <c r="B212" s="42" t="str">
        <f aca="false">IF($A212="","",计算_雪球!B231)</f>
        <v/>
      </c>
      <c r="C212" s="43" t="str">
        <f aca="false">IF(OR($A212="",C$4=""),"",IF(每月预算!$B$29="雪崩法",计算_雪崩!I231,计算_雪球!I231))</f>
        <v/>
      </c>
      <c r="D212" s="43" t="str">
        <f aca="false">IF(OR($A212="",D$4=""),"",IF(每月预算!$B$29="雪崩法",计算_雪崩!N231,计算_雪球!N231))</f>
        <v/>
      </c>
      <c r="E212" s="43" t="str">
        <f aca="false">IF(OR($A212="",E$4=""),"",IF(每月预算!$B$29="雪崩法",计算_雪崩!S231,计算_雪球!S231))</f>
        <v/>
      </c>
      <c r="F212" s="43" t="str">
        <f aca="false">IF(OR($A212="",F$4=""),"",IF(每月预算!$B$29="雪崩法",计算_雪崩!X231,计算_雪球!X231))</f>
        <v/>
      </c>
      <c r="G212" s="43" t="str">
        <f aca="false">IF(OR($A212="",G$4=""),"",IF(每月预算!$B$29="雪崩法",计算_雪崩!AC231,计算_雪球!AC231))</f>
        <v/>
      </c>
      <c r="H212" s="43" t="str">
        <f aca="false">IF(OR($A212="",H$4=""),"",IF(每月预算!$B$29="雪崩法",计算_雪崩!AH231,计算_雪球!AH231))</f>
        <v/>
      </c>
      <c r="I212" s="43" t="str">
        <f aca="false">IF(OR($A212="",I$4=""),"",IF(每月预算!$B$29="雪崩法",计算_雪崩!AM231,计算_雪球!AM231))</f>
        <v/>
      </c>
      <c r="J212" s="43" t="str">
        <f aca="false">IF(OR($A212="",J$4=""),"",IF(每月预算!$B$29="雪崩法",计算_雪崩!AR231,计算_雪球!AR231))</f>
        <v/>
      </c>
      <c r="K212" s="43" t="str">
        <f aca="false">IF(OR($A212="",K$4=""),"",IF(每月预算!$B$29="雪崩法",计算_雪崩!AW231,计算_雪球!AW231))</f>
        <v/>
      </c>
      <c r="L212" s="43" t="str">
        <f aca="false">IF(OR($A212="",L$4=""),"",IF(每月预算!$B$29="雪崩法",计算_雪崩!BB231,计算_雪球!BB231))</f>
        <v/>
      </c>
      <c r="M212" s="43" t="str">
        <f aca="false">IF($A212="","",IF(每月预算!$B$29="雪崩法",计算_雪崩!BC231,计算_雪球!BC231))</f>
        <v/>
      </c>
      <c r="N212" s="43" t="str">
        <f aca="false">IF($A212="","",IF(每月预算!$B$29="雪崩法",计算_雪崩!BE231,计算_雪球!BE231))</f>
        <v/>
      </c>
      <c r="O212" s="43" t="str">
        <f aca="false">IF($A212="","",IF(每月预算!$B$29="雪崩法",计算_雪崩!BD231,计算_雪球!BD231))</f>
        <v/>
      </c>
    </row>
    <row r="213" customFormat="false" ht="15" hidden="false" customHeight="false" outlineLevel="0" collapsed="false">
      <c r="A213" s="24" t="str">
        <f aca="false">IF(209&lt;=$R$2,209,"")</f>
        <v/>
      </c>
      <c r="B213" s="42" t="str">
        <f aca="false">IF($A213="","",计算_雪球!B232)</f>
        <v/>
      </c>
      <c r="C213" s="43" t="str">
        <f aca="false">IF(OR($A213="",C$4=""),"",IF(每月预算!$B$29="雪崩法",计算_雪崩!I232,计算_雪球!I232))</f>
        <v/>
      </c>
      <c r="D213" s="43" t="str">
        <f aca="false">IF(OR($A213="",D$4=""),"",IF(每月预算!$B$29="雪崩法",计算_雪崩!N232,计算_雪球!N232))</f>
        <v/>
      </c>
      <c r="E213" s="43" t="str">
        <f aca="false">IF(OR($A213="",E$4=""),"",IF(每月预算!$B$29="雪崩法",计算_雪崩!S232,计算_雪球!S232))</f>
        <v/>
      </c>
      <c r="F213" s="43" t="str">
        <f aca="false">IF(OR($A213="",F$4=""),"",IF(每月预算!$B$29="雪崩法",计算_雪崩!X232,计算_雪球!X232))</f>
        <v/>
      </c>
      <c r="G213" s="43" t="str">
        <f aca="false">IF(OR($A213="",G$4=""),"",IF(每月预算!$B$29="雪崩法",计算_雪崩!AC232,计算_雪球!AC232))</f>
        <v/>
      </c>
      <c r="H213" s="43" t="str">
        <f aca="false">IF(OR($A213="",H$4=""),"",IF(每月预算!$B$29="雪崩法",计算_雪崩!AH232,计算_雪球!AH232))</f>
        <v/>
      </c>
      <c r="I213" s="43" t="str">
        <f aca="false">IF(OR($A213="",I$4=""),"",IF(每月预算!$B$29="雪崩法",计算_雪崩!AM232,计算_雪球!AM232))</f>
        <v/>
      </c>
      <c r="J213" s="43" t="str">
        <f aca="false">IF(OR($A213="",J$4=""),"",IF(每月预算!$B$29="雪崩法",计算_雪崩!AR232,计算_雪球!AR232))</f>
        <v/>
      </c>
      <c r="K213" s="43" t="str">
        <f aca="false">IF(OR($A213="",K$4=""),"",IF(每月预算!$B$29="雪崩法",计算_雪崩!AW232,计算_雪球!AW232))</f>
        <v/>
      </c>
      <c r="L213" s="43" t="str">
        <f aca="false">IF(OR($A213="",L$4=""),"",IF(每月预算!$B$29="雪崩法",计算_雪崩!BB232,计算_雪球!BB232))</f>
        <v/>
      </c>
      <c r="M213" s="43" t="str">
        <f aca="false">IF($A213="","",IF(每月预算!$B$29="雪崩法",计算_雪崩!BC232,计算_雪球!BC232))</f>
        <v/>
      </c>
      <c r="N213" s="43" t="str">
        <f aca="false">IF($A213="","",IF(每月预算!$B$29="雪崩法",计算_雪崩!BE232,计算_雪球!BE232))</f>
        <v/>
      </c>
      <c r="O213" s="43" t="str">
        <f aca="false">IF($A213="","",IF(每月预算!$B$29="雪崩法",计算_雪崩!BD232,计算_雪球!BD232))</f>
        <v/>
      </c>
    </row>
    <row r="214" customFormat="false" ht="15" hidden="false" customHeight="false" outlineLevel="0" collapsed="false">
      <c r="A214" s="24" t="str">
        <f aca="false">IF(210&lt;=$R$2,210,"")</f>
        <v/>
      </c>
      <c r="B214" s="42" t="str">
        <f aca="false">IF($A214="","",计算_雪球!B233)</f>
        <v/>
      </c>
      <c r="C214" s="43" t="str">
        <f aca="false">IF(OR($A214="",C$4=""),"",IF(每月预算!$B$29="雪崩法",计算_雪崩!I233,计算_雪球!I233))</f>
        <v/>
      </c>
      <c r="D214" s="43" t="str">
        <f aca="false">IF(OR($A214="",D$4=""),"",IF(每月预算!$B$29="雪崩法",计算_雪崩!N233,计算_雪球!N233))</f>
        <v/>
      </c>
      <c r="E214" s="43" t="str">
        <f aca="false">IF(OR($A214="",E$4=""),"",IF(每月预算!$B$29="雪崩法",计算_雪崩!S233,计算_雪球!S233))</f>
        <v/>
      </c>
      <c r="F214" s="43" t="str">
        <f aca="false">IF(OR($A214="",F$4=""),"",IF(每月预算!$B$29="雪崩法",计算_雪崩!X233,计算_雪球!X233))</f>
        <v/>
      </c>
      <c r="G214" s="43" t="str">
        <f aca="false">IF(OR($A214="",G$4=""),"",IF(每月预算!$B$29="雪崩法",计算_雪崩!AC233,计算_雪球!AC233))</f>
        <v/>
      </c>
      <c r="H214" s="43" t="str">
        <f aca="false">IF(OR($A214="",H$4=""),"",IF(每月预算!$B$29="雪崩法",计算_雪崩!AH233,计算_雪球!AH233))</f>
        <v/>
      </c>
      <c r="I214" s="43" t="str">
        <f aca="false">IF(OR($A214="",I$4=""),"",IF(每月预算!$B$29="雪崩法",计算_雪崩!AM233,计算_雪球!AM233))</f>
        <v/>
      </c>
      <c r="J214" s="43" t="str">
        <f aca="false">IF(OR($A214="",J$4=""),"",IF(每月预算!$B$29="雪崩法",计算_雪崩!AR233,计算_雪球!AR233))</f>
        <v/>
      </c>
      <c r="K214" s="43" t="str">
        <f aca="false">IF(OR($A214="",K$4=""),"",IF(每月预算!$B$29="雪崩法",计算_雪崩!AW233,计算_雪球!AW233))</f>
        <v/>
      </c>
      <c r="L214" s="43" t="str">
        <f aca="false">IF(OR($A214="",L$4=""),"",IF(每月预算!$B$29="雪崩法",计算_雪崩!BB233,计算_雪球!BB233))</f>
        <v/>
      </c>
      <c r="M214" s="43" t="str">
        <f aca="false">IF($A214="","",IF(每月预算!$B$29="雪崩法",计算_雪崩!BC233,计算_雪球!BC233))</f>
        <v/>
      </c>
      <c r="N214" s="43" t="str">
        <f aca="false">IF($A214="","",IF(每月预算!$B$29="雪崩法",计算_雪崩!BE233,计算_雪球!BE233))</f>
        <v/>
      </c>
      <c r="O214" s="43" t="str">
        <f aca="false">IF($A214="","",IF(每月预算!$B$29="雪崩法",计算_雪崩!BD233,计算_雪球!BD233))</f>
        <v/>
      </c>
    </row>
    <row r="215" customFormat="false" ht="15" hidden="false" customHeight="false" outlineLevel="0" collapsed="false">
      <c r="A215" s="24" t="str">
        <f aca="false">IF(211&lt;=$R$2,211,"")</f>
        <v/>
      </c>
      <c r="B215" s="42" t="str">
        <f aca="false">IF($A215="","",计算_雪球!B234)</f>
        <v/>
      </c>
      <c r="C215" s="43" t="str">
        <f aca="false">IF(OR($A215="",C$4=""),"",IF(每月预算!$B$29="雪崩法",计算_雪崩!I234,计算_雪球!I234))</f>
        <v/>
      </c>
      <c r="D215" s="43" t="str">
        <f aca="false">IF(OR($A215="",D$4=""),"",IF(每月预算!$B$29="雪崩法",计算_雪崩!N234,计算_雪球!N234))</f>
        <v/>
      </c>
      <c r="E215" s="43" t="str">
        <f aca="false">IF(OR($A215="",E$4=""),"",IF(每月预算!$B$29="雪崩法",计算_雪崩!S234,计算_雪球!S234))</f>
        <v/>
      </c>
      <c r="F215" s="43" t="str">
        <f aca="false">IF(OR($A215="",F$4=""),"",IF(每月预算!$B$29="雪崩法",计算_雪崩!X234,计算_雪球!X234))</f>
        <v/>
      </c>
      <c r="G215" s="43" t="str">
        <f aca="false">IF(OR($A215="",G$4=""),"",IF(每月预算!$B$29="雪崩法",计算_雪崩!AC234,计算_雪球!AC234))</f>
        <v/>
      </c>
      <c r="H215" s="43" t="str">
        <f aca="false">IF(OR($A215="",H$4=""),"",IF(每月预算!$B$29="雪崩法",计算_雪崩!AH234,计算_雪球!AH234))</f>
        <v/>
      </c>
      <c r="I215" s="43" t="str">
        <f aca="false">IF(OR($A215="",I$4=""),"",IF(每月预算!$B$29="雪崩法",计算_雪崩!AM234,计算_雪球!AM234))</f>
        <v/>
      </c>
      <c r="J215" s="43" t="str">
        <f aca="false">IF(OR($A215="",J$4=""),"",IF(每月预算!$B$29="雪崩法",计算_雪崩!AR234,计算_雪球!AR234))</f>
        <v/>
      </c>
      <c r="K215" s="43" t="str">
        <f aca="false">IF(OR($A215="",K$4=""),"",IF(每月预算!$B$29="雪崩法",计算_雪崩!AW234,计算_雪球!AW234))</f>
        <v/>
      </c>
      <c r="L215" s="43" t="str">
        <f aca="false">IF(OR($A215="",L$4=""),"",IF(每月预算!$B$29="雪崩法",计算_雪崩!BB234,计算_雪球!BB234))</f>
        <v/>
      </c>
      <c r="M215" s="43" t="str">
        <f aca="false">IF($A215="","",IF(每月预算!$B$29="雪崩法",计算_雪崩!BC234,计算_雪球!BC234))</f>
        <v/>
      </c>
      <c r="N215" s="43" t="str">
        <f aca="false">IF($A215="","",IF(每月预算!$B$29="雪崩法",计算_雪崩!BE234,计算_雪球!BE234))</f>
        <v/>
      </c>
      <c r="O215" s="43" t="str">
        <f aca="false">IF($A215="","",IF(每月预算!$B$29="雪崩法",计算_雪崩!BD234,计算_雪球!BD234))</f>
        <v/>
      </c>
    </row>
    <row r="216" customFormat="false" ht="15" hidden="false" customHeight="false" outlineLevel="0" collapsed="false">
      <c r="A216" s="24" t="str">
        <f aca="false">IF(212&lt;=$R$2,212,"")</f>
        <v/>
      </c>
      <c r="B216" s="42" t="str">
        <f aca="false">IF($A216="","",计算_雪球!B235)</f>
        <v/>
      </c>
      <c r="C216" s="43" t="str">
        <f aca="false">IF(OR($A216="",C$4=""),"",IF(每月预算!$B$29="雪崩法",计算_雪崩!I235,计算_雪球!I235))</f>
        <v/>
      </c>
      <c r="D216" s="43" t="str">
        <f aca="false">IF(OR($A216="",D$4=""),"",IF(每月预算!$B$29="雪崩法",计算_雪崩!N235,计算_雪球!N235))</f>
        <v/>
      </c>
      <c r="E216" s="43" t="str">
        <f aca="false">IF(OR($A216="",E$4=""),"",IF(每月预算!$B$29="雪崩法",计算_雪崩!S235,计算_雪球!S235))</f>
        <v/>
      </c>
      <c r="F216" s="43" t="str">
        <f aca="false">IF(OR($A216="",F$4=""),"",IF(每月预算!$B$29="雪崩法",计算_雪崩!X235,计算_雪球!X235))</f>
        <v/>
      </c>
      <c r="G216" s="43" t="str">
        <f aca="false">IF(OR($A216="",G$4=""),"",IF(每月预算!$B$29="雪崩法",计算_雪崩!AC235,计算_雪球!AC235))</f>
        <v/>
      </c>
      <c r="H216" s="43" t="str">
        <f aca="false">IF(OR($A216="",H$4=""),"",IF(每月预算!$B$29="雪崩法",计算_雪崩!AH235,计算_雪球!AH235))</f>
        <v/>
      </c>
      <c r="I216" s="43" t="str">
        <f aca="false">IF(OR($A216="",I$4=""),"",IF(每月预算!$B$29="雪崩法",计算_雪崩!AM235,计算_雪球!AM235))</f>
        <v/>
      </c>
      <c r="J216" s="43" t="str">
        <f aca="false">IF(OR($A216="",J$4=""),"",IF(每月预算!$B$29="雪崩法",计算_雪崩!AR235,计算_雪球!AR235))</f>
        <v/>
      </c>
      <c r="K216" s="43" t="str">
        <f aca="false">IF(OR($A216="",K$4=""),"",IF(每月预算!$B$29="雪崩法",计算_雪崩!AW235,计算_雪球!AW235))</f>
        <v/>
      </c>
      <c r="L216" s="43" t="str">
        <f aca="false">IF(OR($A216="",L$4=""),"",IF(每月预算!$B$29="雪崩法",计算_雪崩!BB235,计算_雪球!BB235))</f>
        <v/>
      </c>
      <c r="M216" s="43" t="str">
        <f aca="false">IF($A216="","",IF(每月预算!$B$29="雪崩法",计算_雪崩!BC235,计算_雪球!BC235))</f>
        <v/>
      </c>
      <c r="N216" s="43" t="str">
        <f aca="false">IF($A216="","",IF(每月预算!$B$29="雪崩法",计算_雪崩!BE235,计算_雪球!BE235))</f>
        <v/>
      </c>
      <c r="O216" s="43" t="str">
        <f aca="false">IF($A216="","",IF(每月预算!$B$29="雪崩法",计算_雪崩!BD235,计算_雪球!BD235))</f>
        <v/>
      </c>
    </row>
    <row r="217" customFormat="false" ht="15" hidden="false" customHeight="false" outlineLevel="0" collapsed="false">
      <c r="A217" s="24" t="str">
        <f aca="false">IF(213&lt;=$R$2,213,"")</f>
        <v/>
      </c>
      <c r="B217" s="42" t="str">
        <f aca="false">IF($A217="","",计算_雪球!B236)</f>
        <v/>
      </c>
      <c r="C217" s="43" t="str">
        <f aca="false">IF(OR($A217="",C$4=""),"",IF(每月预算!$B$29="雪崩法",计算_雪崩!I236,计算_雪球!I236))</f>
        <v/>
      </c>
      <c r="D217" s="43" t="str">
        <f aca="false">IF(OR($A217="",D$4=""),"",IF(每月预算!$B$29="雪崩法",计算_雪崩!N236,计算_雪球!N236))</f>
        <v/>
      </c>
      <c r="E217" s="43" t="str">
        <f aca="false">IF(OR($A217="",E$4=""),"",IF(每月预算!$B$29="雪崩法",计算_雪崩!S236,计算_雪球!S236))</f>
        <v/>
      </c>
      <c r="F217" s="43" t="str">
        <f aca="false">IF(OR($A217="",F$4=""),"",IF(每月预算!$B$29="雪崩法",计算_雪崩!X236,计算_雪球!X236))</f>
        <v/>
      </c>
      <c r="G217" s="43" t="str">
        <f aca="false">IF(OR($A217="",G$4=""),"",IF(每月预算!$B$29="雪崩法",计算_雪崩!AC236,计算_雪球!AC236))</f>
        <v/>
      </c>
      <c r="H217" s="43" t="str">
        <f aca="false">IF(OR($A217="",H$4=""),"",IF(每月预算!$B$29="雪崩法",计算_雪崩!AH236,计算_雪球!AH236))</f>
        <v/>
      </c>
      <c r="I217" s="43" t="str">
        <f aca="false">IF(OR($A217="",I$4=""),"",IF(每月预算!$B$29="雪崩法",计算_雪崩!AM236,计算_雪球!AM236))</f>
        <v/>
      </c>
      <c r="J217" s="43" t="str">
        <f aca="false">IF(OR($A217="",J$4=""),"",IF(每月预算!$B$29="雪崩法",计算_雪崩!AR236,计算_雪球!AR236))</f>
        <v/>
      </c>
      <c r="K217" s="43" t="str">
        <f aca="false">IF(OR($A217="",K$4=""),"",IF(每月预算!$B$29="雪崩法",计算_雪崩!AW236,计算_雪球!AW236))</f>
        <v/>
      </c>
      <c r="L217" s="43" t="str">
        <f aca="false">IF(OR($A217="",L$4=""),"",IF(每月预算!$B$29="雪崩法",计算_雪崩!BB236,计算_雪球!BB236))</f>
        <v/>
      </c>
      <c r="M217" s="43" t="str">
        <f aca="false">IF($A217="","",IF(每月预算!$B$29="雪崩法",计算_雪崩!BC236,计算_雪球!BC236))</f>
        <v/>
      </c>
      <c r="N217" s="43" t="str">
        <f aca="false">IF($A217="","",IF(每月预算!$B$29="雪崩法",计算_雪崩!BE236,计算_雪球!BE236))</f>
        <v/>
      </c>
      <c r="O217" s="43" t="str">
        <f aca="false">IF($A217="","",IF(每月预算!$B$29="雪崩法",计算_雪崩!BD236,计算_雪球!BD236))</f>
        <v/>
      </c>
    </row>
    <row r="218" customFormat="false" ht="15" hidden="false" customHeight="false" outlineLevel="0" collapsed="false">
      <c r="A218" s="24" t="str">
        <f aca="false">IF(214&lt;=$R$2,214,"")</f>
        <v/>
      </c>
      <c r="B218" s="42" t="str">
        <f aca="false">IF($A218="","",计算_雪球!B237)</f>
        <v/>
      </c>
      <c r="C218" s="43" t="str">
        <f aca="false">IF(OR($A218="",C$4=""),"",IF(每月预算!$B$29="雪崩法",计算_雪崩!I237,计算_雪球!I237))</f>
        <v/>
      </c>
      <c r="D218" s="43" t="str">
        <f aca="false">IF(OR($A218="",D$4=""),"",IF(每月预算!$B$29="雪崩法",计算_雪崩!N237,计算_雪球!N237))</f>
        <v/>
      </c>
      <c r="E218" s="43" t="str">
        <f aca="false">IF(OR($A218="",E$4=""),"",IF(每月预算!$B$29="雪崩法",计算_雪崩!S237,计算_雪球!S237))</f>
        <v/>
      </c>
      <c r="F218" s="43" t="str">
        <f aca="false">IF(OR($A218="",F$4=""),"",IF(每月预算!$B$29="雪崩法",计算_雪崩!X237,计算_雪球!X237))</f>
        <v/>
      </c>
      <c r="G218" s="43" t="str">
        <f aca="false">IF(OR($A218="",G$4=""),"",IF(每月预算!$B$29="雪崩法",计算_雪崩!AC237,计算_雪球!AC237))</f>
        <v/>
      </c>
      <c r="H218" s="43" t="str">
        <f aca="false">IF(OR($A218="",H$4=""),"",IF(每月预算!$B$29="雪崩法",计算_雪崩!AH237,计算_雪球!AH237))</f>
        <v/>
      </c>
      <c r="I218" s="43" t="str">
        <f aca="false">IF(OR($A218="",I$4=""),"",IF(每月预算!$B$29="雪崩法",计算_雪崩!AM237,计算_雪球!AM237))</f>
        <v/>
      </c>
      <c r="J218" s="43" t="str">
        <f aca="false">IF(OR($A218="",J$4=""),"",IF(每月预算!$B$29="雪崩法",计算_雪崩!AR237,计算_雪球!AR237))</f>
        <v/>
      </c>
      <c r="K218" s="43" t="str">
        <f aca="false">IF(OR($A218="",K$4=""),"",IF(每月预算!$B$29="雪崩法",计算_雪崩!AW237,计算_雪球!AW237))</f>
        <v/>
      </c>
      <c r="L218" s="43" t="str">
        <f aca="false">IF(OR($A218="",L$4=""),"",IF(每月预算!$B$29="雪崩法",计算_雪崩!BB237,计算_雪球!BB237))</f>
        <v/>
      </c>
      <c r="M218" s="43" t="str">
        <f aca="false">IF($A218="","",IF(每月预算!$B$29="雪崩法",计算_雪崩!BC237,计算_雪球!BC237))</f>
        <v/>
      </c>
      <c r="N218" s="43" t="str">
        <f aca="false">IF($A218="","",IF(每月预算!$B$29="雪崩法",计算_雪崩!BE237,计算_雪球!BE237))</f>
        <v/>
      </c>
      <c r="O218" s="43" t="str">
        <f aca="false">IF($A218="","",IF(每月预算!$B$29="雪崩法",计算_雪崩!BD237,计算_雪球!BD237))</f>
        <v/>
      </c>
    </row>
    <row r="219" customFormat="false" ht="15" hidden="false" customHeight="false" outlineLevel="0" collapsed="false">
      <c r="A219" s="24" t="str">
        <f aca="false">IF(215&lt;=$R$2,215,"")</f>
        <v/>
      </c>
      <c r="B219" s="42" t="str">
        <f aca="false">IF($A219="","",计算_雪球!B238)</f>
        <v/>
      </c>
      <c r="C219" s="43" t="str">
        <f aca="false">IF(OR($A219="",C$4=""),"",IF(每月预算!$B$29="雪崩法",计算_雪崩!I238,计算_雪球!I238))</f>
        <v/>
      </c>
      <c r="D219" s="43" t="str">
        <f aca="false">IF(OR($A219="",D$4=""),"",IF(每月预算!$B$29="雪崩法",计算_雪崩!N238,计算_雪球!N238))</f>
        <v/>
      </c>
      <c r="E219" s="43" t="str">
        <f aca="false">IF(OR($A219="",E$4=""),"",IF(每月预算!$B$29="雪崩法",计算_雪崩!S238,计算_雪球!S238))</f>
        <v/>
      </c>
      <c r="F219" s="43" t="str">
        <f aca="false">IF(OR($A219="",F$4=""),"",IF(每月预算!$B$29="雪崩法",计算_雪崩!X238,计算_雪球!X238))</f>
        <v/>
      </c>
      <c r="G219" s="43" t="str">
        <f aca="false">IF(OR($A219="",G$4=""),"",IF(每月预算!$B$29="雪崩法",计算_雪崩!AC238,计算_雪球!AC238))</f>
        <v/>
      </c>
      <c r="H219" s="43" t="str">
        <f aca="false">IF(OR($A219="",H$4=""),"",IF(每月预算!$B$29="雪崩法",计算_雪崩!AH238,计算_雪球!AH238))</f>
        <v/>
      </c>
      <c r="I219" s="43" t="str">
        <f aca="false">IF(OR($A219="",I$4=""),"",IF(每月预算!$B$29="雪崩法",计算_雪崩!AM238,计算_雪球!AM238))</f>
        <v/>
      </c>
      <c r="J219" s="43" t="str">
        <f aca="false">IF(OR($A219="",J$4=""),"",IF(每月预算!$B$29="雪崩法",计算_雪崩!AR238,计算_雪球!AR238))</f>
        <v/>
      </c>
      <c r="K219" s="43" t="str">
        <f aca="false">IF(OR($A219="",K$4=""),"",IF(每月预算!$B$29="雪崩法",计算_雪崩!AW238,计算_雪球!AW238))</f>
        <v/>
      </c>
      <c r="L219" s="43" t="str">
        <f aca="false">IF(OR($A219="",L$4=""),"",IF(每月预算!$B$29="雪崩法",计算_雪崩!BB238,计算_雪球!BB238))</f>
        <v/>
      </c>
      <c r="M219" s="43" t="str">
        <f aca="false">IF($A219="","",IF(每月预算!$B$29="雪崩法",计算_雪崩!BC238,计算_雪球!BC238))</f>
        <v/>
      </c>
      <c r="N219" s="43" t="str">
        <f aca="false">IF($A219="","",IF(每月预算!$B$29="雪崩法",计算_雪崩!BE238,计算_雪球!BE238))</f>
        <v/>
      </c>
      <c r="O219" s="43" t="str">
        <f aca="false">IF($A219="","",IF(每月预算!$B$29="雪崩法",计算_雪崩!BD238,计算_雪球!BD238))</f>
        <v/>
      </c>
    </row>
    <row r="220" customFormat="false" ht="15" hidden="false" customHeight="false" outlineLevel="0" collapsed="false">
      <c r="A220" s="24" t="str">
        <f aca="false">IF(216&lt;=$R$2,216,"")</f>
        <v/>
      </c>
      <c r="B220" s="42" t="str">
        <f aca="false">IF($A220="","",计算_雪球!B239)</f>
        <v/>
      </c>
      <c r="C220" s="43" t="str">
        <f aca="false">IF(OR($A220="",C$4=""),"",IF(每月预算!$B$29="雪崩法",计算_雪崩!I239,计算_雪球!I239))</f>
        <v/>
      </c>
      <c r="D220" s="43" t="str">
        <f aca="false">IF(OR($A220="",D$4=""),"",IF(每月预算!$B$29="雪崩法",计算_雪崩!N239,计算_雪球!N239))</f>
        <v/>
      </c>
      <c r="E220" s="43" t="str">
        <f aca="false">IF(OR($A220="",E$4=""),"",IF(每月预算!$B$29="雪崩法",计算_雪崩!S239,计算_雪球!S239))</f>
        <v/>
      </c>
      <c r="F220" s="43" t="str">
        <f aca="false">IF(OR($A220="",F$4=""),"",IF(每月预算!$B$29="雪崩法",计算_雪崩!X239,计算_雪球!X239))</f>
        <v/>
      </c>
      <c r="G220" s="43" t="str">
        <f aca="false">IF(OR($A220="",G$4=""),"",IF(每月预算!$B$29="雪崩法",计算_雪崩!AC239,计算_雪球!AC239))</f>
        <v/>
      </c>
      <c r="H220" s="43" t="str">
        <f aca="false">IF(OR($A220="",H$4=""),"",IF(每月预算!$B$29="雪崩法",计算_雪崩!AH239,计算_雪球!AH239))</f>
        <v/>
      </c>
      <c r="I220" s="43" t="str">
        <f aca="false">IF(OR($A220="",I$4=""),"",IF(每月预算!$B$29="雪崩法",计算_雪崩!AM239,计算_雪球!AM239))</f>
        <v/>
      </c>
      <c r="J220" s="43" t="str">
        <f aca="false">IF(OR($A220="",J$4=""),"",IF(每月预算!$B$29="雪崩法",计算_雪崩!AR239,计算_雪球!AR239))</f>
        <v/>
      </c>
      <c r="K220" s="43" t="str">
        <f aca="false">IF(OR($A220="",K$4=""),"",IF(每月预算!$B$29="雪崩法",计算_雪崩!AW239,计算_雪球!AW239))</f>
        <v/>
      </c>
      <c r="L220" s="43" t="str">
        <f aca="false">IF(OR($A220="",L$4=""),"",IF(每月预算!$B$29="雪崩法",计算_雪崩!BB239,计算_雪球!BB239))</f>
        <v/>
      </c>
      <c r="M220" s="43" t="str">
        <f aca="false">IF($A220="","",IF(每月预算!$B$29="雪崩法",计算_雪崩!BC239,计算_雪球!BC239))</f>
        <v/>
      </c>
      <c r="N220" s="43" t="str">
        <f aca="false">IF($A220="","",IF(每月预算!$B$29="雪崩法",计算_雪崩!BE239,计算_雪球!BE239))</f>
        <v/>
      </c>
      <c r="O220" s="43" t="str">
        <f aca="false">IF($A220="","",IF(每月预算!$B$29="雪崩法",计算_雪崩!BD239,计算_雪球!BD239))</f>
        <v/>
      </c>
    </row>
    <row r="221" customFormat="false" ht="15" hidden="false" customHeight="false" outlineLevel="0" collapsed="false">
      <c r="A221" s="24" t="str">
        <f aca="false">IF(217&lt;=$R$2,217,"")</f>
        <v/>
      </c>
      <c r="B221" s="42" t="str">
        <f aca="false">IF($A221="","",计算_雪球!B240)</f>
        <v/>
      </c>
      <c r="C221" s="43" t="str">
        <f aca="false">IF(OR($A221="",C$4=""),"",IF(每月预算!$B$29="雪崩法",计算_雪崩!I240,计算_雪球!I240))</f>
        <v/>
      </c>
      <c r="D221" s="43" t="str">
        <f aca="false">IF(OR($A221="",D$4=""),"",IF(每月预算!$B$29="雪崩法",计算_雪崩!N240,计算_雪球!N240))</f>
        <v/>
      </c>
      <c r="E221" s="43" t="str">
        <f aca="false">IF(OR($A221="",E$4=""),"",IF(每月预算!$B$29="雪崩法",计算_雪崩!S240,计算_雪球!S240))</f>
        <v/>
      </c>
      <c r="F221" s="43" t="str">
        <f aca="false">IF(OR($A221="",F$4=""),"",IF(每月预算!$B$29="雪崩法",计算_雪崩!X240,计算_雪球!X240))</f>
        <v/>
      </c>
      <c r="G221" s="43" t="str">
        <f aca="false">IF(OR($A221="",G$4=""),"",IF(每月预算!$B$29="雪崩法",计算_雪崩!AC240,计算_雪球!AC240))</f>
        <v/>
      </c>
      <c r="H221" s="43" t="str">
        <f aca="false">IF(OR($A221="",H$4=""),"",IF(每月预算!$B$29="雪崩法",计算_雪崩!AH240,计算_雪球!AH240))</f>
        <v/>
      </c>
      <c r="I221" s="43" t="str">
        <f aca="false">IF(OR($A221="",I$4=""),"",IF(每月预算!$B$29="雪崩法",计算_雪崩!AM240,计算_雪球!AM240))</f>
        <v/>
      </c>
      <c r="J221" s="43" t="str">
        <f aca="false">IF(OR($A221="",J$4=""),"",IF(每月预算!$B$29="雪崩法",计算_雪崩!AR240,计算_雪球!AR240))</f>
        <v/>
      </c>
      <c r="K221" s="43" t="str">
        <f aca="false">IF(OR($A221="",K$4=""),"",IF(每月预算!$B$29="雪崩法",计算_雪崩!AW240,计算_雪球!AW240))</f>
        <v/>
      </c>
      <c r="L221" s="43" t="str">
        <f aca="false">IF(OR($A221="",L$4=""),"",IF(每月预算!$B$29="雪崩法",计算_雪崩!BB240,计算_雪球!BB240))</f>
        <v/>
      </c>
      <c r="M221" s="43" t="str">
        <f aca="false">IF($A221="","",IF(每月预算!$B$29="雪崩法",计算_雪崩!BC240,计算_雪球!BC240))</f>
        <v/>
      </c>
      <c r="N221" s="43" t="str">
        <f aca="false">IF($A221="","",IF(每月预算!$B$29="雪崩法",计算_雪崩!BE240,计算_雪球!BE240))</f>
        <v/>
      </c>
      <c r="O221" s="43" t="str">
        <f aca="false">IF($A221="","",IF(每月预算!$B$29="雪崩法",计算_雪崩!BD240,计算_雪球!BD240))</f>
        <v/>
      </c>
    </row>
    <row r="222" customFormat="false" ht="15" hidden="false" customHeight="false" outlineLevel="0" collapsed="false">
      <c r="A222" s="24" t="str">
        <f aca="false">IF(218&lt;=$R$2,218,"")</f>
        <v/>
      </c>
      <c r="B222" s="42" t="str">
        <f aca="false">IF($A222="","",计算_雪球!B241)</f>
        <v/>
      </c>
      <c r="C222" s="43" t="str">
        <f aca="false">IF(OR($A222="",C$4=""),"",IF(每月预算!$B$29="雪崩法",计算_雪崩!I241,计算_雪球!I241))</f>
        <v/>
      </c>
      <c r="D222" s="43" t="str">
        <f aca="false">IF(OR($A222="",D$4=""),"",IF(每月预算!$B$29="雪崩法",计算_雪崩!N241,计算_雪球!N241))</f>
        <v/>
      </c>
      <c r="E222" s="43" t="str">
        <f aca="false">IF(OR($A222="",E$4=""),"",IF(每月预算!$B$29="雪崩法",计算_雪崩!S241,计算_雪球!S241))</f>
        <v/>
      </c>
      <c r="F222" s="43" t="str">
        <f aca="false">IF(OR($A222="",F$4=""),"",IF(每月预算!$B$29="雪崩法",计算_雪崩!X241,计算_雪球!X241))</f>
        <v/>
      </c>
      <c r="G222" s="43" t="str">
        <f aca="false">IF(OR($A222="",G$4=""),"",IF(每月预算!$B$29="雪崩法",计算_雪崩!AC241,计算_雪球!AC241))</f>
        <v/>
      </c>
      <c r="H222" s="43" t="str">
        <f aca="false">IF(OR($A222="",H$4=""),"",IF(每月预算!$B$29="雪崩法",计算_雪崩!AH241,计算_雪球!AH241))</f>
        <v/>
      </c>
      <c r="I222" s="43" t="str">
        <f aca="false">IF(OR($A222="",I$4=""),"",IF(每月预算!$B$29="雪崩法",计算_雪崩!AM241,计算_雪球!AM241))</f>
        <v/>
      </c>
      <c r="J222" s="43" t="str">
        <f aca="false">IF(OR($A222="",J$4=""),"",IF(每月预算!$B$29="雪崩法",计算_雪崩!AR241,计算_雪球!AR241))</f>
        <v/>
      </c>
      <c r="K222" s="43" t="str">
        <f aca="false">IF(OR($A222="",K$4=""),"",IF(每月预算!$B$29="雪崩法",计算_雪崩!AW241,计算_雪球!AW241))</f>
        <v/>
      </c>
      <c r="L222" s="43" t="str">
        <f aca="false">IF(OR($A222="",L$4=""),"",IF(每月预算!$B$29="雪崩法",计算_雪崩!BB241,计算_雪球!BB241))</f>
        <v/>
      </c>
      <c r="M222" s="43" t="str">
        <f aca="false">IF($A222="","",IF(每月预算!$B$29="雪崩法",计算_雪崩!BC241,计算_雪球!BC241))</f>
        <v/>
      </c>
      <c r="N222" s="43" t="str">
        <f aca="false">IF($A222="","",IF(每月预算!$B$29="雪崩法",计算_雪崩!BE241,计算_雪球!BE241))</f>
        <v/>
      </c>
      <c r="O222" s="43" t="str">
        <f aca="false">IF($A222="","",IF(每月预算!$B$29="雪崩法",计算_雪崩!BD241,计算_雪球!BD241))</f>
        <v/>
      </c>
    </row>
    <row r="223" customFormat="false" ht="15" hidden="false" customHeight="false" outlineLevel="0" collapsed="false">
      <c r="A223" s="24" t="str">
        <f aca="false">IF(219&lt;=$R$2,219,"")</f>
        <v/>
      </c>
      <c r="B223" s="42" t="str">
        <f aca="false">IF($A223="","",计算_雪球!B242)</f>
        <v/>
      </c>
      <c r="C223" s="43" t="str">
        <f aca="false">IF(OR($A223="",C$4=""),"",IF(每月预算!$B$29="雪崩法",计算_雪崩!I242,计算_雪球!I242))</f>
        <v/>
      </c>
      <c r="D223" s="43" t="str">
        <f aca="false">IF(OR($A223="",D$4=""),"",IF(每月预算!$B$29="雪崩法",计算_雪崩!N242,计算_雪球!N242))</f>
        <v/>
      </c>
      <c r="E223" s="43" t="str">
        <f aca="false">IF(OR($A223="",E$4=""),"",IF(每月预算!$B$29="雪崩法",计算_雪崩!S242,计算_雪球!S242))</f>
        <v/>
      </c>
      <c r="F223" s="43" t="str">
        <f aca="false">IF(OR($A223="",F$4=""),"",IF(每月预算!$B$29="雪崩法",计算_雪崩!X242,计算_雪球!X242))</f>
        <v/>
      </c>
      <c r="G223" s="43" t="str">
        <f aca="false">IF(OR($A223="",G$4=""),"",IF(每月预算!$B$29="雪崩法",计算_雪崩!AC242,计算_雪球!AC242))</f>
        <v/>
      </c>
      <c r="H223" s="43" t="str">
        <f aca="false">IF(OR($A223="",H$4=""),"",IF(每月预算!$B$29="雪崩法",计算_雪崩!AH242,计算_雪球!AH242))</f>
        <v/>
      </c>
      <c r="I223" s="43" t="str">
        <f aca="false">IF(OR($A223="",I$4=""),"",IF(每月预算!$B$29="雪崩法",计算_雪崩!AM242,计算_雪球!AM242))</f>
        <v/>
      </c>
      <c r="J223" s="43" t="str">
        <f aca="false">IF(OR($A223="",J$4=""),"",IF(每月预算!$B$29="雪崩法",计算_雪崩!AR242,计算_雪球!AR242))</f>
        <v/>
      </c>
      <c r="K223" s="43" t="str">
        <f aca="false">IF(OR($A223="",K$4=""),"",IF(每月预算!$B$29="雪崩法",计算_雪崩!AW242,计算_雪球!AW242))</f>
        <v/>
      </c>
      <c r="L223" s="43" t="str">
        <f aca="false">IF(OR($A223="",L$4=""),"",IF(每月预算!$B$29="雪崩法",计算_雪崩!BB242,计算_雪球!BB242))</f>
        <v/>
      </c>
      <c r="M223" s="43" t="str">
        <f aca="false">IF($A223="","",IF(每月预算!$B$29="雪崩法",计算_雪崩!BC242,计算_雪球!BC242))</f>
        <v/>
      </c>
      <c r="N223" s="43" t="str">
        <f aca="false">IF($A223="","",IF(每月预算!$B$29="雪崩法",计算_雪崩!BE242,计算_雪球!BE242))</f>
        <v/>
      </c>
      <c r="O223" s="43" t="str">
        <f aca="false">IF($A223="","",IF(每月预算!$B$29="雪崩法",计算_雪崩!BD242,计算_雪球!BD242))</f>
        <v/>
      </c>
    </row>
    <row r="224" customFormat="false" ht="15" hidden="false" customHeight="false" outlineLevel="0" collapsed="false">
      <c r="A224" s="24" t="str">
        <f aca="false">IF(220&lt;=$R$2,220,"")</f>
        <v/>
      </c>
      <c r="B224" s="42" t="str">
        <f aca="false">IF($A224="","",计算_雪球!B243)</f>
        <v/>
      </c>
      <c r="C224" s="43" t="str">
        <f aca="false">IF(OR($A224="",C$4=""),"",IF(每月预算!$B$29="雪崩法",计算_雪崩!I243,计算_雪球!I243))</f>
        <v/>
      </c>
      <c r="D224" s="43" t="str">
        <f aca="false">IF(OR($A224="",D$4=""),"",IF(每月预算!$B$29="雪崩法",计算_雪崩!N243,计算_雪球!N243))</f>
        <v/>
      </c>
      <c r="E224" s="43" t="str">
        <f aca="false">IF(OR($A224="",E$4=""),"",IF(每月预算!$B$29="雪崩法",计算_雪崩!S243,计算_雪球!S243))</f>
        <v/>
      </c>
      <c r="F224" s="43" t="str">
        <f aca="false">IF(OR($A224="",F$4=""),"",IF(每月预算!$B$29="雪崩法",计算_雪崩!X243,计算_雪球!X243))</f>
        <v/>
      </c>
      <c r="G224" s="43" t="str">
        <f aca="false">IF(OR($A224="",G$4=""),"",IF(每月预算!$B$29="雪崩法",计算_雪崩!AC243,计算_雪球!AC243))</f>
        <v/>
      </c>
      <c r="H224" s="43" t="str">
        <f aca="false">IF(OR($A224="",H$4=""),"",IF(每月预算!$B$29="雪崩法",计算_雪崩!AH243,计算_雪球!AH243))</f>
        <v/>
      </c>
      <c r="I224" s="43" t="str">
        <f aca="false">IF(OR($A224="",I$4=""),"",IF(每月预算!$B$29="雪崩法",计算_雪崩!AM243,计算_雪球!AM243))</f>
        <v/>
      </c>
      <c r="J224" s="43" t="str">
        <f aca="false">IF(OR($A224="",J$4=""),"",IF(每月预算!$B$29="雪崩法",计算_雪崩!AR243,计算_雪球!AR243))</f>
        <v/>
      </c>
      <c r="K224" s="43" t="str">
        <f aca="false">IF(OR($A224="",K$4=""),"",IF(每月预算!$B$29="雪崩法",计算_雪崩!AW243,计算_雪球!AW243))</f>
        <v/>
      </c>
      <c r="L224" s="43" t="str">
        <f aca="false">IF(OR($A224="",L$4=""),"",IF(每月预算!$B$29="雪崩法",计算_雪崩!BB243,计算_雪球!BB243))</f>
        <v/>
      </c>
      <c r="M224" s="43" t="str">
        <f aca="false">IF($A224="","",IF(每月预算!$B$29="雪崩法",计算_雪崩!BC243,计算_雪球!BC243))</f>
        <v/>
      </c>
      <c r="N224" s="43" t="str">
        <f aca="false">IF($A224="","",IF(每月预算!$B$29="雪崩法",计算_雪崩!BE243,计算_雪球!BE243))</f>
        <v/>
      </c>
      <c r="O224" s="43" t="str">
        <f aca="false">IF($A224="","",IF(每月预算!$B$29="雪崩法",计算_雪崩!BD243,计算_雪球!BD243))</f>
        <v/>
      </c>
    </row>
    <row r="225" customFormat="false" ht="15" hidden="false" customHeight="false" outlineLevel="0" collapsed="false">
      <c r="A225" s="24" t="str">
        <f aca="false">IF(221&lt;=$R$2,221,"")</f>
        <v/>
      </c>
      <c r="B225" s="42" t="str">
        <f aca="false">IF($A225="","",计算_雪球!B244)</f>
        <v/>
      </c>
      <c r="C225" s="43" t="str">
        <f aca="false">IF(OR($A225="",C$4=""),"",IF(每月预算!$B$29="雪崩法",计算_雪崩!I244,计算_雪球!I244))</f>
        <v/>
      </c>
      <c r="D225" s="43" t="str">
        <f aca="false">IF(OR($A225="",D$4=""),"",IF(每月预算!$B$29="雪崩法",计算_雪崩!N244,计算_雪球!N244))</f>
        <v/>
      </c>
      <c r="E225" s="43" t="str">
        <f aca="false">IF(OR($A225="",E$4=""),"",IF(每月预算!$B$29="雪崩法",计算_雪崩!S244,计算_雪球!S244))</f>
        <v/>
      </c>
      <c r="F225" s="43" t="str">
        <f aca="false">IF(OR($A225="",F$4=""),"",IF(每月预算!$B$29="雪崩法",计算_雪崩!X244,计算_雪球!X244))</f>
        <v/>
      </c>
      <c r="G225" s="43" t="str">
        <f aca="false">IF(OR($A225="",G$4=""),"",IF(每月预算!$B$29="雪崩法",计算_雪崩!AC244,计算_雪球!AC244))</f>
        <v/>
      </c>
      <c r="H225" s="43" t="str">
        <f aca="false">IF(OR($A225="",H$4=""),"",IF(每月预算!$B$29="雪崩法",计算_雪崩!AH244,计算_雪球!AH244))</f>
        <v/>
      </c>
      <c r="I225" s="43" t="str">
        <f aca="false">IF(OR($A225="",I$4=""),"",IF(每月预算!$B$29="雪崩法",计算_雪崩!AM244,计算_雪球!AM244))</f>
        <v/>
      </c>
      <c r="J225" s="43" t="str">
        <f aca="false">IF(OR($A225="",J$4=""),"",IF(每月预算!$B$29="雪崩法",计算_雪崩!AR244,计算_雪球!AR244))</f>
        <v/>
      </c>
      <c r="K225" s="43" t="str">
        <f aca="false">IF(OR($A225="",K$4=""),"",IF(每月预算!$B$29="雪崩法",计算_雪崩!AW244,计算_雪球!AW244))</f>
        <v/>
      </c>
      <c r="L225" s="43" t="str">
        <f aca="false">IF(OR($A225="",L$4=""),"",IF(每月预算!$B$29="雪崩法",计算_雪崩!BB244,计算_雪球!BB244))</f>
        <v/>
      </c>
      <c r="M225" s="43" t="str">
        <f aca="false">IF($A225="","",IF(每月预算!$B$29="雪崩法",计算_雪崩!BC244,计算_雪球!BC244))</f>
        <v/>
      </c>
      <c r="N225" s="43" t="str">
        <f aca="false">IF($A225="","",IF(每月预算!$B$29="雪崩法",计算_雪崩!BE244,计算_雪球!BE244))</f>
        <v/>
      </c>
      <c r="O225" s="43" t="str">
        <f aca="false">IF($A225="","",IF(每月预算!$B$29="雪崩法",计算_雪崩!BD244,计算_雪球!BD244))</f>
        <v/>
      </c>
    </row>
    <row r="226" customFormat="false" ht="15" hidden="false" customHeight="false" outlineLevel="0" collapsed="false">
      <c r="A226" s="24" t="str">
        <f aca="false">IF(222&lt;=$R$2,222,"")</f>
        <v/>
      </c>
      <c r="B226" s="42" t="str">
        <f aca="false">IF($A226="","",计算_雪球!B245)</f>
        <v/>
      </c>
      <c r="C226" s="43" t="str">
        <f aca="false">IF(OR($A226="",C$4=""),"",IF(每月预算!$B$29="雪崩法",计算_雪崩!I245,计算_雪球!I245))</f>
        <v/>
      </c>
      <c r="D226" s="43" t="str">
        <f aca="false">IF(OR($A226="",D$4=""),"",IF(每月预算!$B$29="雪崩法",计算_雪崩!N245,计算_雪球!N245))</f>
        <v/>
      </c>
      <c r="E226" s="43" t="str">
        <f aca="false">IF(OR($A226="",E$4=""),"",IF(每月预算!$B$29="雪崩法",计算_雪崩!S245,计算_雪球!S245))</f>
        <v/>
      </c>
      <c r="F226" s="43" t="str">
        <f aca="false">IF(OR($A226="",F$4=""),"",IF(每月预算!$B$29="雪崩法",计算_雪崩!X245,计算_雪球!X245))</f>
        <v/>
      </c>
      <c r="G226" s="43" t="str">
        <f aca="false">IF(OR($A226="",G$4=""),"",IF(每月预算!$B$29="雪崩法",计算_雪崩!AC245,计算_雪球!AC245))</f>
        <v/>
      </c>
      <c r="H226" s="43" t="str">
        <f aca="false">IF(OR($A226="",H$4=""),"",IF(每月预算!$B$29="雪崩法",计算_雪崩!AH245,计算_雪球!AH245))</f>
        <v/>
      </c>
      <c r="I226" s="43" t="str">
        <f aca="false">IF(OR($A226="",I$4=""),"",IF(每月预算!$B$29="雪崩法",计算_雪崩!AM245,计算_雪球!AM245))</f>
        <v/>
      </c>
      <c r="J226" s="43" t="str">
        <f aca="false">IF(OR($A226="",J$4=""),"",IF(每月预算!$B$29="雪崩法",计算_雪崩!AR245,计算_雪球!AR245))</f>
        <v/>
      </c>
      <c r="K226" s="43" t="str">
        <f aca="false">IF(OR($A226="",K$4=""),"",IF(每月预算!$B$29="雪崩法",计算_雪崩!AW245,计算_雪球!AW245))</f>
        <v/>
      </c>
      <c r="L226" s="43" t="str">
        <f aca="false">IF(OR($A226="",L$4=""),"",IF(每月预算!$B$29="雪崩法",计算_雪崩!BB245,计算_雪球!BB245))</f>
        <v/>
      </c>
      <c r="M226" s="43" t="str">
        <f aca="false">IF($A226="","",IF(每月预算!$B$29="雪崩法",计算_雪崩!BC245,计算_雪球!BC245))</f>
        <v/>
      </c>
      <c r="N226" s="43" t="str">
        <f aca="false">IF($A226="","",IF(每月预算!$B$29="雪崩法",计算_雪崩!BE245,计算_雪球!BE245))</f>
        <v/>
      </c>
      <c r="O226" s="43" t="str">
        <f aca="false">IF($A226="","",IF(每月预算!$B$29="雪崩法",计算_雪崩!BD245,计算_雪球!BD245))</f>
        <v/>
      </c>
    </row>
    <row r="227" customFormat="false" ht="15" hidden="false" customHeight="false" outlineLevel="0" collapsed="false">
      <c r="A227" s="24" t="str">
        <f aca="false">IF(223&lt;=$R$2,223,"")</f>
        <v/>
      </c>
      <c r="B227" s="42" t="str">
        <f aca="false">IF($A227="","",计算_雪球!B246)</f>
        <v/>
      </c>
      <c r="C227" s="43" t="str">
        <f aca="false">IF(OR($A227="",C$4=""),"",IF(每月预算!$B$29="雪崩法",计算_雪崩!I246,计算_雪球!I246))</f>
        <v/>
      </c>
      <c r="D227" s="43" t="str">
        <f aca="false">IF(OR($A227="",D$4=""),"",IF(每月预算!$B$29="雪崩法",计算_雪崩!N246,计算_雪球!N246))</f>
        <v/>
      </c>
      <c r="E227" s="43" t="str">
        <f aca="false">IF(OR($A227="",E$4=""),"",IF(每月预算!$B$29="雪崩法",计算_雪崩!S246,计算_雪球!S246))</f>
        <v/>
      </c>
      <c r="F227" s="43" t="str">
        <f aca="false">IF(OR($A227="",F$4=""),"",IF(每月预算!$B$29="雪崩法",计算_雪崩!X246,计算_雪球!X246))</f>
        <v/>
      </c>
      <c r="G227" s="43" t="str">
        <f aca="false">IF(OR($A227="",G$4=""),"",IF(每月预算!$B$29="雪崩法",计算_雪崩!AC246,计算_雪球!AC246))</f>
        <v/>
      </c>
      <c r="H227" s="43" t="str">
        <f aca="false">IF(OR($A227="",H$4=""),"",IF(每月预算!$B$29="雪崩法",计算_雪崩!AH246,计算_雪球!AH246))</f>
        <v/>
      </c>
      <c r="I227" s="43" t="str">
        <f aca="false">IF(OR($A227="",I$4=""),"",IF(每月预算!$B$29="雪崩法",计算_雪崩!AM246,计算_雪球!AM246))</f>
        <v/>
      </c>
      <c r="J227" s="43" t="str">
        <f aca="false">IF(OR($A227="",J$4=""),"",IF(每月预算!$B$29="雪崩法",计算_雪崩!AR246,计算_雪球!AR246))</f>
        <v/>
      </c>
      <c r="K227" s="43" t="str">
        <f aca="false">IF(OR($A227="",K$4=""),"",IF(每月预算!$B$29="雪崩法",计算_雪崩!AW246,计算_雪球!AW246))</f>
        <v/>
      </c>
      <c r="L227" s="43" t="str">
        <f aca="false">IF(OR($A227="",L$4=""),"",IF(每月预算!$B$29="雪崩法",计算_雪崩!BB246,计算_雪球!BB246))</f>
        <v/>
      </c>
      <c r="M227" s="43" t="str">
        <f aca="false">IF($A227="","",IF(每月预算!$B$29="雪崩法",计算_雪崩!BC246,计算_雪球!BC246))</f>
        <v/>
      </c>
      <c r="N227" s="43" t="str">
        <f aca="false">IF($A227="","",IF(每月预算!$B$29="雪崩法",计算_雪崩!BE246,计算_雪球!BE246))</f>
        <v/>
      </c>
      <c r="O227" s="43" t="str">
        <f aca="false">IF($A227="","",IF(每月预算!$B$29="雪崩法",计算_雪崩!BD246,计算_雪球!BD246))</f>
        <v/>
      </c>
    </row>
    <row r="228" customFormat="false" ht="15" hidden="false" customHeight="false" outlineLevel="0" collapsed="false">
      <c r="A228" s="24" t="str">
        <f aca="false">IF(224&lt;=$R$2,224,"")</f>
        <v/>
      </c>
      <c r="B228" s="42" t="str">
        <f aca="false">IF($A228="","",计算_雪球!B247)</f>
        <v/>
      </c>
      <c r="C228" s="43" t="str">
        <f aca="false">IF(OR($A228="",C$4=""),"",IF(每月预算!$B$29="雪崩法",计算_雪崩!I247,计算_雪球!I247))</f>
        <v/>
      </c>
      <c r="D228" s="43" t="str">
        <f aca="false">IF(OR($A228="",D$4=""),"",IF(每月预算!$B$29="雪崩法",计算_雪崩!N247,计算_雪球!N247))</f>
        <v/>
      </c>
      <c r="E228" s="43" t="str">
        <f aca="false">IF(OR($A228="",E$4=""),"",IF(每月预算!$B$29="雪崩法",计算_雪崩!S247,计算_雪球!S247))</f>
        <v/>
      </c>
      <c r="F228" s="43" t="str">
        <f aca="false">IF(OR($A228="",F$4=""),"",IF(每月预算!$B$29="雪崩法",计算_雪崩!X247,计算_雪球!X247))</f>
        <v/>
      </c>
      <c r="G228" s="43" t="str">
        <f aca="false">IF(OR($A228="",G$4=""),"",IF(每月预算!$B$29="雪崩法",计算_雪崩!AC247,计算_雪球!AC247))</f>
        <v/>
      </c>
      <c r="H228" s="43" t="str">
        <f aca="false">IF(OR($A228="",H$4=""),"",IF(每月预算!$B$29="雪崩法",计算_雪崩!AH247,计算_雪球!AH247))</f>
        <v/>
      </c>
      <c r="I228" s="43" t="str">
        <f aca="false">IF(OR($A228="",I$4=""),"",IF(每月预算!$B$29="雪崩法",计算_雪崩!AM247,计算_雪球!AM247))</f>
        <v/>
      </c>
      <c r="J228" s="43" t="str">
        <f aca="false">IF(OR($A228="",J$4=""),"",IF(每月预算!$B$29="雪崩法",计算_雪崩!AR247,计算_雪球!AR247))</f>
        <v/>
      </c>
      <c r="K228" s="43" t="str">
        <f aca="false">IF(OR($A228="",K$4=""),"",IF(每月预算!$B$29="雪崩法",计算_雪崩!AW247,计算_雪球!AW247))</f>
        <v/>
      </c>
      <c r="L228" s="43" t="str">
        <f aca="false">IF(OR($A228="",L$4=""),"",IF(每月预算!$B$29="雪崩法",计算_雪崩!BB247,计算_雪球!BB247))</f>
        <v/>
      </c>
      <c r="M228" s="43" t="str">
        <f aca="false">IF($A228="","",IF(每月预算!$B$29="雪崩法",计算_雪崩!BC247,计算_雪球!BC247))</f>
        <v/>
      </c>
      <c r="N228" s="43" t="str">
        <f aca="false">IF($A228="","",IF(每月预算!$B$29="雪崩法",计算_雪崩!BE247,计算_雪球!BE247))</f>
        <v/>
      </c>
      <c r="O228" s="43" t="str">
        <f aca="false">IF($A228="","",IF(每月预算!$B$29="雪崩法",计算_雪崩!BD247,计算_雪球!BD247))</f>
        <v/>
      </c>
    </row>
    <row r="229" customFormat="false" ht="15" hidden="false" customHeight="false" outlineLevel="0" collapsed="false">
      <c r="A229" s="24" t="str">
        <f aca="false">IF(225&lt;=$R$2,225,"")</f>
        <v/>
      </c>
      <c r="B229" s="42" t="str">
        <f aca="false">IF($A229="","",计算_雪球!B248)</f>
        <v/>
      </c>
      <c r="C229" s="43" t="str">
        <f aca="false">IF(OR($A229="",C$4=""),"",IF(每月预算!$B$29="雪崩法",计算_雪崩!I248,计算_雪球!I248))</f>
        <v/>
      </c>
      <c r="D229" s="43" t="str">
        <f aca="false">IF(OR($A229="",D$4=""),"",IF(每月预算!$B$29="雪崩法",计算_雪崩!N248,计算_雪球!N248))</f>
        <v/>
      </c>
      <c r="E229" s="43" t="str">
        <f aca="false">IF(OR($A229="",E$4=""),"",IF(每月预算!$B$29="雪崩法",计算_雪崩!S248,计算_雪球!S248))</f>
        <v/>
      </c>
      <c r="F229" s="43" t="str">
        <f aca="false">IF(OR($A229="",F$4=""),"",IF(每月预算!$B$29="雪崩法",计算_雪崩!X248,计算_雪球!X248))</f>
        <v/>
      </c>
      <c r="G229" s="43" t="str">
        <f aca="false">IF(OR($A229="",G$4=""),"",IF(每月预算!$B$29="雪崩法",计算_雪崩!AC248,计算_雪球!AC248))</f>
        <v/>
      </c>
      <c r="H229" s="43" t="str">
        <f aca="false">IF(OR($A229="",H$4=""),"",IF(每月预算!$B$29="雪崩法",计算_雪崩!AH248,计算_雪球!AH248))</f>
        <v/>
      </c>
      <c r="I229" s="43" t="str">
        <f aca="false">IF(OR($A229="",I$4=""),"",IF(每月预算!$B$29="雪崩法",计算_雪崩!AM248,计算_雪球!AM248))</f>
        <v/>
      </c>
      <c r="J229" s="43" t="str">
        <f aca="false">IF(OR($A229="",J$4=""),"",IF(每月预算!$B$29="雪崩法",计算_雪崩!AR248,计算_雪球!AR248))</f>
        <v/>
      </c>
      <c r="K229" s="43" t="str">
        <f aca="false">IF(OR($A229="",K$4=""),"",IF(每月预算!$B$29="雪崩法",计算_雪崩!AW248,计算_雪球!AW248))</f>
        <v/>
      </c>
      <c r="L229" s="43" t="str">
        <f aca="false">IF(OR($A229="",L$4=""),"",IF(每月预算!$B$29="雪崩法",计算_雪崩!BB248,计算_雪球!BB248))</f>
        <v/>
      </c>
      <c r="M229" s="43" t="str">
        <f aca="false">IF($A229="","",IF(每月预算!$B$29="雪崩法",计算_雪崩!BC248,计算_雪球!BC248))</f>
        <v/>
      </c>
      <c r="N229" s="43" t="str">
        <f aca="false">IF($A229="","",IF(每月预算!$B$29="雪崩法",计算_雪崩!BE248,计算_雪球!BE248))</f>
        <v/>
      </c>
      <c r="O229" s="43" t="str">
        <f aca="false">IF($A229="","",IF(每月预算!$B$29="雪崩法",计算_雪崩!BD248,计算_雪球!BD248))</f>
        <v/>
      </c>
    </row>
    <row r="230" customFormat="false" ht="15" hidden="false" customHeight="false" outlineLevel="0" collapsed="false">
      <c r="A230" s="24" t="str">
        <f aca="false">IF(226&lt;=$R$2,226,"")</f>
        <v/>
      </c>
      <c r="B230" s="42" t="str">
        <f aca="false">IF($A230="","",计算_雪球!B249)</f>
        <v/>
      </c>
      <c r="C230" s="43" t="str">
        <f aca="false">IF(OR($A230="",C$4=""),"",IF(每月预算!$B$29="雪崩法",计算_雪崩!I249,计算_雪球!I249))</f>
        <v/>
      </c>
      <c r="D230" s="43" t="str">
        <f aca="false">IF(OR($A230="",D$4=""),"",IF(每月预算!$B$29="雪崩法",计算_雪崩!N249,计算_雪球!N249))</f>
        <v/>
      </c>
      <c r="E230" s="43" t="str">
        <f aca="false">IF(OR($A230="",E$4=""),"",IF(每月预算!$B$29="雪崩法",计算_雪崩!S249,计算_雪球!S249))</f>
        <v/>
      </c>
      <c r="F230" s="43" t="str">
        <f aca="false">IF(OR($A230="",F$4=""),"",IF(每月预算!$B$29="雪崩法",计算_雪崩!X249,计算_雪球!X249))</f>
        <v/>
      </c>
      <c r="G230" s="43" t="str">
        <f aca="false">IF(OR($A230="",G$4=""),"",IF(每月预算!$B$29="雪崩法",计算_雪崩!AC249,计算_雪球!AC249))</f>
        <v/>
      </c>
      <c r="H230" s="43" t="str">
        <f aca="false">IF(OR($A230="",H$4=""),"",IF(每月预算!$B$29="雪崩法",计算_雪崩!AH249,计算_雪球!AH249))</f>
        <v/>
      </c>
      <c r="I230" s="43" t="str">
        <f aca="false">IF(OR($A230="",I$4=""),"",IF(每月预算!$B$29="雪崩法",计算_雪崩!AM249,计算_雪球!AM249))</f>
        <v/>
      </c>
      <c r="J230" s="43" t="str">
        <f aca="false">IF(OR($A230="",J$4=""),"",IF(每月预算!$B$29="雪崩法",计算_雪崩!AR249,计算_雪球!AR249))</f>
        <v/>
      </c>
      <c r="K230" s="43" t="str">
        <f aca="false">IF(OR($A230="",K$4=""),"",IF(每月预算!$B$29="雪崩法",计算_雪崩!AW249,计算_雪球!AW249))</f>
        <v/>
      </c>
      <c r="L230" s="43" t="str">
        <f aca="false">IF(OR($A230="",L$4=""),"",IF(每月预算!$B$29="雪崩法",计算_雪崩!BB249,计算_雪球!BB249))</f>
        <v/>
      </c>
      <c r="M230" s="43" t="str">
        <f aca="false">IF($A230="","",IF(每月预算!$B$29="雪崩法",计算_雪崩!BC249,计算_雪球!BC249))</f>
        <v/>
      </c>
      <c r="N230" s="43" t="str">
        <f aca="false">IF($A230="","",IF(每月预算!$B$29="雪崩法",计算_雪崩!BE249,计算_雪球!BE249))</f>
        <v/>
      </c>
      <c r="O230" s="43" t="str">
        <f aca="false">IF($A230="","",IF(每月预算!$B$29="雪崩法",计算_雪崩!BD249,计算_雪球!BD249))</f>
        <v/>
      </c>
    </row>
    <row r="231" customFormat="false" ht="15" hidden="false" customHeight="false" outlineLevel="0" collapsed="false">
      <c r="A231" s="24" t="str">
        <f aca="false">IF(227&lt;=$R$2,227,"")</f>
        <v/>
      </c>
      <c r="B231" s="42" t="str">
        <f aca="false">IF($A231="","",计算_雪球!B250)</f>
        <v/>
      </c>
      <c r="C231" s="43" t="str">
        <f aca="false">IF(OR($A231="",C$4=""),"",IF(每月预算!$B$29="雪崩法",计算_雪崩!I250,计算_雪球!I250))</f>
        <v/>
      </c>
      <c r="D231" s="43" t="str">
        <f aca="false">IF(OR($A231="",D$4=""),"",IF(每月预算!$B$29="雪崩法",计算_雪崩!N250,计算_雪球!N250))</f>
        <v/>
      </c>
      <c r="E231" s="43" t="str">
        <f aca="false">IF(OR($A231="",E$4=""),"",IF(每月预算!$B$29="雪崩法",计算_雪崩!S250,计算_雪球!S250))</f>
        <v/>
      </c>
      <c r="F231" s="43" t="str">
        <f aca="false">IF(OR($A231="",F$4=""),"",IF(每月预算!$B$29="雪崩法",计算_雪崩!X250,计算_雪球!X250))</f>
        <v/>
      </c>
      <c r="G231" s="43" t="str">
        <f aca="false">IF(OR($A231="",G$4=""),"",IF(每月预算!$B$29="雪崩法",计算_雪崩!AC250,计算_雪球!AC250))</f>
        <v/>
      </c>
      <c r="H231" s="43" t="str">
        <f aca="false">IF(OR($A231="",H$4=""),"",IF(每月预算!$B$29="雪崩法",计算_雪崩!AH250,计算_雪球!AH250))</f>
        <v/>
      </c>
      <c r="I231" s="43" t="str">
        <f aca="false">IF(OR($A231="",I$4=""),"",IF(每月预算!$B$29="雪崩法",计算_雪崩!AM250,计算_雪球!AM250))</f>
        <v/>
      </c>
      <c r="J231" s="43" t="str">
        <f aca="false">IF(OR($A231="",J$4=""),"",IF(每月预算!$B$29="雪崩法",计算_雪崩!AR250,计算_雪球!AR250))</f>
        <v/>
      </c>
      <c r="K231" s="43" t="str">
        <f aca="false">IF(OR($A231="",K$4=""),"",IF(每月预算!$B$29="雪崩法",计算_雪崩!AW250,计算_雪球!AW250))</f>
        <v/>
      </c>
      <c r="L231" s="43" t="str">
        <f aca="false">IF(OR($A231="",L$4=""),"",IF(每月预算!$B$29="雪崩法",计算_雪崩!BB250,计算_雪球!BB250))</f>
        <v/>
      </c>
      <c r="M231" s="43" t="str">
        <f aca="false">IF($A231="","",IF(每月预算!$B$29="雪崩法",计算_雪崩!BC250,计算_雪球!BC250))</f>
        <v/>
      </c>
      <c r="N231" s="43" t="str">
        <f aca="false">IF($A231="","",IF(每月预算!$B$29="雪崩法",计算_雪崩!BE250,计算_雪球!BE250))</f>
        <v/>
      </c>
      <c r="O231" s="43" t="str">
        <f aca="false">IF($A231="","",IF(每月预算!$B$29="雪崩法",计算_雪崩!BD250,计算_雪球!BD250))</f>
        <v/>
      </c>
    </row>
    <row r="232" customFormat="false" ht="15" hidden="false" customHeight="false" outlineLevel="0" collapsed="false">
      <c r="A232" s="24" t="str">
        <f aca="false">IF(228&lt;=$R$2,228,"")</f>
        <v/>
      </c>
      <c r="B232" s="42" t="str">
        <f aca="false">IF($A232="","",计算_雪球!B251)</f>
        <v/>
      </c>
      <c r="C232" s="43" t="str">
        <f aca="false">IF(OR($A232="",C$4=""),"",IF(每月预算!$B$29="雪崩法",计算_雪崩!I251,计算_雪球!I251))</f>
        <v/>
      </c>
      <c r="D232" s="43" t="str">
        <f aca="false">IF(OR($A232="",D$4=""),"",IF(每月预算!$B$29="雪崩法",计算_雪崩!N251,计算_雪球!N251))</f>
        <v/>
      </c>
      <c r="E232" s="43" t="str">
        <f aca="false">IF(OR($A232="",E$4=""),"",IF(每月预算!$B$29="雪崩法",计算_雪崩!S251,计算_雪球!S251))</f>
        <v/>
      </c>
      <c r="F232" s="43" t="str">
        <f aca="false">IF(OR($A232="",F$4=""),"",IF(每月预算!$B$29="雪崩法",计算_雪崩!X251,计算_雪球!X251))</f>
        <v/>
      </c>
      <c r="G232" s="43" t="str">
        <f aca="false">IF(OR($A232="",G$4=""),"",IF(每月预算!$B$29="雪崩法",计算_雪崩!AC251,计算_雪球!AC251))</f>
        <v/>
      </c>
      <c r="H232" s="43" t="str">
        <f aca="false">IF(OR($A232="",H$4=""),"",IF(每月预算!$B$29="雪崩法",计算_雪崩!AH251,计算_雪球!AH251))</f>
        <v/>
      </c>
      <c r="I232" s="43" t="str">
        <f aca="false">IF(OR($A232="",I$4=""),"",IF(每月预算!$B$29="雪崩法",计算_雪崩!AM251,计算_雪球!AM251))</f>
        <v/>
      </c>
      <c r="J232" s="43" t="str">
        <f aca="false">IF(OR($A232="",J$4=""),"",IF(每月预算!$B$29="雪崩法",计算_雪崩!AR251,计算_雪球!AR251))</f>
        <v/>
      </c>
      <c r="K232" s="43" t="str">
        <f aca="false">IF(OR($A232="",K$4=""),"",IF(每月预算!$B$29="雪崩法",计算_雪崩!AW251,计算_雪球!AW251))</f>
        <v/>
      </c>
      <c r="L232" s="43" t="str">
        <f aca="false">IF(OR($A232="",L$4=""),"",IF(每月预算!$B$29="雪崩法",计算_雪崩!BB251,计算_雪球!BB251))</f>
        <v/>
      </c>
      <c r="M232" s="43" t="str">
        <f aca="false">IF($A232="","",IF(每月预算!$B$29="雪崩法",计算_雪崩!BC251,计算_雪球!BC251))</f>
        <v/>
      </c>
      <c r="N232" s="43" t="str">
        <f aca="false">IF($A232="","",IF(每月预算!$B$29="雪崩法",计算_雪崩!BE251,计算_雪球!BE251))</f>
        <v/>
      </c>
      <c r="O232" s="43" t="str">
        <f aca="false">IF($A232="","",IF(每月预算!$B$29="雪崩法",计算_雪崩!BD251,计算_雪球!BD251))</f>
        <v/>
      </c>
    </row>
    <row r="233" customFormat="false" ht="15" hidden="false" customHeight="false" outlineLevel="0" collapsed="false">
      <c r="A233" s="24" t="str">
        <f aca="false">IF(229&lt;=$R$2,229,"")</f>
        <v/>
      </c>
      <c r="B233" s="42" t="str">
        <f aca="false">IF($A233="","",计算_雪球!B252)</f>
        <v/>
      </c>
      <c r="C233" s="43" t="str">
        <f aca="false">IF(OR($A233="",C$4=""),"",IF(每月预算!$B$29="雪崩法",计算_雪崩!I252,计算_雪球!I252))</f>
        <v/>
      </c>
      <c r="D233" s="43" t="str">
        <f aca="false">IF(OR($A233="",D$4=""),"",IF(每月预算!$B$29="雪崩法",计算_雪崩!N252,计算_雪球!N252))</f>
        <v/>
      </c>
      <c r="E233" s="43" t="str">
        <f aca="false">IF(OR($A233="",E$4=""),"",IF(每月预算!$B$29="雪崩法",计算_雪崩!S252,计算_雪球!S252))</f>
        <v/>
      </c>
      <c r="F233" s="43" t="str">
        <f aca="false">IF(OR($A233="",F$4=""),"",IF(每月预算!$B$29="雪崩法",计算_雪崩!X252,计算_雪球!X252))</f>
        <v/>
      </c>
      <c r="G233" s="43" t="str">
        <f aca="false">IF(OR($A233="",G$4=""),"",IF(每月预算!$B$29="雪崩法",计算_雪崩!AC252,计算_雪球!AC252))</f>
        <v/>
      </c>
      <c r="H233" s="43" t="str">
        <f aca="false">IF(OR($A233="",H$4=""),"",IF(每月预算!$B$29="雪崩法",计算_雪崩!AH252,计算_雪球!AH252))</f>
        <v/>
      </c>
      <c r="I233" s="43" t="str">
        <f aca="false">IF(OR($A233="",I$4=""),"",IF(每月预算!$B$29="雪崩法",计算_雪崩!AM252,计算_雪球!AM252))</f>
        <v/>
      </c>
      <c r="J233" s="43" t="str">
        <f aca="false">IF(OR($A233="",J$4=""),"",IF(每月预算!$B$29="雪崩法",计算_雪崩!AR252,计算_雪球!AR252))</f>
        <v/>
      </c>
      <c r="K233" s="43" t="str">
        <f aca="false">IF(OR($A233="",K$4=""),"",IF(每月预算!$B$29="雪崩法",计算_雪崩!AW252,计算_雪球!AW252))</f>
        <v/>
      </c>
      <c r="L233" s="43" t="str">
        <f aca="false">IF(OR($A233="",L$4=""),"",IF(每月预算!$B$29="雪崩法",计算_雪崩!BB252,计算_雪球!BB252))</f>
        <v/>
      </c>
      <c r="M233" s="43" t="str">
        <f aca="false">IF($A233="","",IF(每月预算!$B$29="雪崩法",计算_雪崩!BC252,计算_雪球!BC252))</f>
        <v/>
      </c>
      <c r="N233" s="43" t="str">
        <f aca="false">IF($A233="","",IF(每月预算!$B$29="雪崩法",计算_雪崩!BE252,计算_雪球!BE252))</f>
        <v/>
      </c>
      <c r="O233" s="43" t="str">
        <f aca="false">IF($A233="","",IF(每月预算!$B$29="雪崩法",计算_雪崩!BD252,计算_雪球!BD252))</f>
        <v/>
      </c>
    </row>
    <row r="234" customFormat="false" ht="15" hidden="false" customHeight="false" outlineLevel="0" collapsed="false">
      <c r="A234" s="24" t="str">
        <f aca="false">IF(230&lt;=$R$2,230,"")</f>
        <v/>
      </c>
      <c r="B234" s="42" t="str">
        <f aca="false">IF($A234="","",计算_雪球!B253)</f>
        <v/>
      </c>
      <c r="C234" s="43" t="str">
        <f aca="false">IF(OR($A234="",C$4=""),"",IF(每月预算!$B$29="雪崩法",计算_雪崩!I253,计算_雪球!I253))</f>
        <v/>
      </c>
      <c r="D234" s="43" t="str">
        <f aca="false">IF(OR($A234="",D$4=""),"",IF(每月预算!$B$29="雪崩法",计算_雪崩!N253,计算_雪球!N253))</f>
        <v/>
      </c>
      <c r="E234" s="43" t="str">
        <f aca="false">IF(OR($A234="",E$4=""),"",IF(每月预算!$B$29="雪崩法",计算_雪崩!S253,计算_雪球!S253))</f>
        <v/>
      </c>
      <c r="F234" s="43" t="str">
        <f aca="false">IF(OR($A234="",F$4=""),"",IF(每月预算!$B$29="雪崩法",计算_雪崩!X253,计算_雪球!X253))</f>
        <v/>
      </c>
      <c r="G234" s="43" t="str">
        <f aca="false">IF(OR($A234="",G$4=""),"",IF(每月预算!$B$29="雪崩法",计算_雪崩!AC253,计算_雪球!AC253))</f>
        <v/>
      </c>
      <c r="H234" s="43" t="str">
        <f aca="false">IF(OR($A234="",H$4=""),"",IF(每月预算!$B$29="雪崩法",计算_雪崩!AH253,计算_雪球!AH253))</f>
        <v/>
      </c>
      <c r="I234" s="43" t="str">
        <f aca="false">IF(OR($A234="",I$4=""),"",IF(每月预算!$B$29="雪崩法",计算_雪崩!AM253,计算_雪球!AM253))</f>
        <v/>
      </c>
      <c r="J234" s="43" t="str">
        <f aca="false">IF(OR($A234="",J$4=""),"",IF(每月预算!$B$29="雪崩法",计算_雪崩!AR253,计算_雪球!AR253))</f>
        <v/>
      </c>
      <c r="K234" s="43" t="str">
        <f aca="false">IF(OR($A234="",K$4=""),"",IF(每月预算!$B$29="雪崩法",计算_雪崩!AW253,计算_雪球!AW253))</f>
        <v/>
      </c>
      <c r="L234" s="43" t="str">
        <f aca="false">IF(OR($A234="",L$4=""),"",IF(每月预算!$B$29="雪崩法",计算_雪崩!BB253,计算_雪球!BB253))</f>
        <v/>
      </c>
      <c r="M234" s="43" t="str">
        <f aca="false">IF($A234="","",IF(每月预算!$B$29="雪崩法",计算_雪崩!BC253,计算_雪球!BC253))</f>
        <v/>
      </c>
      <c r="N234" s="43" t="str">
        <f aca="false">IF($A234="","",IF(每月预算!$B$29="雪崩法",计算_雪崩!BE253,计算_雪球!BE253))</f>
        <v/>
      </c>
      <c r="O234" s="43" t="str">
        <f aca="false">IF($A234="","",IF(每月预算!$B$29="雪崩法",计算_雪崩!BD253,计算_雪球!BD253))</f>
        <v/>
      </c>
    </row>
    <row r="235" customFormat="false" ht="15" hidden="false" customHeight="false" outlineLevel="0" collapsed="false">
      <c r="A235" s="24" t="str">
        <f aca="false">IF(231&lt;=$R$2,231,"")</f>
        <v/>
      </c>
      <c r="B235" s="42" t="str">
        <f aca="false">IF($A235="","",计算_雪球!B254)</f>
        <v/>
      </c>
      <c r="C235" s="43" t="str">
        <f aca="false">IF(OR($A235="",C$4=""),"",IF(每月预算!$B$29="雪崩法",计算_雪崩!I254,计算_雪球!I254))</f>
        <v/>
      </c>
      <c r="D235" s="43" t="str">
        <f aca="false">IF(OR($A235="",D$4=""),"",IF(每月预算!$B$29="雪崩法",计算_雪崩!N254,计算_雪球!N254))</f>
        <v/>
      </c>
      <c r="E235" s="43" t="str">
        <f aca="false">IF(OR($A235="",E$4=""),"",IF(每月预算!$B$29="雪崩法",计算_雪崩!S254,计算_雪球!S254))</f>
        <v/>
      </c>
      <c r="F235" s="43" t="str">
        <f aca="false">IF(OR($A235="",F$4=""),"",IF(每月预算!$B$29="雪崩法",计算_雪崩!X254,计算_雪球!X254))</f>
        <v/>
      </c>
      <c r="G235" s="43" t="str">
        <f aca="false">IF(OR($A235="",G$4=""),"",IF(每月预算!$B$29="雪崩法",计算_雪崩!AC254,计算_雪球!AC254))</f>
        <v/>
      </c>
      <c r="H235" s="43" t="str">
        <f aca="false">IF(OR($A235="",H$4=""),"",IF(每月预算!$B$29="雪崩法",计算_雪崩!AH254,计算_雪球!AH254))</f>
        <v/>
      </c>
      <c r="I235" s="43" t="str">
        <f aca="false">IF(OR($A235="",I$4=""),"",IF(每月预算!$B$29="雪崩法",计算_雪崩!AM254,计算_雪球!AM254))</f>
        <v/>
      </c>
      <c r="J235" s="43" t="str">
        <f aca="false">IF(OR($A235="",J$4=""),"",IF(每月预算!$B$29="雪崩法",计算_雪崩!AR254,计算_雪球!AR254))</f>
        <v/>
      </c>
      <c r="K235" s="43" t="str">
        <f aca="false">IF(OR($A235="",K$4=""),"",IF(每月预算!$B$29="雪崩法",计算_雪崩!AW254,计算_雪球!AW254))</f>
        <v/>
      </c>
      <c r="L235" s="43" t="str">
        <f aca="false">IF(OR($A235="",L$4=""),"",IF(每月预算!$B$29="雪崩法",计算_雪崩!BB254,计算_雪球!BB254))</f>
        <v/>
      </c>
      <c r="M235" s="43" t="str">
        <f aca="false">IF($A235="","",IF(每月预算!$B$29="雪崩法",计算_雪崩!BC254,计算_雪球!BC254))</f>
        <v/>
      </c>
      <c r="N235" s="43" t="str">
        <f aca="false">IF($A235="","",IF(每月预算!$B$29="雪崩法",计算_雪崩!BE254,计算_雪球!BE254))</f>
        <v/>
      </c>
      <c r="O235" s="43" t="str">
        <f aca="false">IF($A235="","",IF(每月预算!$B$29="雪崩法",计算_雪崩!BD254,计算_雪球!BD254))</f>
        <v/>
      </c>
    </row>
    <row r="236" customFormat="false" ht="15" hidden="false" customHeight="false" outlineLevel="0" collapsed="false">
      <c r="A236" s="24" t="str">
        <f aca="false">IF(232&lt;=$R$2,232,"")</f>
        <v/>
      </c>
      <c r="B236" s="42" t="str">
        <f aca="false">IF($A236="","",计算_雪球!B255)</f>
        <v/>
      </c>
      <c r="C236" s="43" t="str">
        <f aca="false">IF(OR($A236="",C$4=""),"",IF(每月预算!$B$29="雪崩法",计算_雪崩!I255,计算_雪球!I255))</f>
        <v/>
      </c>
      <c r="D236" s="43" t="str">
        <f aca="false">IF(OR($A236="",D$4=""),"",IF(每月预算!$B$29="雪崩法",计算_雪崩!N255,计算_雪球!N255))</f>
        <v/>
      </c>
      <c r="E236" s="43" t="str">
        <f aca="false">IF(OR($A236="",E$4=""),"",IF(每月预算!$B$29="雪崩法",计算_雪崩!S255,计算_雪球!S255))</f>
        <v/>
      </c>
      <c r="F236" s="43" t="str">
        <f aca="false">IF(OR($A236="",F$4=""),"",IF(每月预算!$B$29="雪崩法",计算_雪崩!X255,计算_雪球!X255))</f>
        <v/>
      </c>
      <c r="G236" s="43" t="str">
        <f aca="false">IF(OR($A236="",G$4=""),"",IF(每月预算!$B$29="雪崩法",计算_雪崩!AC255,计算_雪球!AC255))</f>
        <v/>
      </c>
      <c r="H236" s="43" t="str">
        <f aca="false">IF(OR($A236="",H$4=""),"",IF(每月预算!$B$29="雪崩法",计算_雪崩!AH255,计算_雪球!AH255))</f>
        <v/>
      </c>
      <c r="I236" s="43" t="str">
        <f aca="false">IF(OR($A236="",I$4=""),"",IF(每月预算!$B$29="雪崩法",计算_雪崩!AM255,计算_雪球!AM255))</f>
        <v/>
      </c>
      <c r="J236" s="43" t="str">
        <f aca="false">IF(OR($A236="",J$4=""),"",IF(每月预算!$B$29="雪崩法",计算_雪崩!AR255,计算_雪球!AR255))</f>
        <v/>
      </c>
      <c r="K236" s="43" t="str">
        <f aca="false">IF(OR($A236="",K$4=""),"",IF(每月预算!$B$29="雪崩法",计算_雪崩!AW255,计算_雪球!AW255))</f>
        <v/>
      </c>
      <c r="L236" s="43" t="str">
        <f aca="false">IF(OR($A236="",L$4=""),"",IF(每月预算!$B$29="雪崩法",计算_雪崩!BB255,计算_雪球!BB255))</f>
        <v/>
      </c>
      <c r="M236" s="43" t="str">
        <f aca="false">IF($A236="","",IF(每月预算!$B$29="雪崩法",计算_雪崩!BC255,计算_雪球!BC255))</f>
        <v/>
      </c>
      <c r="N236" s="43" t="str">
        <f aca="false">IF($A236="","",IF(每月预算!$B$29="雪崩法",计算_雪崩!BE255,计算_雪球!BE255))</f>
        <v/>
      </c>
      <c r="O236" s="43" t="str">
        <f aca="false">IF($A236="","",IF(每月预算!$B$29="雪崩法",计算_雪崩!BD255,计算_雪球!BD255))</f>
        <v/>
      </c>
    </row>
    <row r="237" customFormat="false" ht="15" hidden="false" customHeight="false" outlineLevel="0" collapsed="false">
      <c r="A237" s="24" t="str">
        <f aca="false">IF(233&lt;=$R$2,233,"")</f>
        <v/>
      </c>
      <c r="B237" s="42" t="str">
        <f aca="false">IF($A237="","",计算_雪球!B256)</f>
        <v/>
      </c>
      <c r="C237" s="43" t="str">
        <f aca="false">IF(OR($A237="",C$4=""),"",IF(每月预算!$B$29="雪崩法",计算_雪崩!I256,计算_雪球!I256))</f>
        <v/>
      </c>
      <c r="D237" s="43" t="str">
        <f aca="false">IF(OR($A237="",D$4=""),"",IF(每月预算!$B$29="雪崩法",计算_雪崩!N256,计算_雪球!N256))</f>
        <v/>
      </c>
      <c r="E237" s="43" t="str">
        <f aca="false">IF(OR($A237="",E$4=""),"",IF(每月预算!$B$29="雪崩法",计算_雪崩!S256,计算_雪球!S256))</f>
        <v/>
      </c>
      <c r="F237" s="43" t="str">
        <f aca="false">IF(OR($A237="",F$4=""),"",IF(每月预算!$B$29="雪崩法",计算_雪崩!X256,计算_雪球!X256))</f>
        <v/>
      </c>
      <c r="G237" s="43" t="str">
        <f aca="false">IF(OR($A237="",G$4=""),"",IF(每月预算!$B$29="雪崩法",计算_雪崩!AC256,计算_雪球!AC256))</f>
        <v/>
      </c>
      <c r="H237" s="43" t="str">
        <f aca="false">IF(OR($A237="",H$4=""),"",IF(每月预算!$B$29="雪崩法",计算_雪崩!AH256,计算_雪球!AH256))</f>
        <v/>
      </c>
      <c r="I237" s="43" t="str">
        <f aca="false">IF(OR($A237="",I$4=""),"",IF(每月预算!$B$29="雪崩法",计算_雪崩!AM256,计算_雪球!AM256))</f>
        <v/>
      </c>
      <c r="J237" s="43" t="str">
        <f aca="false">IF(OR($A237="",J$4=""),"",IF(每月预算!$B$29="雪崩法",计算_雪崩!AR256,计算_雪球!AR256))</f>
        <v/>
      </c>
      <c r="K237" s="43" t="str">
        <f aca="false">IF(OR($A237="",K$4=""),"",IF(每月预算!$B$29="雪崩法",计算_雪崩!AW256,计算_雪球!AW256))</f>
        <v/>
      </c>
      <c r="L237" s="43" t="str">
        <f aca="false">IF(OR($A237="",L$4=""),"",IF(每月预算!$B$29="雪崩法",计算_雪崩!BB256,计算_雪球!BB256))</f>
        <v/>
      </c>
      <c r="M237" s="43" t="str">
        <f aca="false">IF($A237="","",IF(每月预算!$B$29="雪崩法",计算_雪崩!BC256,计算_雪球!BC256))</f>
        <v/>
      </c>
      <c r="N237" s="43" t="str">
        <f aca="false">IF($A237="","",IF(每月预算!$B$29="雪崩法",计算_雪崩!BE256,计算_雪球!BE256))</f>
        <v/>
      </c>
      <c r="O237" s="43" t="str">
        <f aca="false">IF($A237="","",IF(每月预算!$B$29="雪崩法",计算_雪崩!BD256,计算_雪球!BD256))</f>
        <v/>
      </c>
    </row>
    <row r="238" customFormat="false" ht="15" hidden="false" customHeight="false" outlineLevel="0" collapsed="false">
      <c r="A238" s="24" t="str">
        <f aca="false">IF(234&lt;=$R$2,234,"")</f>
        <v/>
      </c>
      <c r="B238" s="42" t="str">
        <f aca="false">IF($A238="","",计算_雪球!B257)</f>
        <v/>
      </c>
      <c r="C238" s="43" t="str">
        <f aca="false">IF(OR($A238="",C$4=""),"",IF(每月预算!$B$29="雪崩法",计算_雪崩!I257,计算_雪球!I257))</f>
        <v/>
      </c>
      <c r="D238" s="43" t="str">
        <f aca="false">IF(OR($A238="",D$4=""),"",IF(每月预算!$B$29="雪崩法",计算_雪崩!N257,计算_雪球!N257))</f>
        <v/>
      </c>
      <c r="E238" s="43" t="str">
        <f aca="false">IF(OR($A238="",E$4=""),"",IF(每月预算!$B$29="雪崩法",计算_雪崩!S257,计算_雪球!S257))</f>
        <v/>
      </c>
      <c r="F238" s="43" t="str">
        <f aca="false">IF(OR($A238="",F$4=""),"",IF(每月预算!$B$29="雪崩法",计算_雪崩!X257,计算_雪球!X257))</f>
        <v/>
      </c>
      <c r="G238" s="43" t="str">
        <f aca="false">IF(OR($A238="",G$4=""),"",IF(每月预算!$B$29="雪崩法",计算_雪崩!AC257,计算_雪球!AC257))</f>
        <v/>
      </c>
      <c r="H238" s="43" t="str">
        <f aca="false">IF(OR($A238="",H$4=""),"",IF(每月预算!$B$29="雪崩法",计算_雪崩!AH257,计算_雪球!AH257))</f>
        <v/>
      </c>
      <c r="I238" s="43" t="str">
        <f aca="false">IF(OR($A238="",I$4=""),"",IF(每月预算!$B$29="雪崩法",计算_雪崩!AM257,计算_雪球!AM257))</f>
        <v/>
      </c>
      <c r="J238" s="43" t="str">
        <f aca="false">IF(OR($A238="",J$4=""),"",IF(每月预算!$B$29="雪崩法",计算_雪崩!AR257,计算_雪球!AR257))</f>
        <v/>
      </c>
      <c r="K238" s="43" t="str">
        <f aca="false">IF(OR($A238="",K$4=""),"",IF(每月预算!$B$29="雪崩法",计算_雪崩!AW257,计算_雪球!AW257))</f>
        <v/>
      </c>
      <c r="L238" s="43" t="str">
        <f aca="false">IF(OR($A238="",L$4=""),"",IF(每月预算!$B$29="雪崩法",计算_雪崩!BB257,计算_雪球!BB257))</f>
        <v/>
      </c>
      <c r="M238" s="43" t="str">
        <f aca="false">IF($A238="","",IF(每月预算!$B$29="雪崩法",计算_雪崩!BC257,计算_雪球!BC257))</f>
        <v/>
      </c>
      <c r="N238" s="43" t="str">
        <f aca="false">IF($A238="","",IF(每月预算!$B$29="雪崩法",计算_雪崩!BE257,计算_雪球!BE257))</f>
        <v/>
      </c>
      <c r="O238" s="43" t="str">
        <f aca="false">IF($A238="","",IF(每月预算!$B$29="雪崩法",计算_雪崩!BD257,计算_雪球!BD257))</f>
        <v/>
      </c>
    </row>
    <row r="239" customFormat="false" ht="15" hidden="false" customHeight="false" outlineLevel="0" collapsed="false">
      <c r="A239" s="24" t="str">
        <f aca="false">IF(235&lt;=$R$2,235,"")</f>
        <v/>
      </c>
      <c r="B239" s="42" t="str">
        <f aca="false">IF($A239="","",计算_雪球!B258)</f>
        <v/>
      </c>
      <c r="C239" s="43" t="str">
        <f aca="false">IF(OR($A239="",C$4=""),"",IF(每月预算!$B$29="雪崩法",计算_雪崩!I258,计算_雪球!I258))</f>
        <v/>
      </c>
      <c r="D239" s="43" t="str">
        <f aca="false">IF(OR($A239="",D$4=""),"",IF(每月预算!$B$29="雪崩法",计算_雪崩!N258,计算_雪球!N258))</f>
        <v/>
      </c>
      <c r="E239" s="43" t="str">
        <f aca="false">IF(OR($A239="",E$4=""),"",IF(每月预算!$B$29="雪崩法",计算_雪崩!S258,计算_雪球!S258))</f>
        <v/>
      </c>
      <c r="F239" s="43" t="str">
        <f aca="false">IF(OR($A239="",F$4=""),"",IF(每月预算!$B$29="雪崩法",计算_雪崩!X258,计算_雪球!X258))</f>
        <v/>
      </c>
      <c r="G239" s="43" t="str">
        <f aca="false">IF(OR($A239="",G$4=""),"",IF(每月预算!$B$29="雪崩法",计算_雪崩!AC258,计算_雪球!AC258))</f>
        <v/>
      </c>
      <c r="H239" s="43" t="str">
        <f aca="false">IF(OR($A239="",H$4=""),"",IF(每月预算!$B$29="雪崩法",计算_雪崩!AH258,计算_雪球!AH258))</f>
        <v/>
      </c>
      <c r="I239" s="43" t="str">
        <f aca="false">IF(OR($A239="",I$4=""),"",IF(每月预算!$B$29="雪崩法",计算_雪崩!AM258,计算_雪球!AM258))</f>
        <v/>
      </c>
      <c r="J239" s="43" t="str">
        <f aca="false">IF(OR($A239="",J$4=""),"",IF(每月预算!$B$29="雪崩法",计算_雪崩!AR258,计算_雪球!AR258))</f>
        <v/>
      </c>
      <c r="K239" s="43" t="str">
        <f aca="false">IF(OR($A239="",K$4=""),"",IF(每月预算!$B$29="雪崩法",计算_雪崩!AW258,计算_雪球!AW258))</f>
        <v/>
      </c>
      <c r="L239" s="43" t="str">
        <f aca="false">IF(OR($A239="",L$4=""),"",IF(每月预算!$B$29="雪崩法",计算_雪崩!BB258,计算_雪球!BB258))</f>
        <v/>
      </c>
      <c r="M239" s="43" t="str">
        <f aca="false">IF($A239="","",IF(每月预算!$B$29="雪崩法",计算_雪崩!BC258,计算_雪球!BC258))</f>
        <v/>
      </c>
      <c r="N239" s="43" t="str">
        <f aca="false">IF($A239="","",IF(每月预算!$B$29="雪崩法",计算_雪崩!BE258,计算_雪球!BE258))</f>
        <v/>
      </c>
      <c r="O239" s="43" t="str">
        <f aca="false">IF($A239="","",IF(每月预算!$B$29="雪崩法",计算_雪崩!BD258,计算_雪球!BD258))</f>
        <v/>
      </c>
    </row>
    <row r="240" customFormat="false" ht="15" hidden="false" customHeight="false" outlineLevel="0" collapsed="false">
      <c r="A240" s="24" t="str">
        <f aca="false">IF(236&lt;=$R$2,236,"")</f>
        <v/>
      </c>
      <c r="B240" s="42" t="str">
        <f aca="false">IF($A240="","",计算_雪球!B259)</f>
        <v/>
      </c>
      <c r="C240" s="43" t="str">
        <f aca="false">IF(OR($A240="",C$4=""),"",IF(每月预算!$B$29="雪崩法",计算_雪崩!I259,计算_雪球!I259))</f>
        <v/>
      </c>
      <c r="D240" s="43" t="str">
        <f aca="false">IF(OR($A240="",D$4=""),"",IF(每月预算!$B$29="雪崩法",计算_雪崩!N259,计算_雪球!N259))</f>
        <v/>
      </c>
      <c r="E240" s="43" t="str">
        <f aca="false">IF(OR($A240="",E$4=""),"",IF(每月预算!$B$29="雪崩法",计算_雪崩!S259,计算_雪球!S259))</f>
        <v/>
      </c>
      <c r="F240" s="43" t="str">
        <f aca="false">IF(OR($A240="",F$4=""),"",IF(每月预算!$B$29="雪崩法",计算_雪崩!X259,计算_雪球!X259))</f>
        <v/>
      </c>
      <c r="G240" s="43" t="str">
        <f aca="false">IF(OR($A240="",G$4=""),"",IF(每月预算!$B$29="雪崩法",计算_雪崩!AC259,计算_雪球!AC259))</f>
        <v/>
      </c>
      <c r="H240" s="43" t="str">
        <f aca="false">IF(OR($A240="",H$4=""),"",IF(每月预算!$B$29="雪崩法",计算_雪崩!AH259,计算_雪球!AH259))</f>
        <v/>
      </c>
      <c r="I240" s="43" t="str">
        <f aca="false">IF(OR($A240="",I$4=""),"",IF(每月预算!$B$29="雪崩法",计算_雪崩!AM259,计算_雪球!AM259))</f>
        <v/>
      </c>
      <c r="J240" s="43" t="str">
        <f aca="false">IF(OR($A240="",J$4=""),"",IF(每月预算!$B$29="雪崩法",计算_雪崩!AR259,计算_雪球!AR259))</f>
        <v/>
      </c>
      <c r="K240" s="43" t="str">
        <f aca="false">IF(OR($A240="",K$4=""),"",IF(每月预算!$B$29="雪崩法",计算_雪崩!AW259,计算_雪球!AW259))</f>
        <v/>
      </c>
      <c r="L240" s="43" t="str">
        <f aca="false">IF(OR($A240="",L$4=""),"",IF(每月预算!$B$29="雪崩法",计算_雪崩!BB259,计算_雪球!BB259))</f>
        <v/>
      </c>
      <c r="M240" s="43" t="str">
        <f aca="false">IF($A240="","",IF(每月预算!$B$29="雪崩法",计算_雪崩!BC259,计算_雪球!BC259))</f>
        <v/>
      </c>
      <c r="N240" s="43" t="str">
        <f aca="false">IF($A240="","",IF(每月预算!$B$29="雪崩法",计算_雪崩!BE259,计算_雪球!BE259))</f>
        <v/>
      </c>
      <c r="O240" s="43" t="str">
        <f aca="false">IF($A240="","",IF(每月预算!$B$29="雪崩法",计算_雪崩!BD259,计算_雪球!BD259))</f>
        <v/>
      </c>
    </row>
    <row r="241" customFormat="false" ht="15" hidden="false" customHeight="false" outlineLevel="0" collapsed="false">
      <c r="A241" s="24" t="str">
        <f aca="false">IF(237&lt;=$R$2,237,"")</f>
        <v/>
      </c>
      <c r="B241" s="42" t="str">
        <f aca="false">IF($A241="","",计算_雪球!B260)</f>
        <v/>
      </c>
      <c r="C241" s="43" t="str">
        <f aca="false">IF(OR($A241="",C$4=""),"",IF(每月预算!$B$29="雪崩法",计算_雪崩!I260,计算_雪球!I260))</f>
        <v/>
      </c>
      <c r="D241" s="43" t="str">
        <f aca="false">IF(OR($A241="",D$4=""),"",IF(每月预算!$B$29="雪崩法",计算_雪崩!N260,计算_雪球!N260))</f>
        <v/>
      </c>
      <c r="E241" s="43" t="str">
        <f aca="false">IF(OR($A241="",E$4=""),"",IF(每月预算!$B$29="雪崩法",计算_雪崩!S260,计算_雪球!S260))</f>
        <v/>
      </c>
      <c r="F241" s="43" t="str">
        <f aca="false">IF(OR($A241="",F$4=""),"",IF(每月预算!$B$29="雪崩法",计算_雪崩!X260,计算_雪球!X260))</f>
        <v/>
      </c>
      <c r="G241" s="43" t="str">
        <f aca="false">IF(OR($A241="",G$4=""),"",IF(每月预算!$B$29="雪崩法",计算_雪崩!AC260,计算_雪球!AC260))</f>
        <v/>
      </c>
      <c r="H241" s="43" t="str">
        <f aca="false">IF(OR($A241="",H$4=""),"",IF(每月预算!$B$29="雪崩法",计算_雪崩!AH260,计算_雪球!AH260))</f>
        <v/>
      </c>
      <c r="I241" s="43" t="str">
        <f aca="false">IF(OR($A241="",I$4=""),"",IF(每月预算!$B$29="雪崩法",计算_雪崩!AM260,计算_雪球!AM260))</f>
        <v/>
      </c>
      <c r="J241" s="43" t="str">
        <f aca="false">IF(OR($A241="",J$4=""),"",IF(每月预算!$B$29="雪崩法",计算_雪崩!AR260,计算_雪球!AR260))</f>
        <v/>
      </c>
      <c r="K241" s="43" t="str">
        <f aca="false">IF(OR($A241="",K$4=""),"",IF(每月预算!$B$29="雪崩法",计算_雪崩!AW260,计算_雪球!AW260))</f>
        <v/>
      </c>
      <c r="L241" s="43" t="str">
        <f aca="false">IF(OR($A241="",L$4=""),"",IF(每月预算!$B$29="雪崩法",计算_雪崩!BB260,计算_雪球!BB260))</f>
        <v/>
      </c>
      <c r="M241" s="43" t="str">
        <f aca="false">IF($A241="","",IF(每月预算!$B$29="雪崩法",计算_雪崩!BC260,计算_雪球!BC260))</f>
        <v/>
      </c>
      <c r="N241" s="43" t="str">
        <f aca="false">IF($A241="","",IF(每月预算!$B$29="雪崩法",计算_雪崩!BE260,计算_雪球!BE260))</f>
        <v/>
      </c>
      <c r="O241" s="43" t="str">
        <f aca="false">IF($A241="","",IF(每月预算!$B$29="雪崩法",计算_雪崩!BD260,计算_雪球!BD260))</f>
        <v/>
      </c>
    </row>
    <row r="242" customFormat="false" ht="15" hidden="false" customHeight="false" outlineLevel="0" collapsed="false">
      <c r="A242" s="24" t="str">
        <f aca="false">IF(238&lt;=$R$2,238,"")</f>
        <v/>
      </c>
      <c r="B242" s="42" t="str">
        <f aca="false">IF($A242="","",计算_雪球!B261)</f>
        <v/>
      </c>
      <c r="C242" s="43" t="str">
        <f aca="false">IF(OR($A242="",C$4=""),"",IF(每月预算!$B$29="雪崩法",计算_雪崩!I261,计算_雪球!I261))</f>
        <v/>
      </c>
      <c r="D242" s="43" t="str">
        <f aca="false">IF(OR($A242="",D$4=""),"",IF(每月预算!$B$29="雪崩法",计算_雪崩!N261,计算_雪球!N261))</f>
        <v/>
      </c>
      <c r="E242" s="43" t="str">
        <f aca="false">IF(OR($A242="",E$4=""),"",IF(每月预算!$B$29="雪崩法",计算_雪崩!S261,计算_雪球!S261))</f>
        <v/>
      </c>
      <c r="F242" s="43" t="str">
        <f aca="false">IF(OR($A242="",F$4=""),"",IF(每月预算!$B$29="雪崩法",计算_雪崩!X261,计算_雪球!X261))</f>
        <v/>
      </c>
      <c r="G242" s="43" t="str">
        <f aca="false">IF(OR($A242="",G$4=""),"",IF(每月预算!$B$29="雪崩法",计算_雪崩!AC261,计算_雪球!AC261))</f>
        <v/>
      </c>
      <c r="H242" s="43" t="str">
        <f aca="false">IF(OR($A242="",H$4=""),"",IF(每月预算!$B$29="雪崩法",计算_雪崩!AH261,计算_雪球!AH261))</f>
        <v/>
      </c>
      <c r="I242" s="43" t="str">
        <f aca="false">IF(OR($A242="",I$4=""),"",IF(每月预算!$B$29="雪崩法",计算_雪崩!AM261,计算_雪球!AM261))</f>
        <v/>
      </c>
      <c r="J242" s="43" t="str">
        <f aca="false">IF(OR($A242="",J$4=""),"",IF(每月预算!$B$29="雪崩法",计算_雪崩!AR261,计算_雪球!AR261))</f>
        <v/>
      </c>
      <c r="K242" s="43" t="str">
        <f aca="false">IF(OR($A242="",K$4=""),"",IF(每月预算!$B$29="雪崩法",计算_雪崩!AW261,计算_雪球!AW261))</f>
        <v/>
      </c>
      <c r="L242" s="43" t="str">
        <f aca="false">IF(OR($A242="",L$4=""),"",IF(每月预算!$B$29="雪崩法",计算_雪崩!BB261,计算_雪球!BB261))</f>
        <v/>
      </c>
      <c r="M242" s="43" t="str">
        <f aca="false">IF($A242="","",IF(每月预算!$B$29="雪崩法",计算_雪崩!BC261,计算_雪球!BC261))</f>
        <v/>
      </c>
      <c r="N242" s="43" t="str">
        <f aca="false">IF($A242="","",IF(每月预算!$B$29="雪崩法",计算_雪崩!BE261,计算_雪球!BE261))</f>
        <v/>
      </c>
      <c r="O242" s="43" t="str">
        <f aca="false">IF($A242="","",IF(每月预算!$B$29="雪崩法",计算_雪崩!BD261,计算_雪球!BD261))</f>
        <v/>
      </c>
    </row>
    <row r="243" customFormat="false" ht="15" hidden="false" customHeight="false" outlineLevel="0" collapsed="false">
      <c r="A243" s="24" t="str">
        <f aca="false">IF(239&lt;=$R$2,239,"")</f>
        <v/>
      </c>
      <c r="B243" s="42" t="str">
        <f aca="false">IF($A243="","",计算_雪球!B262)</f>
        <v/>
      </c>
      <c r="C243" s="43" t="str">
        <f aca="false">IF(OR($A243="",C$4=""),"",IF(每月预算!$B$29="雪崩法",计算_雪崩!I262,计算_雪球!I262))</f>
        <v/>
      </c>
      <c r="D243" s="43" t="str">
        <f aca="false">IF(OR($A243="",D$4=""),"",IF(每月预算!$B$29="雪崩法",计算_雪崩!N262,计算_雪球!N262))</f>
        <v/>
      </c>
      <c r="E243" s="43" t="str">
        <f aca="false">IF(OR($A243="",E$4=""),"",IF(每月预算!$B$29="雪崩法",计算_雪崩!S262,计算_雪球!S262))</f>
        <v/>
      </c>
      <c r="F243" s="43" t="str">
        <f aca="false">IF(OR($A243="",F$4=""),"",IF(每月预算!$B$29="雪崩法",计算_雪崩!X262,计算_雪球!X262))</f>
        <v/>
      </c>
      <c r="G243" s="43" t="str">
        <f aca="false">IF(OR($A243="",G$4=""),"",IF(每月预算!$B$29="雪崩法",计算_雪崩!AC262,计算_雪球!AC262))</f>
        <v/>
      </c>
      <c r="H243" s="43" t="str">
        <f aca="false">IF(OR($A243="",H$4=""),"",IF(每月预算!$B$29="雪崩法",计算_雪崩!AH262,计算_雪球!AH262))</f>
        <v/>
      </c>
      <c r="I243" s="43" t="str">
        <f aca="false">IF(OR($A243="",I$4=""),"",IF(每月预算!$B$29="雪崩法",计算_雪崩!AM262,计算_雪球!AM262))</f>
        <v/>
      </c>
      <c r="J243" s="43" t="str">
        <f aca="false">IF(OR($A243="",J$4=""),"",IF(每月预算!$B$29="雪崩法",计算_雪崩!AR262,计算_雪球!AR262))</f>
        <v/>
      </c>
      <c r="K243" s="43" t="str">
        <f aca="false">IF(OR($A243="",K$4=""),"",IF(每月预算!$B$29="雪崩法",计算_雪崩!AW262,计算_雪球!AW262))</f>
        <v/>
      </c>
      <c r="L243" s="43" t="str">
        <f aca="false">IF(OR($A243="",L$4=""),"",IF(每月预算!$B$29="雪崩法",计算_雪崩!BB262,计算_雪球!BB262))</f>
        <v/>
      </c>
      <c r="M243" s="43" t="str">
        <f aca="false">IF($A243="","",IF(每月预算!$B$29="雪崩法",计算_雪崩!BC262,计算_雪球!BC262))</f>
        <v/>
      </c>
      <c r="N243" s="43" t="str">
        <f aca="false">IF($A243="","",IF(每月预算!$B$29="雪崩法",计算_雪崩!BE262,计算_雪球!BE262))</f>
        <v/>
      </c>
      <c r="O243" s="43" t="str">
        <f aca="false">IF($A243="","",IF(每月预算!$B$29="雪崩法",计算_雪崩!BD262,计算_雪球!BD262))</f>
        <v/>
      </c>
    </row>
    <row r="244" customFormat="false" ht="15" hidden="false" customHeight="false" outlineLevel="0" collapsed="false">
      <c r="A244" s="24" t="str">
        <f aca="false">IF(240&lt;=$R$2,240,"")</f>
        <v/>
      </c>
      <c r="B244" s="42" t="str">
        <f aca="false">IF($A244="","",计算_雪球!B263)</f>
        <v/>
      </c>
      <c r="C244" s="43" t="str">
        <f aca="false">IF(OR($A244="",C$4=""),"",IF(每月预算!$B$29="雪崩法",计算_雪崩!I263,计算_雪球!I263))</f>
        <v/>
      </c>
      <c r="D244" s="43" t="str">
        <f aca="false">IF(OR($A244="",D$4=""),"",IF(每月预算!$B$29="雪崩法",计算_雪崩!N263,计算_雪球!N263))</f>
        <v/>
      </c>
      <c r="E244" s="43" t="str">
        <f aca="false">IF(OR($A244="",E$4=""),"",IF(每月预算!$B$29="雪崩法",计算_雪崩!S263,计算_雪球!S263))</f>
        <v/>
      </c>
      <c r="F244" s="43" t="str">
        <f aca="false">IF(OR($A244="",F$4=""),"",IF(每月预算!$B$29="雪崩法",计算_雪崩!X263,计算_雪球!X263))</f>
        <v/>
      </c>
      <c r="G244" s="43" t="str">
        <f aca="false">IF(OR($A244="",G$4=""),"",IF(每月预算!$B$29="雪崩法",计算_雪崩!AC263,计算_雪球!AC263))</f>
        <v/>
      </c>
      <c r="H244" s="43" t="str">
        <f aca="false">IF(OR($A244="",H$4=""),"",IF(每月预算!$B$29="雪崩法",计算_雪崩!AH263,计算_雪球!AH263))</f>
        <v/>
      </c>
      <c r="I244" s="43" t="str">
        <f aca="false">IF(OR($A244="",I$4=""),"",IF(每月预算!$B$29="雪崩法",计算_雪崩!AM263,计算_雪球!AM263))</f>
        <v/>
      </c>
      <c r="J244" s="43" t="str">
        <f aca="false">IF(OR($A244="",J$4=""),"",IF(每月预算!$B$29="雪崩法",计算_雪崩!AR263,计算_雪球!AR263))</f>
        <v/>
      </c>
      <c r="K244" s="43" t="str">
        <f aca="false">IF(OR($A244="",K$4=""),"",IF(每月预算!$B$29="雪崩法",计算_雪崩!AW263,计算_雪球!AW263))</f>
        <v/>
      </c>
      <c r="L244" s="43" t="str">
        <f aca="false">IF(OR($A244="",L$4=""),"",IF(每月预算!$B$29="雪崩法",计算_雪崩!BB263,计算_雪球!BB263))</f>
        <v/>
      </c>
      <c r="M244" s="43" t="str">
        <f aca="false">IF($A244="","",IF(每月预算!$B$29="雪崩法",计算_雪崩!BC263,计算_雪球!BC263))</f>
        <v/>
      </c>
      <c r="N244" s="43" t="str">
        <f aca="false">IF($A244="","",IF(每月预算!$B$29="雪崩法",计算_雪崩!BE263,计算_雪球!BE263))</f>
        <v/>
      </c>
      <c r="O244" s="43" t="str">
        <f aca="false">IF($A244="","",IF(每月预算!$B$29="雪崩法",计算_雪崩!BD263,计算_雪球!BD263))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7" t="s">
        <v>99</v>
      </c>
    </row>
    <row r="2" customFormat="false" ht="15" hidden="false" customHeight="false" outlineLevel="0" collapsed="false">
      <c r="A2" s="8" t="s">
        <v>100</v>
      </c>
    </row>
    <row r="4" customFormat="false" ht="15" hidden="false" customHeight="false" outlineLevel="0" collapsed="false">
      <c r="A4" s="22" t="s">
        <v>101</v>
      </c>
      <c r="B4" s="23"/>
    </row>
    <row r="5" customFormat="false" ht="15" hidden="false" customHeight="false" outlineLevel="0" collapsed="false">
      <c r="A5" s="25" t="s">
        <v>102</v>
      </c>
      <c r="B5" s="44" t="n">
        <v>0.0005</v>
      </c>
      <c r="C5" s="8" t="s">
        <v>103</v>
      </c>
    </row>
    <row r="6" customFormat="false" ht="15" hidden="false" customHeight="false" outlineLevel="0" collapsed="false">
      <c r="A6" s="25" t="s">
        <v>104</v>
      </c>
      <c r="B6" s="45" t="n">
        <f aca="false">B5*365</f>
        <v>0.1825</v>
      </c>
    </row>
    <row r="8" customFormat="false" ht="17.15" hidden="false" customHeight="false" outlineLevel="0" collapsed="false">
      <c r="A8" s="22" t="s">
        <v>105</v>
      </c>
      <c r="B8" s="23"/>
    </row>
    <row r="9" customFormat="false" ht="15" hidden="false" customHeight="false" outlineLevel="0" collapsed="false">
      <c r="A9" s="25" t="s">
        <v>106</v>
      </c>
      <c r="B9" s="44" t="n">
        <v>0.015</v>
      </c>
    </row>
    <row r="10" customFormat="false" ht="15" hidden="false" customHeight="false" outlineLevel="0" collapsed="false">
      <c r="A10" s="25" t="s">
        <v>107</v>
      </c>
      <c r="B10" s="45" t="n">
        <f aca="false">B9*12</f>
        <v>0.18</v>
      </c>
    </row>
    <row r="12" customFormat="false" ht="15" hidden="false" customHeight="false" outlineLevel="0" collapsed="false">
      <c r="A12" s="22" t="s">
        <v>108</v>
      </c>
      <c r="B12" s="23"/>
    </row>
    <row r="13" customFormat="false" ht="15" hidden="false" customHeight="false" outlineLevel="0" collapsed="false">
      <c r="A13" s="25" t="s">
        <v>109</v>
      </c>
      <c r="B13" s="13" t="n">
        <v>12000</v>
      </c>
    </row>
    <row r="14" customFormat="false" ht="15" hidden="false" customHeight="false" outlineLevel="0" collapsed="false">
      <c r="A14" s="25" t="s">
        <v>110</v>
      </c>
      <c r="B14" s="15" t="n">
        <v>12</v>
      </c>
    </row>
    <row r="15" customFormat="false" ht="15" hidden="false" customHeight="false" outlineLevel="0" collapsed="false">
      <c r="A15" s="25" t="s">
        <v>111</v>
      </c>
      <c r="B15" s="44" t="n">
        <v>0.006</v>
      </c>
    </row>
    <row r="16" customFormat="false" ht="15" hidden="false" customHeight="false" outlineLevel="0" collapsed="false">
      <c r="A16" s="25" t="s">
        <v>112</v>
      </c>
      <c r="B16" s="46" t="n">
        <f aca="false">B13/B14+B13*B15</f>
        <v>1072</v>
      </c>
    </row>
    <row r="17" customFormat="false" ht="15" hidden="false" customHeight="false" outlineLevel="0" collapsed="false">
      <c r="A17" s="25" t="s">
        <v>113</v>
      </c>
      <c r="B17" s="46" t="n">
        <f aca="false">B13*B15*B14</f>
        <v>864</v>
      </c>
    </row>
    <row r="18" customFormat="false" ht="15" hidden="false" customHeight="false" outlineLevel="0" collapsed="false">
      <c r="A18" s="25" t="s">
        <v>114</v>
      </c>
      <c r="B18" s="47" t="n">
        <f aca="false">B15*12</f>
        <v>0.072</v>
      </c>
      <c r="C18" s="8" t="s">
        <v>115</v>
      </c>
    </row>
    <row r="19" customFormat="false" ht="15" hidden="false" customHeight="false" outlineLevel="0" collapsed="false">
      <c r="A19" s="25" t="s">
        <v>25</v>
      </c>
      <c r="B19" s="45" t="n">
        <f aca="false">RATE(B14,-B16,B13)*12</f>
        <v>0.13034224281107</v>
      </c>
      <c r="C19" s="8" t="s">
        <v>116</v>
      </c>
    </row>
    <row r="21" customFormat="false" ht="15" hidden="false" customHeight="false" outlineLevel="0" collapsed="false">
      <c r="A21" s="22" t="s">
        <v>117</v>
      </c>
      <c r="B21" s="23"/>
    </row>
    <row r="22" customFormat="false" ht="15" hidden="false" customHeight="false" outlineLevel="0" collapsed="false">
      <c r="A22" s="25" t="s">
        <v>118</v>
      </c>
      <c r="B22" s="13" t="n">
        <v>10000</v>
      </c>
      <c r="C22" s="8" t="s">
        <v>119</v>
      </c>
    </row>
    <row r="23" customFormat="false" ht="15" hidden="false" customHeight="false" outlineLevel="0" collapsed="false">
      <c r="A23" s="25" t="s">
        <v>120</v>
      </c>
      <c r="B23" s="15" t="n">
        <v>12</v>
      </c>
    </row>
    <row r="24" customFormat="false" ht="15" hidden="false" customHeight="false" outlineLevel="0" collapsed="false">
      <c r="A24" s="25" t="s">
        <v>121</v>
      </c>
      <c r="B24" s="13" t="n">
        <v>1000</v>
      </c>
    </row>
    <row r="25" customFormat="false" ht="15" hidden="false" customHeight="false" outlineLevel="0" collapsed="false">
      <c r="A25" s="25" t="s">
        <v>122</v>
      </c>
      <c r="B25" s="46" t="n">
        <f aca="false">B23*B24-B22</f>
        <v>2000</v>
      </c>
    </row>
    <row r="26" customFormat="false" ht="15" hidden="false" customHeight="false" outlineLevel="0" collapsed="false">
      <c r="A26" s="25" t="s">
        <v>25</v>
      </c>
      <c r="B26" s="45" t="n">
        <f aca="false">RATE(B23,-B24,B22)*12</f>
        <v>0.350742489229908</v>
      </c>
      <c r="C26" s="29" t="str">
        <f aca="false">IF(B26&gt;0.24,"超过 24%：持牌机构的个人贷款可以打 12378 投诉","")</f>
        <v>超过 24%：持牌机构的个人贷款可以打 12378 投诉</v>
      </c>
    </row>
  </sheetData>
  <conditionalFormatting sqref="C26">
    <cfRule type="expression" priority="2" aboveAverage="0" equalAverage="0" bottom="0" percent="0" rank="0" text="" dxfId="1">
      <formula>$B$26&gt;0.24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BE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7" min="5" style="0" width="12"/>
  </cols>
  <sheetData>
    <row r="1" customFormat="false" ht="17.35" hidden="false" customHeight="false" outlineLevel="0" collapsed="false">
      <c r="A1" s="7" t="s">
        <v>123</v>
      </c>
    </row>
    <row r="2" customFormat="false" ht="15" hidden="false" customHeight="false" outlineLevel="0" collapsed="false">
      <c r="A2" s="8" t="s">
        <v>124</v>
      </c>
    </row>
    <row r="4" customFormat="false" ht="15" hidden="false" customHeight="false" outlineLevel="0" collapsed="false">
      <c r="A4" s="10" t="s">
        <v>125</v>
      </c>
      <c r="B4" s="10" t="s">
        <v>126</v>
      </c>
      <c r="C4" s="10" t="s">
        <v>127</v>
      </c>
      <c r="D4" s="10" t="s">
        <v>128</v>
      </c>
      <c r="E4" s="10" t="s">
        <v>107</v>
      </c>
      <c r="F4" s="10" t="s">
        <v>129</v>
      </c>
      <c r="G4" s="10" t="s">
        <v>90</v>
      </c>
      <c r="H4" s="10" t="s">
        <v>130</v>
      </c>
    </row>
    <row r="5" customFormat="false" ht="15" hidden="false" customHeight="false" outlineLevel="0" collapsed="false">
      <c r="A5" s="48" t="n">
        <v>1</v>
      </c>
      <c r="B5" s="49" t="n">
        <f aca="false">IFERROR(MATCH(A5,债务清单!$J$5:$J$14,0),"")</f>
        <v>2</v>
      </c>
      <c r="C5" s="40" t="str">
        <f aca="false">IF(B5="","",INDEX(债务清单!$B$5:$B$14,B5))</f>
        <v>信用卡B（分期）</v>
      </c>
      <c r="D5" s="26" t="n">
        <f aca="false">IF(B5="",0,INDEX(债务清单!$D$5:$D$14,B5))</f>
        <v>12000</v>
      </c>
      <c r="E5" s="50" t="n">
        <f aca="false">IF(B5="",0,INDEX(债务清单!$O$5:$O$14,B5))</f>
        <v>0.13</v>
      </c>
      <c r="F5" s="26" t="n">
        <f aca="false">IF(B5="",0,N(INDEX(债务清单!$F$5:$F$14,B5)))</f>
        <v>1072</v>
      </c>
      <c r="G5" s="51" t="n">
        <f aca="false">IF(D5&lt;=0,"",IF(E263+F263-I263&gt;0.01,"超过20年",COUNTIF(E24:E263,"&gt;0.005")))</f>
        <v>7</v>
      </c>
      <c r="H5" s="46" t="n">
        <f aca="false">SUM(F24:F263)</f>
        <v>460.13</v>
      </c>
    </row>
    <row r="6" customFormat="false" ht="15" hidden="false" customHeight="false" outlineLevel="0" collapsed="false">
      <c r="A6" s="48" t="n">
        <v>2</v>
      </c>
      <c r="B6" s="49" t="n">
        <f aca="false">IFERROR(MATCH(A6,债务清单!$J$5:$J$14,0),"")</f>
        <v>4</v>
      </c>
      <c r="C6" s="40" t="str">
        <f aca="false">IF(B6="","",INDEX(债务清单!$B$5:$B$14,B6))</f>
        <v>亲友借款（老王）</v>
      </c>
      <c r="D6" s="26" t="n">
        <f aca="false">IF(B6="",0,INDEX(债务清单!$D$5:$D$14,B6))</f>
        <v>20000</v>
      </c>
      <c r="E6" s="50" t="n">
        <f aca="false">IF(B6="",0,INDEX(债务清单!$O$5:$O$14,B6))</f>
        <v>0</v>
      </c>
      <c r="F6" s="26" t="n">
        <f aca="false">IF(B6="",0,N(INDEX(债务清单!$F$5:$F$14,B6)))</f>
        <v>500</v>
      </c>
      <c r="G6" s="51" t="n">
        <f aca="false">IF(D6&lt;=0,"",IF(J263+K263-N263&gt;0.01,"超过20年",COUNTIF(J24:J263,"&gt;0.005")))</f>
        <v>13</v>
      </c>
      <c r="H6" s="46" t="n">
        <f aca="false">SUM(K24:K263)</f>
        <v>0</v>
      </c>
    </row>
    <row r="7" customFormat="false" ht="15" hidden="false" customHeight="false" outlineLevel="0" collapsed="false">
      <c r="A7" s="48" t="n">
        <v>3</v>
      </c>
      <c r="B7" s="49" t="n">
        <f aca="false">IFERROR(MATCH(A7,债务清单!$J$5:$J$14,0),"")</f>
        <v>3</v>
      </c>
      <c r="C7" s="40" t="str">
        <f aca="false">IF(B7="","",INDEX(债务清单!$B$5:$B$14,B7))</f>
        <v>网贷X</v>
      </c>
      <c r="D7" s="26" t="n">
        <f aca="false">IF(B7="",0,INDEX(债务清单!$D$5:$D$14,B7))</f>
        <v>25000</v>
      </c>
      <c r="E7" s="50" t="n">
        <f aca="false">IF(B7="",0,INDEX(债务清单!$O$5:$O$14,B7))</f>
        <v>0.24</v>
      </c>
      <c r="F7" s="26" t="n">
        <f aca="false">IF(B7="",0,N(INDEX(债务清单!$F$5:$F$14,B7)))</f>
        <v>1350</v>
      </c>
      <c r="G7" s="51" t="n">
        <f aca="false">IF(D7&lt;=0,"",IF(O263+P263-S263&gt;0.01,"超过20年",COUNTIF(O24:O263,"&gt;0.005")))</f>
        <v>17</v>
      </c>
      <c r="H7" s="46" t="n">
        <f aca="false">SUM(P24:P263)</f>
        <v>5546.51</v>
      </c>
    </row>
    <row r="8" customFormat="false" ht="15" hidden="false" customHeight="false" outlineLevel="0" collapsed="false">
      <c r="A8" s="48" t="n">
        <v>4</v>
      </c>
      <c r="B8" s="49" t="n">
        <f aca="false">IFERROR(MATCH(A8,债务清单!$J$5:$J$14,0),"")</f>
        <v>1</v>
      </c>
      <c r="C8" s="40" t="str">
        <f aca="false">IF(B8="","",INDEX(债务清单!$B$5:$B$14,B8))</f>
        <v>信用卡A</v>
      </c>
      <c r="D8" s="26" t="n">
        <f aca="false">IF(B8="",0,INDEX(债务清单!$D$5:$D$14,B8))</f>
        <v>38000</v>
      </c>
      <c r="E8" s="50" t="n">
        <f aca="false">IF(B8="",0,INDEX(债务清单!$O$5:$O$14,B8))</f>
        <v>0.18</v>
      </c>
      <c r="F8" s="26" t="n">
        <f aca="false">IF(B8="",0,N(INDEX(债务清单!$F$5:$F$14,B8)))</f>
        <v>1900</v>
      </c>
      <c r="G8" s="51" t="n">
        <f aca="false">IF(D8&lt;=0,"",IF(T263+U263-X263&gt;0.01,"超过20年",COUNTIF(T24:T263,"&gt;0.005")))</f>
        <v>19</v>
      </c>
      <c r="H8" s="46" t="n">
        <f aca="false">SUM(U24:U263)</f>
        <v>6940.7</v>
      </c>
    </row>
    <row r="9" customFormat="false" ht="15" hidden="false" customHeight="false" outlineLevel="0" collapsed="false">
      <c r="A9" s="48" t="n">
        <v>5</v>
      </c>
      <c r="B9" s="49" t="str">
        <f aca="false">IFERROR(MATCH(A9,债务清单!$J$5:$J$14,0),"")</f>
        <v/>
      </c>
      <c r="C9" s="40" t="str">
        <f aca="false">IF(B9="","",INDEX(债务清单!$B$5:$B$14,B9))</f>
        <v/>
      </c>
      <c r="D9" s="26" t="n">
        <f aca="false">IF(B9="",0,INDEX(债务清单!$D$5:$D$14,B9))</f>
        <v>0</v>
      </c>
      <c r="E9" s="50" t="n">
        <f aca="false">IF(B9="",0,INDEX(债务清单!$O$5:$O$14,B9))</f>
        <v>0</v>
      </c>
      <c r="F9" s="26" t="n">
        <f aca="false">IF(B9="",0,N(INDEX(债务清单!$F$5:$F$14,B9)))</f>
        <v>0</v>
      </c>
      <c r="G9" s="51" t="str">
        <f aca="false">IF(D9&lt;=0,"",IF(Y263+Z263-AC263&gt;0.01,"超过20年",COUNTIF(Y24:Y263,"&gt;0.005")))</f>
        <v/>
      </c>
      <c r="H9" s="46" t="n">
        <f aca="false">SUM(Z24:Z263)</f>
        <v>0</v>
      </c>
    </row>
    <row r="10" customFormat="false" ht="15" hidden="false" customHeight="false" outlineLevel="0" collapsed="false">
      <c r="A10" s="48" t="n">
        <v>6</v>
      </c>
      <c r="B10" s="49" t="str">
        <f aca="false">IFERROR(MATCH(A10,债务清单!$J$5:$J$14,0),"")</f>
        <v/>
      </c>
      <c r="C10" s="40" t="str">
        <f aca="false">IF(B10="","",INDEX(债务清单!$B$5:$B$14,B10))</f>
        <v/>
      </c>
      <c r="D10" s="26" t="n">
        <f aca="false">IF(B10="",0,INDEX(债务清单!$D$5:$D$14,B10))</f>
        <v>0</v>
      </c>
      <c r="E10" s="50" t="n">
        <f aca="false">IF(B10="",0,INDEX(债务清单!$O$5:$O$14,B10))</f>
        <v>0</v>
      </c>
      <c r="F10" s="26" t="n">
        <f aca="false">IF(B10="",0,N(INDEX(债务清单!$F$5:$F$14,B10)))</f>
        <v>0</v>
      </c>
      <c r="G10" s="51" t="str">
        <f aca="false">IF(D10&lt;=0,"",IF(AD263+AE263-AH263&gt;0.01,"超过20年",COUNTIF(AD24:AD263,"&gt;0.005")))</f>
        <v/>
      </c>
      <c r="H10" s="46" t="n">
        <f aca="false">SUM(AE24:AE263)</f>
        <v>0</v>
      </c>
    </row>
    <row r="11" customFormat="false" ht="15" hidden="false" customHeight="false" outlineLevel="0" collapsed="false">
      <c r="A11" s="48" t="n">
        <v>7</v>
      </c>
      <c r="B11" s="49" t="str">
        <f aca="false">IFERROR(MATCH(A11,债务清单!$J$5:$J$14,0),"")</f>
        <v/>
      </c>
      <c r="C11" s="40" t="str">
        <f aca="false">IF(B11="","",INDEX(债务清单!$B$5:$B$14,B11))</f>
        <v/>
      </c>
      <c r="D11" s="26" t="n">
        <f aca="false">IF(B11="",0,INDEX(债务清单!$D$5:$D$14,B11))</f>
        <v>0</v>
      </c>
      <c r="E11" s="50" t="n">
        <f aca="false">IF(B11="",0,INDEX(债务清单!$O$5:$O$14,B11))</f>
        <v>0</v>
      </c>
      <c r="F11" s="26" t="n">
        <f aca="false">IF(B11="",0,N(INDEX(债务清单!$F$5:$F$14,B11)))</f>
        <v>0</v>
      </c>
      <c r="G11" s="51" t="str">
        <f aca="false">IF(D11&lt;=0,"",IF(AI263+AJ263-AM263&gt;0.01,"超过20年",COUNTIF(AI24:AI263,"&gt;0.005")))</f>
        <v/>
      </c>
      <c r="H11" s="46" t="n">
        <f aca="false">SUM(AJ24:AJ263)</f>
        <v>0</v>
      </c>
    </row>
    <row r="12" customFormat="false" ht="15" hidden="false" customHeight="false" outlineLevel="0" collapsed="false">
      <c r="A12" s="48" t="n">
        <v>8</v>
      </c>
      <c r="B12" s="49" t="str">
        <f aca="false">IFERROR(MATCH(A12,债务清单!$J$5:$J$14,0),"")</f>
        <v/>
      </c>
      <c r="C12" s="40" t="str">
        <f aca="false">IF(B12="","",INDEX(债务清单!$B$5:$B$14,B12))</f>
        <v/>
      </c>
      <c r="D12" s="26" t="n">
        <f aca="false">IF(B12="",0,INDEX(债务清单!$D$5:$D$14,B12))</f>
        <v>0</v>
      </c>
      <c r="E12" s="50" t="n">
        <f aca="false">IF(B12="",0,INDEX(债务清单!$O$5:$O$14,B12))</f>
        <v>0</v>
      </c>
      <c r="F12" s="26" t="n">
        <f aca="false">IF(B12="",0,N(INDEX(债务清单!$F$5:$F$14,B12)))</f>
        <v>0</v>
      </c>
      <c r="G12" s="51" t="str">
        <f aca="false">IF(D12&lt;=0,"",IF(AN263+AO263-AR263&gt;0.01,"超过20年",COUNTIF(AN24:AN263,"&gt;0.005")))</f>
        <v/>
      </c>
      <c r="H12" s="46" t="n">
        <f aca="false">SUM(AO24:AO263)</f>
        <v>0</v>
      </c>
    </row>
    <row r="13" customFormat="false" ht="15" hidden="false" customHeight="false" outlineLevel="0" collapsed="false">
      <c r="A13" s="48" t="n">
        <v>9</v>
      </c>
      <c r="B13" s="49" t="str">
        <f aca="false">IFERROR(MATCH(A13,债务清单!$J$5:$J$14,0),"")</f>
        <v/>
      </c>
      <c r="C13" s="40" t="str">
        <f aca="false">IF(B13="","",INDEX(债务清单!$B$5:$B$14,B13))</f>
        <v/>
      </c>
      <c r="D13" s="26" t="n">
        <f aca="false">IF(B13="",0,INDEX(债务清单!$D$5:$D$14,B13))</f>
        <v>0</v>
      </c>
      <c r="E13" s="50" t="n">
        <f aca="false">IF(B13="",0,INDEX(债务清单!$O$5:$O$14,B13))</f>
        <v>0</v>
      </c>
      <c r="F13" s="26" t="n">
        <f aca="false">IF(B13="",0,N(INDEX(债务清单!$F$5:$F$14,B13)))</f>
        <v>0</v>
      </c>
      <c r="G13" s="51" t="str">
        <f aca="false">IF(D13&lt;=0,"",IF(AS263+AT263-AW263&gt;0.01,"超过20年",COUNTIF(AS24:AS263,"&gt;0.005")))</f>
        <v/>
      </c>
      <c r="H13" s="46" t="n">
        <f aca="false">SUM(AT24:AT263)</f>
        <v>0</v>
      </c>
    </row>
    <row r="14" customFormat="false" ht="15" hidden="false" customHeight="false" outlineLevel="0" collapsed="false">
      <c r="A14" s="48" t="n">
        <v>10</v>
      </c>
      <c r="B14" s="49" t="str">
        <f aca="false">IFERROR(MATCH(A14,债务清单!$J$5:$J$14,0),"")</f>
        <v/>
      </c>
      <c r="C14" s="40" t="str">
        <f aca="false">IF(B14="","",INDEX(债务清单!$B$5:$B$14,B14))</f>
        <v/>
      </c>
      <c r="D14" s="26" t="n">
        <f aca="false">IF(B14="",0,INDEX(债务清单!$D$5:$D$14,B14))</f>
        <v>0</v>
      </c>
      <c r="E14" s="50" t="n">
        <f aca="false">IF(B14="",0,INDEX(债务清单!$O$5:$O$14,B14))</f>
        <v>0</v>
      </c>
      <c r="F14" s="26" t="n">
        <f aca="false">IF(B14="",0,N(INDEX(债务清单!$F$5:$F$14,B14)))</f>
        <v>0</v>
      </c>
      <c r="G14" s="51" t="str">
        <f aca="false">IF(D14&lt;=0,"",IF(AX263+AY263-BB263&gt;0.01,"超过20年",COUNTIF(AX24:AX263,"&gt;0.005")))</f>
        <v/>
      </c>
      <c r="H14" s="46" t="n">
        <f aca="false">SUM(AY24:AY263)</f>
        <v>0</v>
      </c>
    </row>
    <row r="16" customFormat="false" ht="15" hidden="false" customHeight="false" outlineLevel="0" collapsed="false">
      <c r="A16" s="25" t="s">
        <v>131</v>
      </c>
      <c r="C16" s="26" t="n">
        <f aca="false">每月预算!B27</f>
        <v>5822</v>
      </c>
    </row>
    <row r="17" customFormat="false" ht="15" hidden="false" customHeight="false" outlineLevel="0" collapsed="false">
      <c r="A17" s="25" t="s">
        <v>132</v>
      </c>
      <c r="C17" s="52" t="n">
        <f aca="false">每月预算!B30</f>
        <v>46327</v>
      </c>
    </row>
    <row r="18" customFormat="false" ht="15" hidden="false" customHeight="false" outlineLevel="0" collapsed="false">
      <c r="A18" s="25" t="s">
        <v>79</v>
      </c>
      <c r="C18" s="48" t="n">
        <f aca="false">IF(COUNTIF(G5:G14,"超过20年")&gt;0,"超过20年",IF(COUNT(G5:G14)=0,0,MAX(G5:G14)))</f>
        <v>19</v>
      </c>
    </row>
    <row r="19" customFormat="false" ht="15" hidden="false" customHeight="false" outlineLevel="0" collapsed="false">
      <c r="A19" s="25" t="s">
        <v>130</v>
      </c>
      <c r="C19" s="46" t="n">
        <f aca="false">SUM(H5:H14)</f>
        <v>12947.34</v>
      </c>
    </row>
    <row r="20" customFormat="false" ht="15" hidden="false" customHeight="false" outlineLevel="0" collapsed="false">
      <c r="A20" s="25" t="s">
        <v>133</v>
      </c>
      <c r="C20" s="48" t="n">
        <f aca="false">IF(COUNT(G5:G14)=0,"",MIN(G5:G14))</f>
        <v>7</v>
      </c>
    </row>
    <row r="22" customFormat="false" ht="15" hidden="false" customHeight="false" outlineLevel="0" collapsed="false">
      <c r="E22" s="53" t="str">
        <f aca="false">IF(C5="","第1笔（空）","第1笔："&amp;C5)</f>
        <v>第1笔：信用卡B（分期）</v>
      </c>
      <c r="F22" s="53"/>
      <c r="G22" s="53"/>
      <c r="H22" s="53"/>
      <c r="I22" s="53"/>
      <c r="J22" s="53" t="str">
        <f aca="false">IF(C6="","第2笔（空）","第2笔："&amp;C6)</f>
        <v>第2笔：亲友借款（老王）</v>
      </c>
      <c r="K22" s="53"/>
      <c r="L22" s="53"/>
      <c r="M22" s="53"/>
      <c r="N22" s="53"/>
      <c r="O22" s="53" t="str">
        <f aca="false">IF(C7="","第3笔（空）","第3笔："&amp;C7)</f>
        <v>第3笔：网贷X</v>
      </c>
      <c r="P22" s="53"/>
      <c r="Q22" s="53"/>
      <c r="R22" s="53"/>
      <c r="S22" s="53"/>
      <c r="T22" s="53" t="str">
        <f aca="false">IF(C8="","第4笔（空）","第4笔："&amp;C8)</f>
        <v>第4笔：信用卡A</v>
      </c>
      <c r="U22" s="53"/>
      <c r="V22" s="53"/>
      <c r="W22" s="53"/>
      <c r="X22" s="53"/>
      <c r="Y22" s="53" t="str">
        <f aca="false">IF(C9="","第5笔（空）","第5笔："&amp;C9)</f>
        <v>第5笔（空）</v>
      </c>
      <c r="Z22" s="53"/>
      <c r="AA22" s="53"/>
      <c r="AB22" s="53"/>
      <c r="AC22" s="53"/>
      <c r="AD22" s="53" t="str">
        <f aca="false">IF(C10="","第6笔（空）","第6笔："&amp;C10)</f>
        <v>第6笔（空）</v>
      </c>
      <c r="AE22" s="53"/>
      <c r="AF22" s="53"/>
      <c r="AG22" s="53"/>
      <c r="AH22" s="53"/>
      <c r="AI22" s="53" t="str">
        <f aca="false">IF(C11="","第7笔（空）","第7笔："&amp;C11)</f>
        <v>第7笔（空）</v>
      </c>
      <c r="AJ22" s="53"/>
      <c r="AK22" s="53"/>
      <c r="AL22" s="53"/>
      <c r="AM22" s="53"/>
      <c r="AN22" s="53" t="str">
        <f aca="false">IF(C12="","第8笔（空）","第8笔："&amp;C12)</f>
        <v>第8笔（空）</v>
      </c>
      <c r="AO22" s="53"/>
      <c r="AP22" s="53"/>
      <c r="AQ22" s="53"/>
      <c r="AR22" s="53"/>
      <c r="AS22" s="53" t="str">
        <f aca="false">IF(C13="","第9笔（空）","第9笔："&amp;C13)</f>
        <v>第9笔（空）</v>
      </c>
      <c r="AT22" s="53"/>
      <c r="AU22" s="53"/>
      <c r="AV22" s="53"/>
      <c r="AW22" s="53"/>
      <c r="AX22" s="53" t="str">
        <f aca="false">IF(C14="","第10笔（空）","第10笔："&amp;C14)</f>
        <v>第10笔（空）</v>
      </c>
      <c r="AY22" s="53"/>
      <c r="AZ22" s="53"/>
      <c r="BA22" s="53"/>
      <c r="BB22" s="53"/>
    </row>
    <row r="23" customFormat="false" ht="15" hidden="false" customHeight="false" outlineLevel="0" collapsed="false">
      <c r="A23" s="10" t="s">
        <v>94</v>
      </c>
      <c r="B23" s="10" t="s">
        <v>95</v>
      </c>
      <c r="C23" s="10" t="s">
        <v>134</v>
      </c>
      <c r="D23" s="10" t="s">
        <v>135</v>
      </c>
      <c r="E23" s="10" t="s">
        <v>136</v>
      </c>
      <c r="F23" s="10" t="s">
        <v>137</v>
      </c>
      <c r="G23" s="10" t="s">
        <v>138</v>
      </c>
      <c r="H23" s="10" t="s">
        <v>139</v>
      </c>
      <c r="I23" s="10" t="s">
        <v>140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0" t="s">
        <v>140</v>
      </c>
      <c r="O23" s="10" t="s">
        <v>136</v>
      </c>
      <c r="P23" s="10" t="s">
        <v>137</v>
      </c>
      <c r="Q23" s="10" t="s">
        <v>138</v>
      </c>
      <c r="R23" s="10" t="s">
        <v>139</v>
      </c>
      <c r="S23" s="10" t="s">
        <v>140</v>
      </c>
      <c r="T23" s="10" t="s">
        <v>136</v>
      </c>
      <c r="U23" s="10" t="s">
        <v>137</v>
      </c>
      <c r="V23" s="10" t="s">
        <v>138</v>
      </c>
      <c r="W23" s="10" t="s">
        <v>139</v>
      </c>
      <c r="X23" s="10" t="s">
        <v>140</v>
      </c>
      <c r="Y23" s="10" t="s">
        <v>136</v>
      </c>
      <c r="Z23" s="10" t="s">
        <v>137</v>
      </c>
      <c r="AA23" s="10" t="s">
        <v>138</v>
      </c>
      <c r="AB23" s="10" t="s">
        <v>139</v>
      </c>
      <c r="AC23" s="10" t="s">
        <v>140</v>
      </c>
      <c r="AD23" s="10" t="s">
        <v>136</v>
      </c>
      <c r="AE23" s="10" t="s">
        <v>137</v>
      </c>
      <c r="AF23" s="10" t="s">
        <v>138</v>
      </c>
      <c r="AG23" s="10" t="s">
        <v>139</v>
      </c>
      <c r="AH23" s="10" t="s">
        <v>140</v>
      </c>
      <c r="AI23" s="10" t="s">
        <v>136</v>
      </c>
      <c r="AJ23" s="10" t="s">
        <v>137</v>
      </c>
      <c r="AK23" s="10" t="s">
        <v>138</v>
      </c>
      <c r="AL23" s="10" t="s">
        <v>139</v>
      </c>
      <c r="AM23" s="10" t="s">
        <v>140</v>
      </c>
      <c r="AN23" s="10" t="s">
        <v>136</v>
      </c>
      <c r="AO23" s="10" t="s">
        <v>137</v>
      </c>
      <c r="AP23" s="10" t="s">
        <v>138</v>
      </c>
      <c r="AQ23" s="10" t="s">
        <v>139</v>
      </c>
      <c r="AR23" s="10" t="s">
        <v>140</v>
      </c>
      <c r="AS23" s="10" t="s">
        <v>136</v>
      </c>
      <c r="AT23" s="10" t="s">
        <v>137</v>
      </c>
      <c r="AU23" s="10" t="s">
        <v>138</v>
      </c>
      <c r="AV23" s="10" t="s">
        <v>139</v>
      </c>
      <c r="AW23" s="10" t="s">
        <v>140</v>
      </c>
      <c r="AX23" s="10" t="s">
        <v>136</v>
      </c>
      <c r="AY23" s="10" t="s">
        <v>137</v>
      </c>
      <c r="AZ23" s="10" t="s">
        <v>138</v>
      </c>
      <c r="BA23" s="10" t="s">
        <v>139</v>
      </c>
      <c r="BB23" s="10" t="s">
        <v>140</v>
      </c>
      <c r="BC23" s="10" t="s">
        <v>141</v>
      </c>
      <c r="BD23" s="10" t="s">
        <v>142</v>
      </c>
      <c r="BE23" s="10" t="s">
        <v>97</v>
      </c>
    </row>
    <row r="24" customFormat="false" ht="15" hidden="false" customHeight="false" outlineLevel="0" collapsed="false">
      <c r="A24" s="24" t="n">
        <v>1</v>
      </c>
      <c r="B24" s="54" t="n">
        <f aca="false">EDATE($C$17,A24-1)</f>
        <v>46327</v>
      </c>
      <c r="C24" s="55" t="n">
        <f aca="false">G24+L24+Q24+V24+AA24+AF24+AK24+AP24+AU24+AZ24</f>
        <v>4822</v>
      </c>
      <c r="D24" s="55" t="n">
        <f aca="false">MAX(0,$C$16-C24)</f>
        <v>1000</v>
      </c>
      <c r="E24" s="55" t="n">
        <f aca="false">$D$5</f>
        <v>12000</v>
      </c>
      <c r="F24" s="55" t="n">
        <f aca="false">ROUND(E24*$E$5/12,2)</f>
        <v>130</v>
      </c>
      <c r="G24" s="55" t="n">
        <f aca="false">MIN($F$5,E24+F24)</f>
        <v>1072</v>
      </c>
      <c r="H24" s="55" t="n">
        <f aca="false">MAX(0,MIN(E24+F24-G24,$D24))</f>
        <v>1000</v>
      </c>
      <c r="I24" s="55" t="n">
        <f aca="false">G24+H24</f>
        <v>2072</v>
      </c>
      <c r="J24" s="55" t="n">
        <f aca="false">$D$6</f>
        <v>20000</v>
      </c>
      <c r="K24" s="55" t="n">
        <f aca="false">ROUND(J24*$E$6/12,2)</f>
        <v>0</v>
      </c>
      <c r="L24" s="55" t="n">
        <f aca="false">MIN($F$6,J24+K24)</f>
        <v>500</v>
      </c>
      <c r="M24" s="55" t="n">
        <f aca="false">MAX(0,MIN(J24+K24-L24,$D24-(H24)))</f>
        <v>0</v>
      </c>
      <c r="N24" s="55" t="n">
        <f aca="false">L24+M24</f>
        <v>500</v>
      </c>
      <c r="O24" s="55" t="n">
        <f aca="false">$D$7</f>
        <v>25000</v>
      </c>
      <c r="P24" s="55" t="n">
        <f aca="false">ROUND(O24*$E$7/12,2)</f>
        <v>500</v>
      </c>
      <c r="Q24" s="55" t="n">
        <f aca="false">MIN($F$7,O24+P24)</f>
        <v>1350</v>
      </c>
      <c r="R24" s="55" t="n">
        <f aca="false">MAX(0,MIN(O24+P24-Q24,$D24-(H24+M24)))</f>
        <v>0</v>
      </c>
      <c r="S24" s="55" t="n">
        <f aca="false">Q24+R24</f>
        <v>1350</v>
      </c>
      <c r="T24" s="55" t="n">
        <f aca="false">$D$8</f>
        <v>38000</v>
      </c>
      <c r="U24" s="55" t="n">
        <f aca="false">ROUND(T24*$E$8/12,2)</f>
        <v>570</v>
      </c>
      <c r="V24" s="55" t="n">
        <f aca="false">MIN($F$8,T24+U24)</f>
        <v>1900</v>
      </c>
      <c r="W24" s="55" t="n">
        <f aca="false">MAX(0,MIN(T24+U24-V24,$D24-(H24+M24+R24)))</f>
        <v>0</v>
      </c>
      <c r="X24" s="55" t="n">
        <f aca="false">V24+W24</f>
        <v>1900</v>
      </c>
      <c r="Y24" s="55" t="n">
        <f aca="false">$D$9</f>
        <v>0</v>
      </c>
      <c r="Z24" s="55" t="n">
        <f aca="false">ROUND(Y24*$E$9/12,2)</f>
        <v>0</v>
      </c>
      <c r="AA24" s="55" t="n">
        <f aca="false">MIN($F$9,Y24+Z24)</f>
        <v>0</v>
      </c>
      <c r="AB24" s="55" t="n">
        <f aca="false">MAX(0,MIN(Y24+Z24-AA24,$D24-(H24+M24+R24+W24)))</f>
        <v>0</v>
      </c>
      <c r="AC24" s="55" t="n">
        <f aca="false">AA24+AB24</f>
        <v>0</v>
      </c>
      <c r="AD24" s="55" t="n">
        <f aca="false">$D$10</f>
        <v>0</v>
      </c>
      <c r="AE24" s="55" t="n">
        <f aca="false">ROUND(AD24*$E$10/12,2)</f>
        <v>0</v>
      </c>
      <c r="AF24" s="55" t="n">
        <f aca="false">MIN($F$10,AD24+AE24)</f>
        <v>0</v>
      </c>
      <c r="AG24" s="55" t="n">
        <f aca="false">MAX(0,MIN(AD24+AE24-AF24,$D24-(H24+M24+R24+W24+AB24)))</f>
        <v>0</v>
      </c>
      <c r="AH24" s="55" t="n">
        <f aca="false">AF24+AG24</f>
        <v>0</v>
      </c>
      <c r="AI24" s="55" t="n">
        <f aca="false">$D$11</f>
        <v>0</v>
      </c>
      <c r="AJ24" s="55" t="n">
        <f aca="false">ROUND(AI24*$E$11/12,2)</f>
        <v>0</v>
      </c>
      <c r="AK24" s="55" t="n">
        <f aca="false">MIN($F$11,AI24+AJ24)</f>
        <v>0</v>
      </c>
      <c r="AL24" s="55" t="n">
        <f aca="false">MAX(0,MIN(AI24+AJ24-AK24,$D24-(H24+M24+R24+W24+AB24+AG24)))</f>
        <v>0</v>
      </c>
      <c r="AM24" s="55" t="n">
        <f aca="false">AK24+AL24</f>
        <v>0</v>
      </c>
      <c r="AN24" s="55" t="n">
        <f aca="false">$D$12</f>
        <v>0</v>
      </c>
      <c r="AO24" s="55" t="n">
        <f aca="false">ROUND(AN24*$E$12/12,2)</f>
        <v>0</v>
      </c>
      <c r="AP24" s="55" t="n">
        <f aca="false">MIN($F$12,AN24+AO24)</f>
        <v>0</v>
      </c>
      <c r="AQ24" s="55" t="n">
        <f aca="false">MAX(0,MIN(AN24+AO24-AP24,$D24-(H24+M24+R24+W24+AB24+AG24+AL24)))</f>
        <v>0</v>
      </c>
      <c r="AR24" s="55" t="n">
        <f aca="false">AP24+AQ24</f>
        <v>0</v>
      </c>
      <c r="AS24" s="55" t="n">
        <f aca="false">$D$13</f>
        <v>0</v>
      </c>
      <c r="AT24" s="55" t="n">
        <f aca="false">ROUND(AS24*$E$13/12,2)</f>
        <v>0</v>
      </c>
      <c r="AU24" s="55" t="n">
        <f aca="false">MIN($F$13,AS24+AT24)</f>
        <v>0</v>
      </c>
      <c r="AV24" s="55" t="n">
        <f aca="false">MAX(0,MIN(AS24+AT24-AU24,$D24-(H24+M24+R24+W24+AB24+AG24+AL24+AQ24)))</f>
        <v>0</v>
      </c>
      <c r="AW24" s="55" t="n">
        <f aca="false">AU24+AV24</f>
        <v>0</v>
      </c>
      <c r="AX24" s="55" t="n">
        <f aca="false">$D$14</f>
        <v>0</v>
      </c>
      <c r="AY24" s="55" t="n">
        <f aca="false">ROUND(AX24*$E$14/12,2)</f>
        <v>0</v>
      </c>
      <c r="AZ24" s="55" t="n">
        <f aca="false">MIN($F$14,AX24+AY24)</f>
        <v>0</v>
      </c>
      <c r="BA24" s="55" t="n">
        <f aca="false">MAX(0,MIN(AX24+AY24-AZ24,$D24-(H24+M24+R24+W24+AB24+AG24+AL24+AQ24+AV24)))</f>
        <v>0</v>
      </c>
      <c r="BB24" s="55" t="n">
        <f aca="false">AZ24+BA24</f>
        <v>0</v>
      </c>
      <c r="BC24" s="55" t="n">
        <f aca="false">I24+N24+S24+X24+AC24+AH24+AM24+AR24+AW24+BB24</f>
        <v>5822</v>
      </c>
      <c r="BD24" s="55" t="n">
        <f aca="false">ROUND((E24+F24-I24)+(J24+K24-N24)+(O24+P24-S24)+(T24+U24-X24)+(Y24+Z24-AC24)+(AD24+AE24-AH24)+(AI24+AJ24-AM24)+(AN24+AO24-AR24)+(AS24+AT24-AW24)+(AX24+AY24-BB24),2)</f>
        <v>90378</v>
      </c>
      <c r="BE24" s="25" t="str">
        <f aca="false">IF(H24&gt;0.005,$C$5,IF(M24&gt;0.005,$C$6,IF(R24&gt;0.005,$C$7,IF(W24&gt;0.005,$C$8,IF(AB24&gt;0.005,$C$9,IF(AG24&gt;0.005,$C$10,IF(AL24&gt;0.005,$C$11,IF(AQ24&gt;0.005,$C$12,IF(AV24&gt;0.005,$C$13,IF(BA24&gt;0.005,$C$14,""))))))))))</f>
        <v>信用卡B（分期）</v>
      </c>
    </row>
    <row r="25" customFormat="false" ht="15" hidden="false" customHeight="false" outlineLevel="0" collapsed="false">
      <c r="A25" s="24" t="n">
        <v>2</v>
      </c>
      <c r="B25" s="54" t="n">
        <f aca="false">EDATE($C$17,A25-1)</f>
        <v>46357</v>
      </c>
      <c r="C25" s="55" t="n">
        <f aca="false">G25+L25+Q25+V25+AA25+AF25+AK25+AP25+AU25+AZ25</f>
        <v>4822</v>
      </c>
      <c r="D25" s="55" t="n">
        <f aca="false">MAX(0,$C$16-C25)</f>
        <v>1000</v>
      </c>
      <c r="E25" s="55" t="n">
        <f aca="false">ROUND(MAX(0,E24+F24-I24),2)</f>
        <v>10058</v>
      </c>
      <c r="F25" s="55" t="n">
        <f aca="false">ROUND(E25*$E$5/12,2)</f>
        <v>108.96</v>
      </c>
      <c r="G25" s="55" t="n">
        <f aca="false">MIN($F$5,E25+F25)</f>
        <v>1072</v>
      </c>
      <c r="H25" s="55" t="n">
        <f aca="false">MAX(0,MIN(E25+F25-G25,$D25))</f>
        <v>1000</v>
      </c>
      <c r="I25" s="55" t="n">
        <f aca="false">G25+H25</f>
        <v>2072</v>
      </c>
      <c r="J25" s="55" t="n">
        <f aca="false">ROUND(MAX(0,J24+K24-N24),2)</f>
        <v>19500</v>
      </c>
      <c r="K25" s="55" t="n">
        <f aca="false">ROUND(J25*$E$6/12,2)</f>
        <v>0</v>
      </c>
      <c r="L25" s="55" t="n">
        <f aca="false">MIN($F$6,J25+K25)</f>
        <v>500</v>
      </c>
      <c r="M25" s="55" t="n">
        <f aca="false">MAX(0,MIN(J25+K25-L25,$D25-(H25)))</f>
        <v>0</v>
      </c>
      <c r="N25" s="55" t="n">
        <f aca="false">L25+M25</f>
        <v>500</v>
      </c>
      <c r="O25" s="55" t="n">
        <f aca="false">ROUND(MAX(0,O24+P24-S24),2)</f>
        <v>24150</v>
      </c>
      <c r="P25" s="55" t="n">
        <f aca="false">ROUND(O25*$E$7/12,2)</f>
        <v>483</v>
      </c>
      <c r="Q25" s="55" t="n">
        <f aca="false">MIN($F$7,O25+P25)</f>
        <v>1350</v>
      </c>
      <c r="R25" s="55" t="n">
        <f aca="false">MAX(0,MIN(O25+P25-Q25,$D25-(H25+M25)))</f>
        <v>0</v>
      </c>
      <c r="S25" s="55" t="n">
        <f aca="false">Q25+R25</f>
        <v>1350</v>
      </c>
      <c r="T25" s="55" t="n">
        <f aca="false">ROUND(MAX(0,T24+U24-X24),2)</f>
        <v>36670</v>
      </c>
      <c r="U25" s="55" t="n">
        <f aca="false">ROUND(T25*$E$8/12,2)</f>
        <v>550.05</v>
      </c>
      <c r="V25" s="55" t="n">
        <f aca="false">MIN($F$8,T25+U25)</f>
        <v>1900</v>
      </c>
      <c r="W25" s="55" t="n">
        <f aca="false">MAX(0,MIN(T25+U25-V25,$D25-(H25+M25+R25)))</f>
        <v>0</v>
      </c>
      <c r="X25" s="55" t="n">
        <f aca="false">V25+W25</f>
        <v>1900</v>
      </c>
      <c r="Y25" s="55" t="n">
        <f aca="false">ROUND(MAX(0,Y24+Z24-AC24),2)</f>
        <v>0</v>
      </c>
      <c r="Z25" s="55" t="n">
        <f aca="false">ROUND(Y25*$E$9/12,2)</f>
        <v>0</v>
      </c>
      <c r="AA25" s="55" t="n">
        <f aca="false">MIN($F$9,Y25+Z25)</f>
        <v>0</v>
      </c>
      <c r="AB25" s="55" t="n">
        <f aca="false">MAX(0,MIN(Y25+Z25-AA25,$D25-(H25+M25+R25+W25)))</f>
        <v>0</v>
      </c>
      <c r="AC25" s="55" t="n">
        <f aca="false">AA25+AB25</f>
        <v>0</v>
      </c>
      <c r="AD25" s="55" t="n">
        <f aca="false">ROUND(MAX(0,AD24+AE24-AH24),2)</f>
        <v>0</v>
      </c>
      <c r="AE25" s="55" t="n">
        <f aca="false">ROUND(AD25*$E$10/12,2)</f>
        <v>0</v>
      </c>
      <c r="AF25" s="55" t="n">
        <f aca="false">MIN($F$10,AD25+AE25)</f>
        <v>0</v>
      </c>
      <c r="AG25" s="55" t="n">
        <f aca="false">MAX(0,MIN(AD25+AE25-AF25,$D25-(H25+M25+R25+W25+AB25)))</f>
        <v>0</v>
      </c>
      <c r="AH25" s="55" t="n">
        <f aca="false">AF25+AG25</f>
        <v>0</v>
      </c>
      <c r="AI25" s="55" t="n">
        <f aca="false">ROUND(MAX(0,AI24+AJ24-AM24),2)</f>
        <v>0</v>
      </c>
      <c r="AJ25" s="55" t="n">
        <f aca="false">ROUND(AI25*$E$11/12,2)</f>
        <v>0</v>
      </c>
      <c r="AK25" s="55" t="n">
        <f aca="false">MIN($F$11,AI25+AJ25)</f>
        <v>0</v>
      </c>
      <c r="AL25" s="55" t="n">
        <f aca="false">MAX(0,MIN(AI25+AJ25-AK25,$D25-(H25+M25+R25+W25+AB25+AG25)))</f>
        <v>0</v>
      </c>
      <c r="AM25" s="55" t="n">
        <f aca="false">AK25+AL25</f>
        <v>0</v>
      </c>
      <c r="AN25" s="55" t="n">
        <f aca="false">ROUND(MAX(0,AN24+AO24-AR24),2)</f>
        <v>0</v>
      </c>
      <c r="AO25" s="55" t="n">
        <f aca="false">ROUND(AN25*$E$12/12,2)</f>
        <v>0</v>
      </c>
      <c r="AP25" s="55" t="n">
        <f aca="false">MIN($F$12,AN25+AO25)</f>
        <v>0</v>
      </c>
      <c r="AQ25" s="55" t="n">
        <f aca="false">MAX(0,MIN(AN25+AO25-AP25,$D25-(H25+M25+R25+W25+AB25+AG25+AL25)))</f>
        <v>0</v>
      </c>
      <c r="AR25" s="55" t="n">
        <f aca="false">AP25+AQ25</f>
        <v>0</v>
      </c>
      <c r="AS25" s="55" t="n">
        <f aca="false">ROUND(MAX(0,AS24+AT24-AW24),2)</f>
        <v>0</v>
      </c>
      <c r="AT25" s="55" t="n">
        <f aca="false">ROUND(AS25*$E$13/12,2)</f>
        <v>0</v>
      </c>
      <c r="AU25" s="55" t="n">
        <f aca="false">MIN($F$13,AS25+AT25)</f>
        <v>0</v>
      </c>
      <c r="AV25" s="55" t="n">
        <f aca="false">MAX(0,MIN(AS25+AT25-AU25,$D25-(H25+M25+R25+W25+AB25+AG25+AL25+AQ25)))</f>
        <v>0</v>
      </c>
      <c r="AW25" s="55" t="n">
        <f aca="false">AU25+AV25</f>
        <v>0</v>
      </c>
      <c r="AX25" s="55" t="n">
        <f aca="false">ROUND(MAX(0,AX24+AY24-BB24),2)</f>
        <v>0</v>
      </c>
      <c r="AY25" s="55" t="n">
        <f aca="false">ROUND(AX25*$E$14/12,2)</f>
        <v>0</v>
      </c>
      <c r="AZ25" s="55" t="n">
        <f aca="false">MIN($F$14,AX25+AY25)</f>
        <v>0</v>
      </c>
      <c r="BA25" s="55" t="n">
        <f aca="false">MAX(0,MIN(AX25+AY25-AZ25,$D25-(H25+M25+R25+W25+AB25+AG25+AL25+AQ25+AV25)))</f>
        <v>0</v>
      </c>
      <c r="BB25" s="55" t="n">
        <f aca="false">AZ25+BA25</f>
        <v>0</v>
      </c>
      <c r="BC25" s="55" t="n">
        <f aca="false">I25+N25+S25+X25+AC25+AH25+AM25+AR25+AW25+BB25</f>
        <v>5822</v>
      </c>
      <c r="BD25" s="55" t="n">
        <f aca="false">ROUND((E25+F25-I25)+(J25+K25-N25)+(O25+P25-S25)+(T25+U25-X25)+(Y25+Z25-AC25)+(AD25+AE25-AH25)+(AI25+AJ25-AM25)+(AN25+AO25-AR25)+(AS25+AT25-AW25)+(AX25+AY25-BB25),2)</f>
        <v>85698.01</v>
      </c>
      <c r="BE25" s="25" t="str">
        <f aca="false">IF(H25&gt;0.005,$C$5,IF(M25&gt;0.005,$C$6,IF(R25&gt;0.005,$C$7,IF(W25&gt;0.005,$C$8,IF(AB25&gt;0.005,$C$9,IF(AG25&gt;0.005,$C$10,IF(AL25&gt;0.005,$C$11,IF(AQ25&gt;0.005,$C$12,IF(AV25&gt;0.005,$C$13,IF(BA25&gt;0.005,$C$14,""))))))))))</f>
        <v>信用卡B（分期）</v>
      </c>
    </row>
    <row r="26" customFormat="false" ht="15" hidden="false" customHeight="false" outlineLevel="0" collapsed="false">
      <c r="A26" s="24" t="n">
        <v>3</v>
      </c>
      <c r="B26" s="54" t="n">
        <f aca="false">EDATE($C$17,A26-1)</f>
        <v>46388</v>
      </c>
      <c r="C26" s="55" t="n">
        <f aca="false">G26+L26+Q26+V26+AA26+AF26+AK26+AP26+AU26+AZ26</f>
        <v>4822</v>
      </c>
      <c r="D26" s="55" t="n">
        <f aca="false">MAX(0,$C$16-C26)</f>
        <v>1000</v>
      </c>
      <c r="E26" s="55" t="n">
        <f aca="false">ROUND(MAX(0,E25+F25-I25),2)</f>
        <v>8094.96</v>
      </c>
      <c r="F26" s="55" t="n">
        <f aca="false">ROUND(E26*$E$5/12,2)</f>
        <v>87.7</v>
      </c>
      <c r="G26" s="55" t="n">
        <f aca="false">MIN($F$5,E26+F26)</f>
        <v>1072</v>
      </c>
      <c r="H26" s="55" t="n">
        <f aca="false">MAX(0,MIN(E26+F26-G26,$D26))</f>
        <v>1000</v>
      </c>
      <c r="I26" s="55" t="n">
        <f aca="false">G26+H26</f>
        <v>2072</v>
      </c>
      <c r="J26" s="55" t="n">
        <f aca="false">ROUND(MAX(0,J25+K25-N25),2)</f>
        <v>19000</v>
      </c>
      <c r="K26" s="55" t="n">
        <f aca="false">ROUND(J26*$E$6/12,2)</f>
        <v>0</v>
      </c>
      <c r="L26" s="55" t="n">
        <f aca="false">MIN($F$6,J26+K26)</f>
        <v>500</v>
      </c>
      <c r="M26" s="55" t="n">
        <f aca="false">MAX(0,MIN(J26+K26-L26,$D26-(H26)))</f>
        <v>0</v>
      </c>
      <c r="N26" s="55" t="n">
        <f aca="false">L26+M26</f>
        <v>500</v>
      </c>
      <c r="O26" s="55" t="n">
        <f aca="false">ROUND(MAX(0,O25+P25-S25),2)</f>
        <v>23283</v>
      </c>
      <c r="P26" s="55" t="n">
        <f aca="false">ROUND(O26*$E$7/12,2)</f>
        <v>465.66</v>
      </c>
      <c r="Q26" s="55" t="n">
        <f aca="false">MIN($F$7,O26+P26)</f>
        <v>1350</v>
      </c>
      <c r="R26" s="55" t="n">
        <f aca="false">MAX(0,MIN(O26+P26-Q26,$D26-(H26+M26)))</f>
        <v>0</v>
      </c>
      <c r="S26" s="55" t="n">
        <f aca="false">Q26+R26</f>
        <v>1350</v>
      </c>
      <c r="T26" s="55" t="n">
        <f aca="false">ROUND(MAX(0,T25+U25-X25),2)</f>
        <v>35320.05</v>
      </c>
      <c r="U26" s="55" t="n">
        <f aca="false">ROUND(T26*$E$8/12,2)</f>
        <v>529.8</v>
      </c>
      <c r="V26" s="55" t="n">
        <f aca="false">MIN($F$8,T26+U26)</f>
        <v>1900</v>
      </c>
      <c r="W26" s="55" t="n">
        <f aca="false">MAX(0,MIN(T26+U26-V26,$D26-(H26+M26+R26)))</f>
        <v>0</v>
      </c>
      <c r="X26" s="55" t="n">
        <f aca="false">V26+W26</f>
        <v>1900</v>
      </c>
      <c r="Y26" s="55" t="n">
        <f aca="false">ROUND(MAX(0,Y25+Z25-AC25),2)</f>
        <v>0</v>
      </c>
      <c r="Z26" s="55" t="n">
        <f aca="false">ROUND(Y26*$E$9/12,2)</f>
        <v>0</v>
      </c>
      <c r="AA26" s="55" t="n">
        <f aca="false">MIN($F$9,Y26+Z26)</f>
        <v>0</v>
      </c>
      <c r="AB26" s="55" t="n">
        <f aca="false">MAX(0,MIN(Y26+Z26-AA26,$D26-(H26+M26+R26+W26)))</f>
        <v>0</v>
      </c>
      <c r="AC26" s="55" t="n">
        <f aca="false">AA26+AB26</f>
        <v>0</v>
      </c>
      <c r="AD26" s="55" t="n">
        <f aca="false">ROUND(MAX(0,AD25+AE25-AH25),2)</f>
        <v>0</v>
      </c>
      <c r="AE26" s="55" t="n">
        <f aca="false">ROUND(AD26*$E$10/12,2)</f>
        <v>0</v>
      </c>
      <c r="AF26" s="55" t="n">
        <f aca="false">MIN($F$10,AD26+AE26)</f>
        <v>0</v>
      </c>
      <c r="AG26" s="55" t="n">
        <f aca="false">MAX(0,MIN(AD26+AE26-AF26,$D26-(H26+M26+R26+W26+AB26)))</f>
        <v>0</v>
      </c>
      <c r="AH26" s="55" t="n">
        <f aca="false">AF26+AG26</f>
        <v>0</v>
      </c>
      <c r="AI26" s="55" t="n">
        <f aca="false">ROUND(MAX(0,AI25+AJ25-AM25),2)</f>
        <v>0</v>
      </c>
      <c r="AJ26" s="55" t="n">
        <f aca="false">ROUND(AI26*$E$11/12,2)</f>
        <v>0</v>
      </c>
      <c r="AK26" s="55" t="n">
        <f aca="false">MIN($F$11,AI26+AJ26)</f>
        <v>0</v>
      </c>
      <c r="AL26" s="55" t="n">
        <f aca="false">MAX(0,MIN(AI26+AJ26-AK26,$D26-(H26+M26+R26+W26+AB26+AG26)))</f>
        <v>0</v>
      </c>
      <c r="AM26" s="55" t="n">
        <f aca="false">AK26+AL26</f>
        <v>0</v>
      </c>
      <c r="AN26" s="55" t="n">
        <f aca="false">ROUND(MAX(0,AN25+AO25-AR25),2)</f>
        <v>0</v>
      </c>
      <c r="AO26" s="55" t="n">
        <f aca="false">ROUND(AN26*$E$12/12,2)</f>
        <v>0</v>
      </c>
      <c r="AP26" s="55" t="n">
        <f aca="false">MIN($F$12,AN26+AO26)</f>
        <v>0</v>
      </c>
      <c r="AQ26" s="55" t="n">
        <f aca="false">MAX(0,MIN(AN26+AO26-AP26,$D26-(H26+M26+R26+W26+AB26+AG26+AL26)))</f>
        <v>0</v>
      </c>
      <c r="AR26" s="55" t="n">
        <f aca="false">AP26+AQ26</f>
        <v>0</v>
      </c>
      <c r="AS26" s="55" t="n">
        <f aca="false">ROUND(MAX(0,AS25+AT25-AW25),2)</f>
        <v>0</v>
      </c>
      <c r="AT26" s="55" t="n">
        <f aca="false">ROUND(AS26*$E$13/12,2)</f>
        <v>0</v>
      </c>
      <c r="AU26" s="55" t="n">
        <f aca="false">MIN($F$13,AS26+AT26)</f>
        <v>0</v>
      </c>
      <c r="AV26" s="55" t="n">
        <f aca="false">MAX(0,MIN(AS26+AT26-AU26,$D26-(H26+M26+R26+W26+AB26+AG26+AL26+AQ26)))</f>
        <v>0</v>
      </c>
      <c r="AW26" s="55" t="n">
        <f aca="false">AU26+AV26</f>
        <v>0</v>
      </c>
      <c r="AX26" s="55" t="n">
        <f aca="false">ROUND(MAX(0,AX25+AY25-BB25),2)</f>
        <v>0</v>
      </c>
      <c r="AY26" s="55" t="n">
        <f aca="false">ROUND(AX26*$E$14/12,2)</f>
        <v>0</v>
      </c>
      <c r="AZ26" s="55" t="n">
        <f aca="false">MIN($F$14,AX26+AY26)</f>
        <v>0</v>
      </c>
      <c r="BA26" s="55" t="n">
        <f aca="false">MAX(0,MIN(AX26+AY26-AZ26,$D26-(H26+M26+R26+W26+AB26+AG26+AL26+AQ26+AV26)))</f>
        <v>0</v>
      </c>
      <c r="BB26" s="55" t="n">
        <f aca="false">AZ26+BA26</f>
        <v>0</v>
      </c>
      <c r="BC26" s="55" t="n">
        <f aca="false">I26+N26+S26+X26+AC26+AH26+AM26+AR26+AW26+BB26</f>
        <v>5822</v>
      </c>
      <c r="BD26" s="55" t="n">
        <f aca="false">ROUND((E26+F26-I26)+(J26+K26-N26)+(O26+P26-S26)+(T26+U26-X26)+(Y26+Z26-AC26)+(AD26+AE26-AH26)+(AI26+AJ26-AM26)+(AN26+AO26-AR26)+(AS26+AT26-AW26)+(AX26+AY26-BB26),2)</f>
        <v>80959.17</v>
      </c>
      <c r="BE26" s="25" t="str">
        <f aca="false">IF(H26&gt;0.005,$C$5,IF(M26&gt;0.005,$C$6,IF(R26&gt;0.005,$C$7,IF(W26&gt;0.005,$C$8,IF(AB26&gt;0.005,$C$9,IF(AG26&gt;0.005,$C$10,IF(AL26&gt;0.005,$C$11,IF(AQ26&gt;0.005,$C$12,IF(AV26&gt;0.005,$C$13,IF(BA26&gt;0.005,$C$14,""))))))))))</f>
        <v>信用卡B（分期）</v>
      </c>
    </row>
    <row r="27" customFormat="false" ht="15" hidden="false" customHeight="false" outlineLevel="0" collapsed="false">
      <c r="A27" s="24" t="n">
        <v>4</v>
      </c>
      <c r="B27" s="54" t="n">
        <f aca="false">EDATE($C$17,A27-1)</f>
        <v>46419</v>
      </c>
      <c r="C27" s="55" t="n">
        <f aca="false">G27+L27+Q27+V27+AA27+AF27+AK27+AP27+AU27+AZ27</f>
        <v>4822</v>
      </c>
      <c r="D27" s="55" t="n">
        <f aca="false">MAX(0,$C$16-C27)</f>
        <v>1000</v>
      </c>
      <c r="E27" s="55" t="n">
        <f aca="false">ROUND(MAX(0,E26+F26-I26),2)</f>
        <v>6110.66</v>
      </c>
      <c r="F27" s="55" t="n">
        <f aca="false">ROUND(E27*$E$5/12,2)</f>
        <v>66.2</v>
      </c>
      <c r="G27" s="55" t="n">
        <f aca="false">MIN($F$5,E27+F27)</f>
        <v>1072</v>
      </c>
      <c r="H27" s="55" t="n">
        <f aca="false">MAX(0,MIN(E27+F27-G27,$D27))</f>
        <v>1000</v>
      </c>
      <c r="I27" s="55" t="n">
        <f aca="false">G27+H27</f>
        <v>2072</v>
      </c>
      <c r="J27" s="55" t="n">
        <f aca="false">ROUND(MAX(0,J26+K26-N26),2)</f>
        <v>18500</v>
      </c>
      <c r="K27" s="55" t="n">
        <f aca="false">ROUND(J27*$E$6/12,2)</f>
        <v>0</v>
      </c>
      <c r="L27" s="55" t="n">
        <f aca="false">MIN($F$6,J27+K27)</f>
        <v>500</v>
      </c>
      <c r="M27" s="55" t="n">
        <f aca="false">MAX(0,MIN(J27+K27-L27,$D27-(H27)))</f>
        <v>0</v>
      </c>
      <c r="N27" s="55" t="n">
        <f aca="false">L27+M27</f>
        <v>500</v>
      </c>
      <c r="O27" s="55" t="n">
        <f aca="false">ROUND(MAX(0,O26+P26-S26),2)</f>
        <v>22398.66</v>
      </c>
      <c r="P27" s="55" t="n">
        <f aca="false">ROUND(O27*$E$7/12,2)</f>
        <v>447.97</v>
      </c>
      <c r="Q27" s="55" t="n">
        <f aca="false">MIN($F$7,O27+P27)</f>
        <v>1350</v>
      </c>
      <c r="R27" s="55" t="n">
        <f aca="false">MAX(0,MIN(O27+P27-Q27,$D27-(H27+M27)))</f>
        <v>0</v>
      </c>
      <c r="S27" s="55" t="n">
        <f aca="false">Q27+R27</f>
        <v>1350</v>
      </c>
      <c r="T27" s="55" t="n">
        <f aca="false">ROUND(MAX(0,T26+U26-X26),2)</f>
        <v>33949.85</v>
      </c>
      <c r="U27" s="55" t="n">
        <f aca="false">ROUND(T27*$E$8/12,2)</f>
        <v>509.25</v>
      </c>
      <c r="V27" s="55" t="n">
        <f aca="false">MIN($F$8,T27+U27)</f>
        <v>1900</v>
      </c>
      <c r="W27" s="55" t="n">
        <f aca="false">MAX(0,MIN(T27+U27-V27,$D27-(H27+M27+R27)))</f>
        <v>0</v>
      </c>
      <c r="X27" s="55" t="n">
        <f aca="false">V27+W27</f>
        <v>1900</v>
      </c>
      <c r="Y27" s="55" t="n">
        <f aca="false">ROUND(MAX(0,Y26+Z26-AC26),2)</f>
        <v>0</v>
      </c>
      <c r="Z27" s="55" t="n">
        <f aca="false">ROUND(Y27*$E$9/12,2)</f>
        <v>0</v>
      </c>
      <c r="AA27" s="55" t="n">
        <f aca="false">MIN($F$9,Y27+Z27)</f>
        <v>0</v>
      </c>
      <c r="AB27" s="55" t="n">
        <f aca="false">MAX(0,MIN(Y27+Z27-AA27,$D27-(H27+M27+R27+W27)))</f>
        <v>0</v>
      </c>
      <c r="AC27" s="55" t="n">
        <f aca="false">AA27+AB27</f>
        <v>0</v>
      </c>
      <c r="AD27" s="55" t="n">
        <f aca="false">ROUND(MAX(0,AD26+AE26-AH26),2)</f>
        <v>0</v>
      </c>
      <c r="AE27" s="55" t="n">
        <f aca="false">ROUND(AD27*$E$10/12,2)</f>
        <v>0</v>
      </c>
      <c r="AF27" s="55" t="n">
        <f aca="false">MIN($F$10,AD27+AE27)</f>
        <v>0</v>
      </c>
      <c r="AG27" s="55" t="n">
        <f aca="false">MAX(0,MIN(AD27+AE27-AF27,$D27-(H27+M27+R27+W27+AB27)))</f>
        <v>0</v>
      </c>
      <c r="AH27" s="55" t="n">
        <f aca="false">AF27+AG27</f>
        <v>0</v>
      </c>
      <c r="AI27" s="55" t="n">
        <f aca="false">ROUND(MAX(0,AI26+AJ26-AM26),2)</f>
        <v>0</v>
      </c>
      <c r="AJ27" s="55" t="n">
        <f aca="false">ROUND(AI27*$E$11/12,2)</f>
        <v>0</v>
      </c>
      <c r="AK27" s="55" t="n">
        <f aca="false">MIN($F$11,AI27+AJ27)</f>
        <v>0</v>
      </c>
      <c r="AL27" s="55" t="n">
        <f aca="false">MAX(0,MIN(AI27+AJ27-AK27,$D27-(H27+M27+R27+W27+AB27+AG27)))</f>
        <v>0</v>
      </c>
      <c r="AM27" s="55" t="n">
        <f aca="false">AK27+AL27</f>
        <v>0</v>
      </c>
      <c r="AN27" s="55" t="n">
        <f aca="false">ROUND(MAX(0,AN26+AO26-AR26),2)</f>
        <v>0</v>
      </c>
      <c r="AO27" s="55" t="n">
        <f aca="false">ROUND(AN27*$E$12/12,2)</f>
        <v>0</v>
      </c>
      <c r="AP27" s="55" t="n">
        <f aca="false">MIN($F$12,AN27+AO27)</f>
        <v>0</v>
      </c>
      <c r="AQ27" s="55" t="n">
        <f aca="false">MAX(0,MIN(AN27+AO27-AP27,$D27-(H27+M27+R27+W27+AB27+AG27+AL27)))</f>
        <v>0</v>
      </c>
      <c r="AR27" s="55" t="n">
        <f aca="false">AP27+AQ27</f>
        <v>0</v>
      </c>
      <c r="AS27" s="55" t="n">
        <f aca="false">ROUND(MAX(0,AS26+AT26-AW26),2)</f>
        <v>0</v>
      </c>
      <c r="AT27" s="55" t="n">
        <f aca="false">ROUND(AS27*$E$13/12,2)</f>
        <v>0</v>
      </c>
      <c r="AU27" s="55" t="n">
        <f aca="false">MIN($F$13,AS27+AT27)</f>
        <v>0</v>
      </c>
      <c r="AV27" s="55" t="n">
        <f aca="false">MAX(0,MIN(AS27+AT27-AU27,$D27-(H27+M27+R27+W27+AB27+AG27+AL27+AQ27)))</f>
        <v>0</v>
      </c>
      <c r="AW27" s="55" t="n">
        <f aca="false">AU27+AV27</f>
        <v>0</v>
      </c>
      <c r="AX27" s="55" t="n">
        <f aca="false">ROUND(MAX(0,AX26+AY26-BB26),2)</f>
        <v>0</v>
      </c>
      <c r="AY27" s="55" t="n">
        <f aca="false">ROUND(AX27*$E$14/12,2)</f>
        <v>0</v>
      </c>
      <c r="AZ27" s="55" t="n">
        <f aca="false">MIN($F$14,AX27+AY27)</f>
        <v>0</v>
      </c>
      <c r="BA27" s="55" t="n">
        <f aca="false">MAX(0,MIN(AX27+AY27-AZ27,$D27-(H27+M27+R27+W27+AB27+AG27+AL27+AQ27+AV27)))</f>
        <v>0</v>
      </c>
      <c r="BB27" s="55" t="n">
        <f aca="false">AZ27+BA27</f>
        <v>0</v>
      </c>
      <c r="BC27" s="55" t="n">
        <f aca="false">I27+N27+S27+X27+AC27+AH27+AM27+AR27+AW27+BB27</f>
        <v>5822</v>
      </c>
      <c r="BD27" s="55" t="n">
        <f aca="false">ROUND((E27+F27-I27)+(J27+K27-N27)+(O27+P27-S27)+(T27+U27-X27)+(Y27+Z27-AC27)+(AD27+AE27-AH27)+(AI27+AJ27-AM27)+(AN27+AO27-AR27)+(AS27+AT27-AW27)+(AX27+AY27-BB27),2)</f>
        <v>76160.59</v>
      </c>
      <c r="BE27" s="25" t="str">
        <f aca="false">IF(H27&gt;0.005,$C$5,IF(M27&gt;0.005,$C$6,IF(R27&gt;0.005,$C$7,IF(W27&gt;0.005,$C$8,IF(AB27&gt;0.005,$C$9,IF(AG27&gt;0.005,$C$10,IF(AL27&gt;0.005,$C$11,IF(AQ27&gt;0.005,$C$12,IF(AV27&gt;0.005,$C$13,IF(BA27&gt;0.005,$C$14,""))))))))))</f>
        <v>信用卡B（分期）</v>
      </c>
    </row>
    <row r="28" customFormat="false" ht="15" hidden="false" customHeight="false" outlineLevel="0" collapsed="false">
      <c r="A28" s="24" t="n">
        <v>5</v>
      </c>
      <c r="B28" s="54" t="n">
        <f aca="false">EDATE($C$17,A28-1)</f>
        <v>46447</v>
      </c>
      <c r="C28" s="55" t="n">
        <f aca="false">G28+L28+Q28+V28+AA28+AF28+AK28+AP28+AU28+AZ28</f>
        <v>4822</v>
      </c>
      <c r="D28" s="55" t="n">
        <f aca="false">MAX(0,$C$16-C28)</f>
        <v>1000</v>
      </c>
      <c r="E28" s="55" t="n">
        <f aca="false">ROUND(MAX(0,E27+F27-I27),2)</f>
        <v>4104.86</v>
      </c>
      <c r="F28" s="55" t="n">
        <f aca="false">ROUND(E28*$E$5/12,2)</f>
        <v>44.47</v>
      </c>
      <c r="G28" s="55" t="n">
        <f aca="false">MIN($F$5,E28+F28)</f>
        <v>1072</v>
      </c>
      <c r="H28" s="55" t="n">
        <f aca="false">MAX(0,MIN(E28+F28-G28,$D28))</f>
        <v>1000</v>
      </c>
      <c r="I28" s="55" t="n">
        <f aca="false">G28+H28</f>
        <v>2072</v>
      </c>
      <c r="J28" s="55" t="n">
        <f aca="false">ROUND(MAX(0,J27+K27-N27),2)</f>
        <v>18000</v>
      </c>
      <c r="K28" s="55" t="n">
        <f aca="false">ROUND(J28*$E$6/12,2)</f>
        <v>0</v>
      </c>
      <c r="L28" s="55" t="n">
        <f aca="false">MIN($F$6,J28+K28)</f>
        <v>500</v>
      </c>
      <c r="M28" s="55" t="n">
        <f aca="false">MAX(0,MIN(J28+K28-L28,$D28-(H28)))</f>
        <v>0</v>
      </c>
      <c r="N28" s="55" t="n">
        <f aca="false">L28+M28</f>
        <v>500</v>
      </c>
      <c r="O28" s="55" t="n">
        <f aca="false">ROUND(MAX(0,O27+P27-S27),2)</f>
        <v>21496.63</v>
      </c>
      <c r="P28" s="55" t="n">
        <f aca="false">ROUND(O28*$E$7/12,2)</f>
        <v>429.93</v>
      </c>
      <c r="Q28" s="55" t="n">
        <f aca="false">MIN($F$7,O28+P28)</f>
        <v>1350</v>
      </c>
      <c r="R28" s="55" t="n">
        <f aca="false">MAX(0,MIN(O28+P28-Q28,$D28-(H28+M28)))</f>
        <v>0</v>
      </c>
      <c r="S28" s="55" t="n">
        <f aca="false">Q28+R28</f>
        <v>1350</v>
      </c>
      <c r="T28" s="55" t="n">
        <f aca="false">ROUND(MAX(0,T27+U27-X27),2)</f>
        <v>32559.1</v>
      </c>
      <c r="U28" s="55" t="n">
        <f aca="false">ROUND(T28*$E$8/12,2)</f>
        <v>488.39</v>
      </c>
      <c r="V28" s="55" t="n">
        <f aca="false">MIN($F$8,T28+U28)</f>
        <v>1900</v>
      </c>
      <c r="W28" s="55" t="n">
        <f aca="false">MAX(0,MIN(T28+U28-V28,$D28-(H28+M28+R28)))</f>
        <v>0</v>
      </c>
      <c r="X28" s="55" t="n">
        <f aca="false">V28+W28</f>
        <v>1900</v>
      </c>
      <c r="Y28" s="55" t="n">
        <f aca="false">ROUND(MAX(0,Y27+Z27-AC27),2)</f>
        <v>0</v>
      </c>
      <c r="Z28" s="55" t="n">
        <f aca="false">ROUND(Y28*$E$9/12,2)</f>
        <v>0</v>
      </c>
      <c r="AA28" s="55" t="n">
        <f aca="false">MIN($F$9,Y28+Z28)</f>
        <v>0</v>
      </c>
      <c r="AB28" s="55" t="n">
        <f aca="false">MAX(0,MIN(Y28+Z28-AA28,$D28-(H28+M28+R28+W28)))</f>
        <v>0</v>
      </c>
      <c r="AC28" s="55" t="n">
        <f aca="false">AA28+AB28</f>
        <v>0</v>
      </c>
      <c r="AD28" s="55" t="n">
        <f aca="false">ROUND(MAX(0,AD27+AE27-AH27),2)</f>
        <v>0</v>
      </c>
      <c r="AE28" s="55" t="n">
        <f aca="false">ROUND(AD28*$E$10/12,2)</f>
        <v>0</v>
      </c>
      <c r="AF28" s="55" t="n">
        <f aca="false">MIN($F$10,AD28+AE28)</f>
        <v>0</v>
      </c>
      <c r="AG28" s="55" t="n">
        <f aca="false">MAX(0,MIN(AD28+AE28-AF28,$D28-(H28+M28+R28+W28+AB28)))</f>
        <v>0</v>
      </c>
      <c r="AH28" s="55" t="n">
        <f aca="false">AF28+AG28</f>
        <v>0</v>
      </c>
      <c r="AI28" s="55" t="n">
        <f aca="false">ROUND(MAX(0,AI27+AJ27-AM27),2)</f>
        <v>0</v>
      </c>
      <c r="AJ28" s="55" t="n">
        <f aca="false">ROUND(AI28*$E$11/12,2)</f>
        <v>0</v>
      </c>
      <c r="AK28" s="55" t="n">
        <f aca="false">MIN($F$11,AI28+AJ28)</f>
        <v>0</v>
      </c>
      <c r="AL28" s="55" t="n">
        <f aca="false">MAX(0,MIN(AI28+AJ28-AK28,$D28-(H28+M28+R28+W28+AB28+AG28)))</f>
        <v>0</v>
      </c>
      <c r="AM28" s="55" t="n">
        <f aca="false">AK28+AL28</f>
        <v>0</v>
      </c>
      <c r="AN28" s="55" t="n">
        <f aca="false">ROUND(MAX(0,AN27+AO27-AR27),2)</f>
        <v>0</v>
      </c>
      <c r="AO28" s="55" t="n">
        <f aca="false">ROUND(AN28*$E$12/12,2)</f>
        <v>0</v>
      </c>
      <c r="AP28" s="55" t="n">
        <f aca="false">MIN($F$12,AN28+AO28)</f>
        <v>0</v>
      </c>
      <c r="AQ28" s="55" t="n">
        <f aca="false">MAX(0,MIN(AN28+AO28-AP28,$D28-(H28+M28+R28+W28+AB28+AG28+AL28)))</f>
        <v>0</v>
      </c>
      <c r="AR28" s="55" t="n">
        <f aca="false">AP28+AQ28</f>
        <v>0</v>
      </c>
      <c r="AS28" s="55" t="n">
        <f aca="false">ROUND(MAX(0,AS27+AT27-AW27),2)</f>
        <v>0</v>
      </c>
      <c r="AT28" s="55" t="n">
        <f aca="false">ROUND(AS28*$E$13/12,2)</f>
        <v>0</v>
      </c>
      <c r="AU28" s="55" t="n">
        <f aca="false">MIN($F$13,AS28+AT28)</f>
        <v>0</v>
      </c>
      <c r="AV28" s="55" t="n">
        <f aca="false">MAX(0,MIN(AS28+AT28-AU28,$D28-(H28+M28+R28+W28+AB28+AG28+AL28+AQ28)))</f>
        <v>0</v>
      </c>
      <c r="AW28" s="55" t="n">
        <f aca="false">AU28+AV28</f>
        <v>0</v>
      </c>
      <c r="AX28" s="55" t="n">
        <f aca="false">ROUND(MAX(0,AX27+AY27-BB27),2)</f>
        <v>0</v>
      </c>
      <c r="AY28" s="55" t="n">
        <f aca="false">ROUND(AX28*$E$14/12,2)</f>
        <v>0</v>
      </c>
      <c r="AZ28" s="55" t="n">
        <f aca="false">MIN($F$14,AX28+AY28)</f>
        <v>0</v>
      </c>
      <c r="BA28" s="55" t="n">
        <f aca="false">MAX(0,MIN(AX28+AY28-AZ28,$D28-(H28+M28+R28+W28+AB28+AG28+AL28+AQ28+AV28)))</f>
        <v>0</v>
      </c>
      <c r="BB28" s="55" t="n">
        <f aca="false">AZ28+BA28</f>
        <v>0</v>
      </c>
      <c r="BC28" s="55" t="n">
        <f aca="false">I28+N28+S28+X28+AC28+AH28+AM28+AR28+AW28+BB28</f>
        <v>5822</v>
      </c>
      <c r="BD28" s="55" t="n">
        <f aca="false">ROUND((E28+F28-I28)+(J28+K28-N28)+(O28+P28-S28)+(T28+U28-X28)+(Y28+Z28-AC28)+(AD28+AE28-AH28)+(AI28+AJ28-AM28)+(AN28+AO28-AR28)+(AS28+AT28-AW28)+(AX28+AY28-BB28),2)</f>
        <v>71301.38</v>
      </c>
      <c r="BE28" s="25" t="str">
        <f aca="false">IF(H28&gt;0.005,$C$5,IF(M28&gt;0.005,$C$6,IF(R28&gt;0.005,$C$7,IF(W28&gt;0.005,$C$8,IF(AB28&gt;0.005,$C$9,IF(AG28&gt;0.005,$C$10,IF(AL28&gt;0.005,$C$11,IF(AQ28&gt;0.005,$C$12,IF(AV28&gt;0.005,$C$13,IF(BA28&gt;0.005,$C$14,""))))))))))</f>
        <v>信用卡B（分期）</v>
      </c>
    </row>
    <row r="29" customFormat="false" ht="15" hidden="false" customHeight="false" outlineLevel="0" collapsed="false">
      <c r="A29" s="24" t="n">
        <v>6</v>
      </c>
      <c r="B29" s="54" t="n">
        <f aca="false">EDATE($C$17,A29-1)</f>
        <v>46478</v>
      </c>
      <c r="C29" s="55" t="n">
        <f aca="false">G29+L29+Q29+V29+AA29+AF29+AK29+AP29+AU29+AZ29</f>
        <v>4822</v>
      </c>
      <c r="D29" s="55" t="n">
        <f aca="false">MAX(0,$C$16-C29)</f>
        <v>1000</v>
      </c>
      <c r="E29" s="55" t="n">
        <f aca="false">ROUND(MAX(0,E28+F28-I28),2)</f>
        <v>2077.33</v>
      </c>
      <c r="F29" s="55" t="n">
        <f aca="false">ROUND(E29*$E$5/12,2)</f>
        <v>22.5</v>
      </c>
      <c r="G29" s="55" t="n">
        <f aca="false">MIN($F$5,E29+F29)</f>
        <v>1072</v>
      </c>
      <c r="H29" s="55" t="n">
        <f aca="false">MAX(0,MIN(E29+F29-G29,$D29))</f>
        <v>1000</v>
      </c>
      <c r="I29" s="55" t="n">
        <f aca="false">G29+H29</f>
        <v>2072</v>
      </c>
      <c r="J29" s="55" t="n">
        <f aca="false">ROUND(MAX(0,J28+K28-N28),2)</f>
        <v>17500</v>
      </c>
      <c r="K29" s="55" t="n">
        <f aca="false">ROUND(J29*$E$6/12,2)</f>
        <v>0</v>
      </c>
      <c r="L29" s="55" t="n">
        <f aca="false">MIN($F$6,J29+K29)</f>
        <v>500</v>
      </c>
      <c r="M29" s="55" t="n">
        <f aca="false">MAX(0,MIN(J29+K29-L29,$D29-(H29)))</f>
        <v>0</v>
      </c>
      <c r="N29" s="55" t="n">
        <f aca="false">L29+M29</f>
        <v>500</v>
      </c>
      <c r="O29" s="55" t="n">
        <f aca="false">ROUND(MAX(0,O28+P28-S28),2)</f>
        <v>20576.56</v>
      </c>
      <c r="P29" s="55" t="n">
        <f aca="false">ROUND(O29*$E$7/12,2)</f>
        <v>411.53</v>
      </c>
      <c r="Q29" s="55" t="n">
        <f aca="false">MIN($F$7,O29+P29)</f>
        <v>1350</v>
      </c>
      <c r="R29" s="55" t="n">
        <f aca="false">MAX(0,MIN(O29+P29-Q29,$D29-(H29+M29)))</f>
        <v>0</v>
      </c>
      <c r="S29" s="55" t="n">
        <f aca="false">Q29+R29</f>
        <v>1350</v>
      </c>
      <c r="T29" s="55" t="n">
        <f aca="false">ROUND(MAX(0,T28+U28-X28),2)</f>
        <v>31147.49</v>
      </c>
      <c r="U29" s="55" t="n">
        <f aca="false">ROUND(T29*$E$8/12,2)</f>
        <v>467.21</v>
      </c>
      <c r="V29" s="55" t="n">
        <f aca="false">MIN($F$8,T29+U29)</f>
        <v>1900</v>
      </c>
      <c r="W29" s="55" t="n">
        <f aca="false">MAX(0,MIN(T29+U29-V29,$D29-(H29+M29+R29)))</f>
        <v>0</v>
      </c>
      <c r="X29" s="55" t="n">
        <f aca="false">V29+W29</f>
        <v>1900</v>
      </c>
      <c r="Y29" s="55" t="n">
        <f aca="false">ROUND(MAX(0,Y28+Z28-AC28),2)</f>
        <v>0</v>
      </c>
      <c r="Z29" s="55" t="n">
        <f aca="false">ROUND(Y29*$E$9/12,2)</f>
        <v>0</v>
      </c>
      <c r="AA29" s="55" t="n">
        <f aca="false">MIN($F$9,Y29+Z29)</f>
        <v>0</v>
      </c>
      <c r="AB29" s="55" t="n">
        <f aca="false">MAX(0,MIN(Y29+Z29-AA29,$D29-(H29+M29+R29+W29)))</f>
        <v>0</v>
      </c>
      <c r="AC29" s="55" t="n">
        <f aca="false">AA29+AB29</f>
        <v>0</v>
      </c>
      <c r="AD29" s="55" t="n">
        <f aca="false">ROUND(MAX(0,AD28+AE28-AH28),2)</f>
        <v>0</v>
      </c>
      <c r="AE29" s="55" t="n">
        <f aca="false">ROUND(AD29*$E$10/12,2)</f>
        <v>0</v>
      </c>
      <c r="AF29" s="55" t="n">
        <f aca="false">MIN($F$10,AD29+AE29)</f>
        <v>0</v>
      </c>
      <c r="AG29" s="55" t="n">
        <f aca="false">MAX(0,MIN(AD29+AE29-AF29,$D29-(H29+M29+R29+W29+AB29)))</f>
        <v>0</v>
      </c>
      <c r="AH29" s="55" t="n">
        <f aca="false">AF29+AG29</f>
        <v>0</v>
      </c>
      <c r="AI29" s="55" t="n">
        <f aca="false">ROUND(MAX(0,AI28+AJ28-AM28),2)</f>
        <v>0</v>
      </c>
      <c r="AJ29" s="55" t="n">
        <f aca="false">ROUND(AI29*$E$11/12,2)</f>
        <v>0</v>
      </c>
      <c r="AK29" s="55" t="n">
        <f aca="false">MIN($F$11,AI29+AJ29)</f>
        <v>0</v>
      </c>
      <c r="AL29" s="55" t="n">
        <f aca="false">MAX(0,MIN(AI29+AJ29-AK29,$D29-(H29+M29+R29+W29+AB29+AG29)))</f>
        <v>0</v>
      </c>
      <c r="AM29" s="55" t="n">
        <f aca="false">AK29+AL29</f>
        <v>0</v>
      </c>
      <c r="AN29" s="55" t="n">
        <f aca="false">ROUND(MAX(0,AN28+AO28-AR28),2)</f>
        <v>0</v>
      </c>
      <c r="AO29" s="55" t="n">
        <f aca="false">ROUND(AN29*$E$12/12,2)</f>
        <v>0</v>
      </c>
      <c r="AP29" s="55" t="n">
        <f aca="false">MIN($F$12,AN29+AO29)</f>
        <v>0</v>
      </c>
      <c r="AQ29" s="55" t="n">
        <f aca="false">MAX(0,MIN(AN29+AO29-AP29,$D29-(H29+M29+R29+W29+AB29+AG29+AL29)))</f>
        <v>0</v>
      </c>
      <c r="AR29" s="55" t="n">
        <f aca="false">AP29+AQ29</f>
        <v>0</v>
      </c>
      <c r="AS29" s="55" t="n">
        <f aca="false">ROUND(MAX(0,AS28+AT28-AW28),2)</f>
        <v>0</v>
      </c>
      <c r="AT29" s="55" t="n">
        <f aca="false">ROUND(AS29*$E$13/12,2)</f>
        <v>0</v>
      </c>
      <c r="AU29" s="55" t="n">
        <f aca="false">MIN($F$13,AS29+AT29)</f>
        <v>0</v>
      </c>
      <c r="AV29" s="55" t="n">
        <f aca="false">MAX(0,MIN(AS29+AT29-AU29,$D29-(H29+M29+R29+W29+AB29+AG29+AL29+AQ29)))</f>
        <v>0</v>
      </c>
      <c r="AW29" s="55" t="n">
        <f aca="false">AU29+AV29</f>
        <v>0</v>
      </c>
      <c r="AX29" s="55" t="n">
        <f aca="false">ROUND(MAX(0,AX28+AY28-BB28),2)</f>
        <v>0</v>
      </c>
      <c r="AY29" s="55" t="n">
        <f aca="false">ROUND(AX29*$E$14/12,2)</f>
        <v>0</v>
      </c>
      <c r="AZ29" s="55" t="n">
        <f aca="false">MIN($F$14,AX29+AY29)</f>
        <v>0</v>
      </c>
      <c r="BA29" s="55" t="n">
        <f aca="false">MAX(0,MIN(AX29+AY29-AZ29,$D29-(H29+M29+R29+W29+AB29+AG29+AL29+AQ29+AV29)))</f>
        <v>0</v>
      </c>
      <c r="BB29" s="55" t="n">
        <f aca="false">AZ29+BA29</f>
        <v>0</v>
      </c>
      <c r="BC29" s="55" t="n">
        <f aca="false">I29+N29+S29+X29+AC29+AH29+AM29+AR29+AW29+BB29</f>
        <v>5822</v>
      </c>
      <c r="BD29" s="55" t="n">
        <f aca="false">ROUND((E29+F29-I29)+(J29+K29-N29)+(O29+P29-S29)+(T29+U29-X29)+(Y29+Z29-AC29)+(AD29+AE29-AH29)+(AI29+AJ29-AM29)+(AN29+AO29-AR29)+(AS29+AT29-AW29)+(AX29+AY29-BB29),2)</f>
        <v>66380.62</v>
      </c>
      <c r="BE29" s="25" t="str">
        <f aca="false">IF(H29&gt;0.005,$C$5,IF(M29&gt;0.005,$C$6,IF(R29&gt;0.005,$C$7,IF(W29&gt;0.005,$C$8,IF(AB29&gt;0.005,$C$9,IF(AG29&gt;0.005,$C$10,IF(AL29&gt;0.005,$C$11,IF(AQ29&gt;0.005,$C$12,IF(AV29&gt;0.005,$C$13,IF(BA29&gt;0.005,$C$14,""))))))))))</f>
        <v>信用卡B（分期）</v>
      </c>
    </row>
    <row r="30" customFormat="false" ht="15" hidden="false" customHeight="false" outlineLevel="0" collapsed="false">
      <c r="A30" s="24" t="n">
        <v>7</v>
      </c>
      <c r="B30" s="54" t="n">
        <f aca="false">EDATE($C$17,A30-1)</f>
        <v>46508</v>
      </c>
      <c r="C30" s="55" t="n">
        <f aca="false">G30+L30+Q30+V30+AA30+AF30+AK30+AP30+AU30+AZ30</f>
        <v>3778.13</v>
      </c>
      <c r="D30" s="55" t="n">
        <f aca="false">MAX(0,$C$16-C30)</f>
        <v>2043.87</v>
      </c>
      <c r="E30" s="55" t="n">
        <f aca="false">ROUND(MAX(0,E29+F29-I29),2)</f>
        <v>27.83</v>
      </c>
      <c r="F30" s="55" t="n">
        <f aca="false">ROUND(E30*$E$5/12,2)</f>
        <v>0.3</v>
      </c>
      <c r="G30" s="55" t="n">
        <f aca="false">MIN($F$5,E30+F30)</f>
        <v>28.13</v>
      </c>
      <c r="H30" s="55" t="n">
        <f aca="false">MAX(0,MIN(E30+F30-G30,$D30))</f>
        <v>0</v>
      </c>
      <c r="I30" s="55" t="n">
        <f aca="false">G30+H30</f>
        <v>28.13</v>
      </c>
      <c r="J30" s="55" t="n">
        <f aca="false">ROUND(MAX(0,J29+K29-N29),2)</f>
        <v>17000</v>
      </c>
      <c r="K30" s="55" t="n">
        <f aca="false">ROUND(J30*$E$6/12,2)</f>
        <v>0</v>
      </c>
      <c r="L30" s="55" t="n">
        <f aca="false">MIN($F$6,J30+K30)</f>
        <v>500</v>
      </c>
      <c r="M30" s="55" t="n">
        <f aca="false">MAX(0,MIN(J30+K30-L30,$D30-(H30)))</f>
        <v>2043.87</v>
      </c>
      <c r="N30" s="55" t="n">
        <f aca="false">L30+M30</f>
        <v>2543.87</v>
      </c>
      <c r="O30" s="55" t="n">
        <f aca="false">ROUND(MAX(0,O29+P29-S29),2)</f>
        <v>19638.09</v>
      </c>
      <c r="P30" s="55" t="n">
        <f aca="false">ROUND(O30*$E$7/12,2)</f>
        <v>392.76</v>
      </c>
      <c r="Q30" s="55" t="n">
        <f aca="false">MIN($F$7,O30+P30)</f>
        <v>1350</v>
      </c>
      <c r="R30" s="55" t="n">
        <f aca="false">MAX(0,MIN(O30+P30-Q30,$D30-(H30+M30)))</f>
        <v>0</v>
      </c>
      <c r="S30" s="55" t="n">
        <f aca="false">Q30+R30</f>
        <v>1350</v>
      </c>
      <c r="T30" s="55" t="n">
        <f aca="false">ROUND(MAX(0,T29+U29-X29),2)</f>
        <v>29714.7</v>
      </c>
      <c r="U30" s="55" t="n">
        <f aca="false">ROUND(T30*$E$8/12,2)</f>
        <v>445.72</v>
      </c>
      <c r="V30" s="55" t="n">
        <f aca="false">MIN($F$8,T30+U30)</f>
        <v>1900</v>
      </c>
      <c r="W30" s="55" t="n">
        <f aca="false">MAX(0,MIN(T30+U30-V30,$D30-(H30+M30+R30)))</f>
        <v>0</v>
      </c>
      <c r="X30" s="55" t="n">
        <f aca="false">V30+W30</f>
        <v>1900</v>
      </c>
      <c r="Y30" s="55" t="n">
        <f aca="false">ROUND(MAX(0,Y29+Z29-AC29),2)</f>
        <v>0</v>
      </c>
      <c r="Z30" s="55" t="n">
        <f aca="false">ROUND(Y30*$E$9/12,2)</f>
        <v>0</v>
      </c>
      <c r="AA30" s="55" t="n">
        <f aca="false">MIN($F$9,Y30+Z30)</f>
        <v>0</v>
      </c>
      <c r="AB30" s="55" t="n">
        <f aca="false">MAX(0,MIN(Y30+Z30-AA30,$D30-(H30+M30+R30+W30)))</f>
        <v>0</v>
      </c>
      <c r="AC30" s="55" t="n">
        <f aca="false">AA30+AB30</f>
        <v>0</v>
      </c>
      <c r="AD30" s="55" t="n">
        <f aca="false">ROUND(MAX(0,AD29+AE29-AH29),2)</f>
        <v>0</v>
      </c>
      <c r="AE30" s="55" t="n">
        <f aca="false">ROUND(AD30*$E$10/12,2)</f>
        <v>0</v>
      </c>
      <c r="AF30" s="55" t="n">
        <f aca="false">MIN($F$10,AD30+AE30)</f>
        <v>0</v>
      </c>
      <c r="AG30" s="55" t="n">
        <f aca="false">MAX(0,MIN(AD30+AE30-AF30,$D30-(H30+M30+R30+W30+AB30)))</f>
        <v>0</v>
      </c>
      <c r="AH30" s="55" t="n">
        <f aca="false">AF30+AG30</f>
        <v>0</v>
      </c>
      <c r="AI30" s="55" t="n">
        <f aca="false">ROUND(MAX(0,AI29+AJ29-AM29),2)</f>
        <v>0</v>
      </c>
      <c r="AJ30" s="55" t="n">
        <f aca="false">ROUND(AI30*$E$11/12,2)</f>
        <v>0</v>
      </c>
      <c r="AK30" s="55" t="n">
        <f aca="false">MIN($F$11,AI30+AJ30)</f>
        <v>0</v>
      </c>
      <c r="AL30" s="55" t="n">
        <f aca="false">MAX(0,MIN(AI30+AJ30-AK30,$D30-(H30+M30+R30+W30+AB30+AG30)))</f>
        <v>0</v>
      </c>
      <c r="AM30" s="55" t="n">
        <f aca="false">AK30+AL30</f>
        <v>0</v>
      </c>
      <c r="AN30" s="55" t="n">
        <f aca="false">ROUND(MAX(0,AN29+AO29-AR29),2)</f>
        <v>0</v>
      </c>
      <c r="AO30" s="55" t="n">
        <f aca="false">ROUND(AN30*$E$12/12,2)</f>
        <v>0</v>
      </c>
      <c r="AP30" s="55" t="n">
        <f aca="false">MIN($F$12,AN30+AO30)</f>
        <v>0</v>
      </c>
      <c r="AQ30" s="55" t="n">
        <f aca="false">MAX(0,MIN(AN30+AO30-AP30,$D30-(H30+M30+R30+W30+AB30+AG30+AL30)))</f>
        <v>0</v>
      </c>
      <c r="AR30" s="55" t="n">
        <f aca="false">AP30+AQ30</f>
        <v>0</v>
      </c>
      <c r="AS30" s="55" t="n">
        <f aca="false">ROUND(MAX(0,AS29+AT29-AW29),2)</f>
        <v>0</v>
      </c>
      <c r="AT30" s="55" t="n">
        <f aca="false">ROUND(AS30*$E$13/12,2)</f>
        <v>0</v>
      </c>
      <c r="AU30" s="55" t="n">
        <f aca="false">MIN($F$13,AS30+AT30)</f>
        <v>0</v>
      </c>
      <c r="AV30" s="55" t="n">
        <f aca="false">MAX(0,MIN(AS30+AT30-AU30,$D30-(H30+M30+R30+W30+AB30+AG30+AL30+AQ30)))</f>
        <v>0</v>
      </c>
      <c r="AW30" s="55" t="n">
        <f aca="false">AU30+AV30</f>
        <v>0</v>
      </c>
      <c r="AX30" s="55" t="n">
        <f aca="false">ROUND(MAX(0,AX29+AY29-BB29),2)</f>
        <v>0</v>
      </c>
      <c r="AY30" s="55" t="n">
        <f aca="false">ROUND(AX30*$E$14/12,2)</f>
        <v>0</v>
      </c>
      <c r="AZ30" s="55" t="n">
        <f aca="false">MIN($F$14,AX30+AY30)</f>
        <v>0</v>
      </c>
      <c r="BA30" s="55" t="n">
        <f aca="false">MAX(0,MIN(AX30+AY30-AZ30,$D30-(H30+M30+R30+W30+AB30+AG30+AL30+AQ30+AV30)))</f>
        <v>0</v>
      </c>
      <c r="BB30" s="55" t="n">
        <f aca="false">AZ30+BA30</f>
        <v>0</v>
      </c>
      <c r="BC30" s="55" t="n">
        <f aca="false">I30+N30+S30+X30+AC30+AH30+AM30+AR30+AW30+BB30</f>
        <v>5822</v>
      </c>
      <c r="BD30" s="55" t="n">
        <f aca="false">ROUND((E30+F30-I30)+(J30+K30-N30)+(O30+P30-S30)+(T30+U30-X30)+(Y30+Z30-AC30)+(AD30+AE30-AH30)+(AI30+AJ30-AM30)+(AN30+AO30-AR30)+(AS30+AT30-AW30)+(AX30+AY30-BB30),2)</f>
        <v>61397.4</v>
      </c>
      <c r="BE30" s="25" t="str">
        <f aca="false">IF(H30&gt;0.005,$C$5,IF(M30&gt;0.005,$C$6,IF(R30&gt;0.005,$C$7,IF(W30&gt;0.005,$C$8,IF(AB30&gt;0.005,$C$9,IF(AG30&gt;0.005,$C$10,IF(AL30&gt;0.005,$C$11,IF(AQ30&gt;0.005,$C$12,IF(AV30&gt;0.005,$C$13,IF(BA30&gt;0.005,$C$14,""))))))))))</f>
        <v>亲友借款（老王）</v>
      </c>
    </row>
    <row r="31" customFormat="false" ht="15" hidden="false" customHeight="false" outlineLevel="0" collapsed="false">
      <c r="A31" s="24" t="n">
        <v>8</v>
      </c>
      <c r="B31" s="54" t="n">
        <f aca="false">EDATE($C$17,A31-1)</f>
        <v>46539</v>
      </c>
      <c r="C31" s="55" t="n">
        <f aca="false">G31+L31+Q31+V31+AA31+AF31+AK31+AP31+AU31+AZ31</f>
        <v>3750</v>
      </c>
      <c r="D31" s="55" t="n">
        <f aca="false">MAX(0,$C$16-C31)</f>
        <v>2072</v>
      </c>
      <c r="E31" s="55" t="n">
        <f aca="false">ROUND(MAX(0,E30+F30-I30),2)</f>
        <v>0</v>
      </c>
      <c r="F31" s="55" t="n">
        <f aca="false">ROUND(E31*$E$5/12,2)</f>
        <v>0</v>
      </c>
      <c r="G31" s="55" t="n">
        <f aca="false">MIN($F$5,E31+F31)</f>
        <v>0</v>
      </c>
      <c r="H31" s="55" t="n">
        <f aca="false">MAX(0,MIN(E31+F31-G31,$D31))</f>
        <v>0</v>
      </c>
      <c r="I31" s="55" t="n">
        <f aca="false">G31+H31</f>
        <v>0</v>
      </c>
      <c r="J31" s="55" t="n">
        <f aca="false">ROUND(MAX(0,J30+K30-N30),2)</f>
        <v>14456.13</v>
      </c>
      <c r="K31" s="55" t="n">
        <f aca="false">ROUND(J31*$E$6/12,2)</f>
        <v>0</v>
      </c>
      <c r="L31" s="55" t="n">
        <f aca="false">MIN($F$6,J31+K31)</f>
        <v>500</v>
      </c>
      <c r="M31" s="55" t="n">
        <f aca="false">MAX(0,MIN(J31+K31-L31,$D31-(H31)))</f>
        <v>2072</v>
      </c>
      <c r="N31" s="55" t="n">
        <f aca="false">L31+M31</f>
        <v>2572</v>
      </c>
      <c r="O31" s="55" t="n">
        <f aca="false">ROUND(MAX(0,O30+P30-S30),2)</f>
        <v>18680.85</v>
      </c>
      <c r="P31" s="55" t="n">
        <f aca="false">ROUND(O31*$E$7/12,2)</f>
        <v>373.62</v>
      </c>
      <c r="Q31" s="55" t="n">
        <f aca="false">MIN($F$7,O31+P31)</f>
        <v>1350</v>
      </c>
      <c r="R31" s="55" t="n">
        <f aca="false">MAX(0,MIN(O31+P31-Q31,$D31-(H31+M31)))</f>
        <v>0</v>
      </c>
      <c r="S31" s="55" t="n">
        <f aca="false">Q31+R31</f>
        <v>1350</v>
      </c>
      <c r="T31" s="55" t="n">
        <f aca="false">ROUND(MAX(0,T30+U30-X30),2)</f>
        <v>28260.42</v>
      </c>
      <c r="U31" s="55" t="n">
        <f aca="false">ROUND(T31*$E$8/12,2)</f>
        <v>423.91</v>
      </c>
      <c r="V31" s="55" t="n">
        <f aca="false">MIN($F$8,T31+U31)</f>
        <v>1900</v>
      </c>
      <c r="W31" s="55" t="n">
        <f aca="false">MAX(0,MIN(T31+U31-V31,$D31-(H31+M31+R31)))</f>
        <v>0</v>
      </c>
      <c r="X31" s="55" t="n">
        <f aca="false">V31+W31</f>
        <v>1900</v>
      </c>
      <c r="Y31" s="55" t="n">
        <f aca="false">ROUND(MAX(0,Y30+Z30-AC30),2)</f>
        <v>0</v>
      </c>
      <c r="Z31" s="55" t="n">
        <f aca="false">ROUND(Y31*$E$9/12,2)</f>
        <v>0</v>
      </c>
      <c r="AA31" s="55" t="n">
        <f aca="false">MIN($F$9,Y31+Z31)</f>
        <v>0</v>
      </c>
      <c r="AB31" s="55" t="n">
        <f aca="false">MAX(0,MIN(Y31+Z31-AA31,$D31-(H31+M31+R31+W31)))</f>
        <v>0</v>
      </c>
      <c r="AC31" s="55" t="n">
        <f aca="false">AA31+AB31</f>
        <v>0</v>
      </c>
      <c r="AD31" s="55" t="n">
        <f aca="false">ROUND(MAX(0,AD30+AE30-AH30),2)</f>
        <v>0</v>
      </c>
      <c r="AE31" s="55" t="n">
        <f aca="false">ROUND(AD31*$E$10/12,2)</f>
        <v>0</v>
      </c>
      <c r="AF31" s="55" t="n">
        <f aca="false">MIN($F$10,AD31+AE31)</f>
        <v>0</v>
      </c>
      <c r="AG31" s="55" t="n">
        <f aca="false">MAX(0,MIN(AD31+AE31-AF31,$D31-(H31+M31+R31+W31+AB31)))</f>
        <v>0</v>
      </c>
      <c r="AH31" s="55" t="n">
        <f aca="false">AF31+AG31</f>
        <v>0</v>
      </c>
      <c r="AI31" s="55" t="n">
        <f aca="false">ROUND(MAX(0,AI30+AJ30-AM30),2)</f>
        <v>0</v>
      </c>
      <c r="AJ31" s="55" t="n">
        <f aca="false">ROUND(AI31*$E$11/12,2)</f>
        <v>0</v>
      </c>
      <c r="AK31" s="55" t="n">
        <f aca="false">MIN($F$11,AI31+AJ31)</f>
        <v>0</v>
      </c>
      <c r="AL31" s="55" t="n">
        <f aca="false">MAX(0,MIN(AI31+AJ31-AK31,$D31-(H31+M31+R31+W31+AB31+AG31)))</f>
        <v>0</v>
      </c>
      <c r="AM31" s="55" t="n">
        <f aca="false">AK31+AL31</f>
        <v>0</v>
      </c>
      <c r="AN31" s="55" t="n">
        <f aca="false">ROUND(MAX(0,AN30+AO30-AR30),2)</f>
        <v>0</v>
      </c>
      <c r="AO31" s="55" t="n">
        <f aca="false">ROUND(AN31*$E$12/12,2)</f>
        <v>0</v>
      </c>
      <c r="AP31" s="55" t="n">
        <f aca="false">MIN($F$12,AN31+AO31)</f>
        <v>0</v>
      </c>
      <c r="AQ31" s="55" t="n">
        <f aca="false">MAX(0,MIN(AN31+AO31-AP31,$D31-(H31+M31+R31+W31+AB31+AG31+AL31)))</f>
        <v>0</v>
      </c>
      <c r="AR31" s="55" t="n">
        <f aca="false">AP31+AQ31</f>
        <v>0</v>
      </c>
      <c r="AS31" s="55" t="n">
        <f aca="false">ROUND(MAX(0,AS30+AT30-AW30),2)</f>
        <v>0</v>
      </c>
      <c r="AT31" s="55" t="n">
        <f aca="false">ROUND(AS31*$E$13/12,2)</f>
        <v>0</v>
      </c>
      <c r="AU31" s="55" t="n">
        <f aca="false">MIN($F$13,AS31+AT31)</f>
        <v>0</v>
      </c>
      <c r="AV31" s="55" t="n">
        <f aca="false">MAX(0,MIN(AS31+AT31-AU31,$D31-(H31+M31+R31+W31+AB31+AG31+AL31+AQ31)))</f>
        <v>0</v>
      </c>
      <c r="AW31" s="55" t="n">
        <f aca="false">AU31+AV31</f>
        <v>0</v>
      </c>
      <c r="AX31" s="55" t="n">
        <f aca="false">ROUND(MAX(0,AX30+AY30-BB30),2)</f>
        <v>0</v>
      </c>
      <c r="AY31" s="55" t="n">
        <f aca="false">ROUND(AX31*$E$14/12,2)</f>
        <v>0</v>
      </c>
      <c r="AZ31" s="55" t="n">
        <f aca="false">MIN($F$14,AX31+AY31)</f>
        <v>0</v>
      </c>
      <c r="BA31" s="55" t="n">
        <f aca="false">MAX(0,MIN(AX31+AY31-AZ31,$D31-(H31+M31+R31+W31+AB31+AG31+AL31+AQ31+AV31)))</f>
        <v>0</v>
      </c>
      <c r="BB31" s="55" t="n">
        <f aca="false">AZ31+BA31</f>
        <v>0</v>
      </c>
      <c r="BC31" s="55" t="n">
        <f aca="false">I31+N31+S31+X31+AC31+AH31+AM31+AR31+AW31+BB31</f>
        <v>5822</v>
      </c>
      <c r="BD31" s="55" t="n">
        <f aca="false">ROUND((E31+F31-I31)+(J31+K31-N31)+(O31+P31-S31)+(T31+U31-X31)+(Y31+Z31-AC31)+(AD31+AE31-AH31)+(AI31+AJ31-AM31)+(AN31+AO31-AR31)+(AS31+AT31-AW31)+(AX31+AY31-BB31),2)</f>
        <v>56372.93</v>
      </c>
      <c r="BE31" s="25" t="str">
        <f aca="false">IF(H31&gt;0.005,$C$5,IF(M31&gt;0.005,$C$6,IF(R31&gt;0.005,$C$7,IF(W31&gt;0.005,$C$8,IF(AB31&gt;0.005,$C$9,IF(AG31&gt;0.005,$C$10,IF(AL31&gt;0.005,$C$11,IF(AQ31&gt;0.005,$C$12,IF(AV31&gt;0.005,$C$13,IF(BA31&gt;0.005,$C$14,""))))))))))</f>
        <v>亲友借款（老王）</v>
      </c>
    </row>
    <row r="32" customFormat="false" ht="15" hidden="false" customHeight="false" outlineLevel="0" collapsed="false">
      <c r="A32" s="24" t="n">
        <v>9</v>
      </c>
      <c r="B32" s="54" t="n">
        <f aca="false">EDATE($C$17,A32-1)</f>
        <v>46569</v>
      </c>
      <c r="C32" s="55" t="n">
        <f aca="false">G32+L32+Q32+V32+AA32+AF32+AK32+AP32+AU32+AZ32</f>
        <v>3750</v>
      </c>
      <c r="D32" s="55" t="n">
        <f aca="false">MAX(0,$C$16-C32)</f>
        <v>2072</v>
      </c>
      <c r="E32" s="55" t="n">
        <f aca="false">ROUND(MAX(0,E31+F31-I31),2)</f>
        <v>0</v>
      </c>
      <c r="F32" s="55" t="n">
        <f aca="false">ROUND(E32*$E$5/12,2)</f>
        <v>0</v>
      </c>
      <c r="G32" s="55" t="n">
        <f aca="false">MIN($F$5,E32+F32)</f>
        <v>0</v>
      </c>
      <c r="H32" s="55" t="n">
        <f aca="false">MAX(0,MIN(E32+F32-G32,$D32))</f>
        <v>0</v>
      </c>
      <c r="I32" s="55" t="n">
        <f aca="false">G32+H32</f>
        <v>0</v>
      </c>
      <c r="J32" s="55" t="n">
        <f aca="false">ROUND(MAX(0,J31+K31-N31),2)</f>
        <v>11884.13</v>
      </c>
      <c r="K32" s="55" t="n">
        <f aca="false">ROUND(J32*$E$6/12,2)</f>
        <v>0</v>
      </c>
      <c r="L32" s="55" t="n">
        <f aca="false">MIN($F$6,J32+K32)</f>
        <v>500</v>
      </c>
      <c r="M32" s="55" t="n">
        <f aca="false">MAX(0,MIN(J32+K32-L32,$D32-(H32)))</f>
        <v>2072</v>
      </c>
      <c r="N32" s="55" t="n">
        <f aca="false">L32+M32</f>
        <v>2572</v>
      </c>
      <c r="O32" s="55" t="n">
        <f aca="false">ROUND(MAX(0,O31+P31-S31),2)</f>
        <v>17704.47</v>
      </c>
      <c r="P32" s="55" t="n">
        <f aca="false">ROUND(O32*$E$7/12,2)</f>
        <v>354.09</v>
      </c>
      <c r="Q32" s="55" t="n">
        <f aca="false">MIN($F$7,O32+P32)</f>
        <v>1350</v>
      </c>
      <c r="R32" s="55" t="n">
        <f aca="false">MAX(0,MIN(O32+P32-Q32,$D32-(H32+M32)))</f>
        <v>0</v>
      </c>
      <c r="S32" s="55" t="n">
        <f aca="false">Q32+R32</f>
        <v>1350</v>
      </c>
      <c r="T32" s="55" t="n">
        <f aca="false">ROUND(MAX(0,T31+U31-X31),2)</f>
        <v>26784.33</v>
      </c>
      <c r="U32" s="55" t="n">
        <f aca="false">ROUND(T32*$E$8/12,2)</f>
        <v>401.76</v>
      </c>
      <c r="V32" s="55" t="n">
        <f aca="false">MIN($F$8,T32+U32)</f>
        <v>1900</v>
      </c>
      <c r="W32" s="55" t="n">
        <f aca="false">MAX(0,MIN(T32+U32-V32,$D32-(H32+M32+R32)))</f>
        <v>0</v>
      </c>
      <c r="X32" s="55" t="n">
        <f aca="false">V32+W32</f>
        <v>1900</v>
      </c>
      <c r="Y32" s="55" t="n">
        <f aca="false">ROUND(MAX(0,Y31+Z31-AC31),2)</f>
        <v>0</v>
      </c>
      <c r="Z32" s="55" t="n">
        <f aca="false">ROUND(Y32*$E$9/12,2)</f>
        <v>0</v>
      </c>
      <c r="AA32" s="55" t="n">
        <f aca="false">MIN($F$9,Y32+Z32)</f>
        <v>0</v>
      </c>
      <c r="AB32" s="55" t="n">
        <f aca="false">MAX(0,MIN(Y32+Z32-AA32,$D32-(H32+M32+R32+W32)))</f>
        <v>0</v>
      </c>
      <c r="AC32" s="55" t="n">
        <f aca="false">AA32+AB32</f>
        <v>0</v>
      </c>
      <c r="AD32" s="55" t="n">
        <f aca="false">ROUND(MAX(0,AD31+AE31-AH31),2)</f>
        <v>0</v>
      </c>
      <c r="AE32" s="55" t="n">
        <f aca="false">ROUND(AD32*$E$10/12,2)</f>
        <v>0</v>
      </c>
      <c r="AF32" s="55" t="n">
        <f aca="false">MIN($F$10,AD32+AE32)</f>
        <v>0</v>
      </c>
      <c r="AG32" s="55" t="n">
        <f aca="false">MAX(0,MIN(AD32+AE32-AF32,$D32-(H32+M32+R32+W32+AB32)))</f>
        <v>0</v>
      </c>
      <c r="AH32" s="55" t="n">
        <f aca="false">AF32+AG32</f>
        <v>0</v>
      </c>
      <c r="AI32" s="55" t="n">
        <f aca="false">ROUND(MAX(0,AI31+AJ31-AM31),2)</f>
        <v>0</v>
      </c>
      <c r="AJ32" s="55" t="n">
        <f aca="false">ROUND(AI32*$E$11/12,2)</f>
        <v>0</v>
      </c>
      <c r="AK32" s="55" t="n">
        <f aca="false">MIN($F$11,AI32+AJ32)</f>
        <v>0</v>
      </c>
      <c r="AL32" s="55" t="n">
        <f aca="false">MAX(0,MIN(AI32+AJ32-AK32,$D32-(H32+M32+R32+W32+AB32+AG32)))</f>
        <v>0</v>
      </c>
      <c r="AM32" s="55" t="n">
        <f aca="false">AK32+AL32</f>
        <v>0</v>
      </c>
      <c r="AN32" s="55" t="n">
        <f aca="false">ROUND(MAX(0,AN31+AO31-AR31),2)</f>
        <v>0</v>
      </c>
      <c r="AO32" s="55" t="n">
        <f aca="false">ROUND(AN32*$E$12/12,2)</f>
        <v>0</v>
      </c>
      <c r="AP32" s="55" t="n">
        <f aca="false">MIN($F$12,AN32+AO32)</f>
        <v>0</v>
      </c>
      <c r="AQ32" s="55" t="n">
        <f aca="false">MAX(0,MIN(AN32+AO32-AP32,$D32-(H32+M32+R32+W32+AB32+AG32+AL32)))</f>
        <v>0</v>
      </c>
      <c r="AR32" s="55" t="n">
        <f aca="false">AP32+AQ32</f>
        <v>0</v>
      </c>
      <c r="AS32" s="55" t="n">
        <f aca="false">ROUND(MAX(0,AS31+AT31-AW31),2)</f>
        <v>0</v>
      </c>
      <c r="AT32" s="55" t="n">
        <f aca="false">ROUND(AS32*$E$13/12,2)</f>
        <v>0</v>
      </c>
      <c r="AU32" s="55" t="n">
        <f aca="false">MIN($F$13,AS32+AT32)</f>
        <v>0</v>
      </c>
      <c r="AV32" s="55" t="n">
        <f aca="false">MAX(0,MIN(AS32+AT32-AU32,$D32-(H32+M32+R32+W32+AB32+AG32+AL32+AQ32)))</f>
        <v>0</v>
      </c>
      <c r="AW32" s="55" t="n">
        <f aca="false">AU32+AV32</f>
        <v>0</v>
      </c>
      <c r="AX32" s="55" t="n">
        <f aca="false">ROUND(MAX(0,AX31+AY31-BB31),2)</f>
        <v>0</v>
      </c>
      <c r="AY32" s="55" t="n">
        <f aca="false">ROUND(AX32*$E$14/12,2)</f>
        <v>0</v>
      </c>
      <c r="AZ32" s="55" t="n">
        <f aca="false">MIN($F$14,AX32+AY32)</f>
        <v>0</v>
      </c>
      <c r="BA32" s="55" t="n">
        <f aca="false">MAX(0,MIN(AX32+AY32-AZ32,$D32-(H32+M32+R32+W32+AB32+AG32+AL32+AQ32+AV32)))</f>
        <v>0</v>
      </c>
      <c r="BB32" s="55" t="n">
        <f aca="false">AZ32+BA32</f>
        <v>0</v>
      </c>
      <c r="BC32" s="55" t="n">
        <f aca="false">I32+N32+S32+X32+AC32+AH32+AM32+AR32+AW32+BB32</f>
        <v>5822</v>
      </c>
      <c r="BD32" s="55" t="n">
        <f aca="false">ROUND((E32+F32-I32)+(J32+K32-N32)+(O32+P32-S32)+(T32+U32-X32)+(Y32+Z32-AC32)+(AD32+AE32-AH32)+(AI32+AJ32-AM32)+(AN32+AO32-AR32)+(AS32+AT32-AW32)+(AX32+AY32-BB32),2)</f>
        <v>51306.78</v>
      </c>
      <c r="BE32" s="25" t="str">
        <f aca="false">IF(H32&gt;0.005,$C$5,IF(M32&gt;0.005,$C$6,IF(R32&gt;0.005,$C$7,IF(W32&gt;0.005,$C$8,IF(AB32&gt;0.005,$C$9,IF(AG32&gt;0.005,$C$10,IF(AL32&gt;0.005,$C$11,IF(AQ32&gt;0.005,$C$12,IF(AV32&gt;0.005,$C$13,IF(BA32&gt;0.005,$C$14,""))))))))))</f>
        <v>亲友借款（老王）</v>
      </c>
    </row>
    <row r="33" customFormat="false" ht="15" hidden="false" customHeight="false" outlineLevel="0" collapsed="false">
      <c r="A33" s="24" t="n">
        <v>10</v>
      </c>
      <c r="B33" s="54" t="n">
        <f aca="false">EDATE($C$17,A33-1)</f>
        <v>46600</v>
      </c>
      <c r="C33" s="55" t="n">
        <f aca="false">G33+L33+Q33+V33+AA33+AF33+AK33+AP33+AU33+AZ33</f>
        <v>3750</v>
      </c>
      <c r="D33" s="55" t="n">
        <f aca="false">MAX(0,$C$16-C33)</f>
        <v>2072</v>
      </c>
      <c r="E33" s="55" t="n">
        <f aca="false">ROUND(MAX(0,E32+F32-I32),2)</f>
        <v>0</v>
      </c>
      <c r="F33" s="55" t="n">
        <f aca="false">ROUND(E33*$E$5/12,2)</f>
        <v>0</v>
      </c>
      <c r="G33" s="55" t="n">
        <f aca="false">MIN($F$5,E33+F33)</f>
        <v>0</v>
      </c>
      <c r="H33" s="55" t="n">
        <f aca="false">MAX(0,MIN(E33+F33-G33,$D33))</f>
        <v>0</v>
      </c>
      <c r="I33" s="55" t="n">
        <f aca="false">G33+H33</f>
        <v>0</v>
      </c>
      <c r="J33" s="55" t="n">
        <f aca="false">ROUND(MAX(0,J32+K32-N32),2)</f>
        <v>9312.13</v>
      </c>
      <c r="K33" s="55" t="n">
        <f aca="false">ROUND(J33*$E$6/12,2)</f>
        <v>0</v>
      </c>
      <c r="L33" s="55" t="n">
        <f aca="false">MIN($F$6,J33+K33)</f>
        <v>500</v>
      </c>
      <c r="M33" s="55" t="n">
        <f aca="false">MAX(0,MIN(J33+K33-L33,$D33-(H33)))</f>
        <v>2072</v>
      </c>
      <c r="N33" s="55" t="n">
        <f aca="false">L33+M33</f>
        <v>2572</v>
      </c>
      <c r="O33" s="55" t="n">
        <f aca="false">ROUND(MAX(0,O32+P32-S32),2)</f>
        <v>16708.56</v>
      </c>
      <c r="P33" s="55" t="n">
        <f aca="false">ROUND(O33*$E$7/12,2)</f>
        <v>334.17</v>
      </c>
      <c r="Q33" s="55" t="n">
        <f aca="false">MIN($F$7,O33+P33)</f>
        <v>1350</v>
      </c>
      <c r="R33" s="55" t="n">
        <f aca="false">MAX(0,MIN(O33+P33-Q33,$D33-(H33+M33)))</f>
        <v>0</v>
      </c>
      <c r="S33" s="55" t="n">
        <f aca="false">Q33+R33</f>
        <v>1350</v>
      </c>
      <c r="T33" s="55" t="n">
        <f aca="false">ROUND(MAX(0,T32+U32-X32),2)</f>
        <v>25286.09</v>
      </c>
      <c r="U33" s="55" t="n">
        <f aca="false">ROUND(T33*$E$8/12,2)</f>
        <v>379.29</v>
      </c>
      <c r="V33" s="55" t="n">
        <f aca="false">MIN($F$8,T33+U33)</f>
        <v>1900</v>
      </c>
      <c r="W33" s="55" t="n">
        <f aca="false">MAX(0,MIN(T33+U33-V33,$D33-(H33+M33+R33)))</f>
        <v>0</v>
      </c>
      <c r="X33" s="55" t="n">
        <f aca="false">V33+W33</f>
        <v>1900</v>
      </c>
      <c r="Y33" s="55" t="n">
        <f aca="false">ROUND(MAX(0,Y32+Z32-AC32),2)</f>
        <v>0</v>
      </c>
      <c r="Z33" s="55" t="n">
        <f aca="false">ROUND(Y33*$E$9/12,2)</f>
        <v>0</v>
      </c>
      <c r="AA33" s="55" t="n">
        <f aca="false">MIN($F$9,Y33+Z33)</f>
        <v>0</v>
      </c>
      <c r="AB33" s="55" t="n">
        <f aca="false">MAX(0,MIN(Y33+Z33-AA33,$D33-(H33+M33+R33+W33)))</f>
        <v>0</v>
      </c>
      <c r="AC33" s="55" t="n">
        <f aca="false">AA33+AB33</f>
        <v>0</v>
      </c>
      <c r="AD33" s="55" t="n">
        <f aca="false">ROUND(MAX(0,AD32+AE32-AH32),2)</f>
        <v>0</v>
      </c>
      <c r="AE33" s="55" t="n">
        <f aca="false">ROUND(AD33*$E$10/12,2)</f>
        <v>0</v>
      </c>
      <c r="AF33" s="55" t="n">
        <f aca="false">MIN($F$10,AD33+AE33)</f>
        <v>0</v>
      </c>
      <c r="AG33" s="55" t="n">
        <f aca="false">MAX(0,MIN(AD33+AE33-AF33,$D33-(H33+M33+R33+W33+AB33)))</f>
        <v>0</v>
      </c>
      <c r="AH33" s="55" t="n">
        <f aca="false">AF33+AG33</f>
        <v>0</v>
      </c>
      <c r="AI33" s="55" t="n">
        <f aca="false">ROUND(MAX(0,AI32+AJ32-AM32),2)</f>
        <v>0</v>
      </c>
      <c r="AJ33" s="55" t="n">
        <f aca="false">ROUND(AI33*$E$11/12,2)</f>
        <v>0</v>
      </c>
      <c r="AK33" s="55" t="n">
        <f aca="false">MIN($F$11,AI33+AJ33)</f>
        <v>0</v>
      </c>
      <c r="AL33" s="55" t="n">
        <f aca="false">MAX(0,MIN(AI33+AJ33-AK33,$D33-(H33+M33+R33+W33+AB33+AG33)))</f>
        <v>0</v>
      </c>
      <c r="AM33" s="55" t="n">
        <f aca="false">AK33+AL33</f>
        <v>0</v>
      </c>
      <c r="AN33" s="55" t="n">
        <f aca="false">ROUND(MAX(0,AN32+AO32-AR32),2)</f>
        <v>0</v>
      </c>
      <c r="AO33" s="55" t="n">
        <f aca="false">ROUND(AN33*$E$12/12,2)</f>
        <v>0</v>
      </c>
      <c r="AP33" s="55" t="n">
        <f aca="false">MIN($F$12,AN33+AO33)</f>
        <v>0</v>
      </c>
      <c r="AQ33" s="55" t="n">
        <f aca="false">MAX(0,MIN(AN33+AO33-AP33,$D33-(H33+M33+R33+W33+AB33+AG33+AL33)))</f>
        <v>0</v>
      </c>
      <c r="AR33" s="55" t="n">
        <f aca="false">AP33+AQ33</f>
        <v>0</v>
      </c>
      <c r="AS33" s="55" t="n">
        <f aca="false">ROUND(MAX(0,AS32+AT32-AW32),2)</f>
        <v>0</v>
      </c>
      <c r="AT33" s="55" t="n">
        <f aca="false">ROUND(AS33*$E$13/12,2)</f>
        <v>0</v>
      </c>
      <c r="AU33" s="55" t="n">
        <f aca="false">MIN($F$13,AS33+AT33)</f>
        <v>0</v>
      </c>
      <c r="AV33" s="55" t="n">
        <f aca="false">MAX(0,MIN(AS33+AT33-AU33,$D33-(H33+M33+R33+W33+AB33+AG33+AL33+AQ33)))</f>
        <v>0</v>
      </c>
      <c r="AW33" s="55" t="n">
        <f aca="false">AU33+AV33</f>
        <v>0</v>
      </c>
      <c r="AX33" s="55" t="n">
        <f aca="false">ROUND(MAX(0,AX32+AY32-BB32),2)</f>
        <v>0</v>
      </c>
      <c r="AY33" s="55" t="n">
        <f aca="false">ROUND(AX33*$E$14/12,2)</f>
        <v>0</v>
      </c>
      <c r="AZ33" s="55" t="n">
        <f aca="false">MIN($F$14,AX33+AY33)</f>
        <v>0</v>
      </c>
      <c r="BA33" s="55" t="n">
        <f aca="false">MAX(0,MIN(AX33+AY33-AZ33,$D33-(H33+M33+R33+W33+AB33+AG33+AL33+AQ33+AV33)))</f>
        <v>0</v>
      </c>
      <c r="BB33" s="55" t="n">
        <f aca="false">AZ33+BA33</f>
        <v>0</v>
      </c>
      <c r="BC33" s="55" t="n">
        <f aca="false">I33+N33+S33+X33+AC33+AH33+AM33+AR33+AW33+BB33</f>
        <v>5822</v>
      </c>
      <c r="BD33" s="55" t="n">
        <f aca="false">ROUND((E33+F33-I33)+(J33+K33-N33)+(O33+P33-S33)+(T33+U33-X33)+(Y33+Z33-AC33)+(AD33+AE33-AH33)+(AI33+AJ33-AM33)+(AN33+AO33-AR33)+(AS33+AT33-AW33)+(AX33+AY33-BB33),2)</f>
        <v>46198.24</v>
      </c>
      <c r="BE33" s="25" t="str">
        <f aca="false">IF(H33&gt;0.005,$C$5,IF(M33&gt;0.005,$C$6,IF(R33&gt;0.005,$C$7,IF(W33&gt;0.005,$C$8,IF(AB33&gt;0.005,$C$9,IF(AG33&gt;0.005,$C$10,IF(AL33&gt;0.005,$C$11,IF(AQ33&gt;0.005,$C$12,IF(AV33&gt;0.005,$C$13,IF(BA33&gt;0.005,$C$14,""))))))))))</f>
        <v>亲友借款（老王）</v>
      </c>
    </row>
    <row r="34" customFormat="false" ht="15" hidden="false" customHeight="false" outlineLevel="0" collapsed="false">
      <c r="A34" s="24" t="n">
        <v>11</v>
      </c>
      <c r="B34" s="54" t="n">
        <f aca="false">EDATE($C$17,A34-1)</f>
        <v>46631</v>
      </c>
      <c r="C34" s="55" t="n">
        <f aca="false">G34+L34+Q34+V34+AA34+AF34+AK34+AP34+AU34+AZ34</f>
        <v>3750</v>
      </c>
      <c r="D34" s="55" t="n">
        <f aca="false">MAX(0,$C$16-C34)</f>
        <v>2072</v>
      </c>
      <c r="E34" s="55" t="n">
        <f aca="false">ROUND(MAX(0,E33+F33-I33),2)</f>
        <v>0</v>
      </c>
      <c r="F34" s="55" t="n">
        <f aca="false">ROUND(E34*$E$5/12,2)</f>
        <v>0</v>
      </c>
      <c r="G34" s="55" t="n">
        <f aca="false">MIN($F$5,E34+F34)</f>
        <v>0</v>
      </c>
      <c r="H34" s="55" t="n">
        <f aca="false">MAX(0,MIN(E34+F34-G34,$D34))</f>
        <v>0</v>
      </c>
      <c r="I34" s="55" t="n">
        <f aca="false">G34+H34</f>
        <v>0</v>
      </c>
      <c r="J34" s="55" t="n">
        <f aca="false">ROUND(MAX(0,J33+K33-N33),2)</f>
        <v>6740.13</v>
      </c>
      <c r="K34" s="55" t="n">
        <f aca="false">ROUND(J34*$E$6/12,2)</f>
        <v>0</v>
      </c>
      <c r="L34" s="55" t="n">
        <f aca="false">MIN($F$6,J34+K34)</f>
        <v>500</v>
      </c>
      <c r="M34" s="55" t="n">
        <f aca="false">MAX(0,MIN(J34+K34-L34,$D34-(H34)))</f>
        <v>2072</v>
      </c>
      <c r="N34" s="55" t="n">
        <f aca="false">L34+M34</f>
        <v>2572</v>
      </c>
      <c r="O34" s="55" t="n">
        <f aca="false">ROUND(MAX(0,O33+P33-S33),2)</f>
        <v>15692.73</v>
      </c>
      <c r="P34" s="55" t="n">
        <f aca="false">ROUND(O34*$E$7/12,2)</f>
        <v>313.85</v>
      </c>
      <c r="Q34" s="55" t="n">
        <f aca="false">MIN($F$7,O34+P34)</f>
        <v>1350</v>
      </c>
      <c r="R34" s="55" t="n">
        <f aca="false">MAX(0,MIN(O34+P34-Q34,$D34-(H34+M34)))</f>
        <v>0</v>
      </c>
      <c r="S34" s="55" t="n">
        <f aca="false">Q34+R34</f>
        <v>1350</v>
      </c>
      <c r="T34" s="55" t="n">
        <f aca="false">ROUND(MAX(0,T33+U33-X33),2)</f>
        <v>23765.38</v>
      </c>
      <c r="U34" s="55" t="n">
        <f aca="false">ROUND(T34*$E$8/12,2)</f>
        <v>356.48</v>
      </c>
      <c r="V34" s="55" t="n">
        <f aca="false">MIN($F$8,T34+U34)</f>
        <v>1900</v>
      </c>
      <c r="W34" s="55" t="n">
        <f aca="false">MAX(0,MIN(T34+U34-V34,$D34-(H34+M34+R34)))</f>
        <v>0</v>
      </c>
      <c r="X34" s="55" t="n">
        <f aca="false">V34+W34</f>
        <v>1900</v>
      </c>
      <c r="Y34" s="55" t="n">
        <f aca="false">ROUND(MAX(0,Y33+Z33-AC33),2)</f>
        <v>0</v>
      </c>
      <c r="Z34" s="55" t="n">
        <f aca="false">ROUND(Y34*$E$9/12,2)</f>
        <v>0</v>
      </c>
      <c r="AA34" s="55" t="n">
        <f aca="false">MIN($F$9,Y34+Z34)</f>
        <v>0</v>
      </c>
      <c r="AB34" s="55" t="n">
        <f aca="false">MAX(0,MIN(Y34+Z34-AA34,$D34-(H34+M34+R34+W34)))</f>
        <v>0</v>
      </c>
      <c r="AC34" s="55" t="n">
        <f aca="false">AA34+AB34</f>
        <v>0</v>
      </c>
      <c r="AD34" s="55" t="n">
        <f aca="false">ROUND(MAX(0,AD33+AE33-AH33),2)</f>
        <v>0</v>
      </c>
      <c r="AE34" s="55" t="n">
        <f aca="false">ROUND(AD34*$E$10/12,2)</f>
        <v>0</v>
      </c>
      <c r="AF34" s="55" t="n">
        <f aca="false">MIN($F$10,AD34+AE34)</f>
        <v>0</v>
      </c>
      <c r="AG34" s="55" t="n">
        <f aca="false">MAX(0,MIN(AD34+AE34-AF34,$D34-(H34+M34+R34+W34+AB34)))</f>
        <v>0</v>
      </c>
      <c r="AH34" s="55" t="n">
        <f aca="false">AF34+AG34</f>
        <v>0</v>
      </c>
      <c r="AI34" s="55" t="n">
        <f aca="false">ROUND(MAX(0,AI33+AJ33-AM33),2)</f>
        <v>0</v>
      </c>
      <c r="AJ34" s="55" t="n">
        <f aca="false">ROUND(AI34*$E$11/12,2)</f>
        <v>0</v>
      </c>
      <c r="AK34" s="55" t="n">
        <f aca="false">MIN($F$11,AI34+AJ34)</f>
        <v>0</v>
      </c>
      <c r="AL34" s="55" t="n">
        <f aca="false">MAX(0,MIN(AI34+AJ34-AK34,$D34-(H34+M34+R34+W34+AB34+AG34)))</f>
        <v>0</v>
      </c>
      <c r="AM34" s="55" t="n">
        <f aca="false">AK34+AL34</f>
        <v>0</v>
      </c>
      <c r="AN34" s="55" t="n">
        <f aca="false">ROUND(MAX(0,AN33+AO33-AR33),2)</f>
        <v>0</v>
      </c>
      <c r="AO34" s="55" t="n">
        <f aca="false">ROUND(AN34*$E$12/12,2)</f>
        <v>0</v>
      </c>
      <c r="AP34" s="55" t="n">
        <f aca="false">MIN($F$12,AN34+AO34)</f>
        <v>0</v>
      </c>
      <c r="AQ34" s="55" t="n">
        <f aca="false">MAX(0,MIN(AN34+AO34-AP34,$D34-(H34+M34+R34+W34+AB34+AG34+AL34)))</f>
        <v>0</v>
      </c>
      <c r="AR34" s="55" t="n">
        <f aca="false">AP34+AQ34</f>
        <v>0</v>
      </c>
      <c r="AS34" s="55" t="n">
        <f aca="false">ROUND(MAX(0,AS33+AT33-AW33),2)</f>
        <v>0</v>
      </c>
      <c r="AT34" s="55" t="n">
        <f aca="false">ROUND(AS34*$E$13/12,2)</f>
        <v>0</v>
      </c>
      <c r="AU34" s="55" t="n">
        <f aca="false">MIN($F$13,AS34+AT34)</f>
        <v>0</v>
      </c>
      <c r="AV34" s="55" t="n">
        <f aca="false">MAX(0,MIN(AS34+AT34-AU34,$D34-(H34+M34+R34+W34+AB34+AG34+AL34+AQ34)))</f>
        <v>0</v>
      </c>
      <c r="AW34" s="55" t="n">
        <f aca="false">AU34+AV34</f>
        <v>0</v>
      </c>
      <c r="AX34" s="55" t="n">
        <f aca="false">ROUND(MAX(0,AX33+AY33-BB33),2)</f>
        <v>0</v>
      </c>
      <c r="AY34" s="55" t="n">
        <f aca="false">ROUND(AX34*$E$14/12,2)</f>
        <v>0</v>
      </c>
      <c r="AZ34" s="55" t="n">
        <f aca="false">MIN($F$14,AX34+AY34)</f>
        <v>0</v>
      </c>
      <c r="BA34" s="55" t="n">
        <f aca="false">MAX(0,MIN(AX34+AY34-AZ34,$D34-(H34+M34+R34+W34+AB34+AG34+AL34+AQ34+AV34)))</f>
        <v>0</v>
      </c>
      <c r="BB34" s="55" t="n">
        <f aca="false">AZ34+BA34</f>
        <v>0</v>
      </c>
      <c r="BC34" s="55" t="n">
        <f aca="false">I34+N34+S34+X34+AC34+AH34+AM34+AR34+AW34+BB34</f>
        <v>5822</v>
      </c>
      <c r="BD34" s="55" t="n">
        <f aca="false">ROUND((E34+F34-I34)+(J34+K34-N34)+(O34+P34-S34)+(T34+U34-X34)+(Y34+Z34-AC34)+(AD34+AE34-AH34)+(AI34+AJ34-AM34)+(AN34+AO34-AR34)+(AS34+AT34-AW34)+(AX34+AY34-BB34),2)</f>
        <v>41046.57</v>
      </c>
      <c r="BE34" s="25" t="str">
        <f aca="false">IF(H34&gt;0.005,$C$5,IF(M34&gt;0.005,$C$6,IF(R34&gt;0.005,$C$7,IF(W34&gt;0.005,$C$8,IF(AB34&gt;0.005,$C$9,IF(AG34&gt;0.005,$C$10,IF(AL34&gt;0.005,$C$11,IF(AQ34&gt;0.005,$C$12,IF(AV34&gt;0.005,$C$13,IF(BA34&gt;0.005,$C$14,""))))))))))</f>
        <v>亲友借款（老王）</v>
      </c>
    </row>
    <row r="35" customFormat="false" ht="15" hidden="false" customHeight="false" outlineLevel="0" collapsed="false">
      <c r="A35" s="24" t="n">
        <v>12</v>
      </c>
      <c r="B35" s="54" t="n">
        <f aca="false">EDATE($C$17,A35-1)</f>
        <v>46661</v>
      </c>
      <c r="C35" s="55" t="n">
        <f aca="false">G35+L35+Q35+V35+AA35+AF35+AK35+AP35+AU35+AZ35</f>
        <v>3750</v>
      </c>
      <c r="D35" s="55" t="n">
        <f aca="false">MAX(0,$C$16-C35)</f>
        <v>2072</v>
      </c>
      <c r="E35" s="55" t="n">
        <f aca="false">ROUND(MAX(0,E34+F34-I34),2)</f>
        <v>0</v>
      </c>
      <c r="F35" s="55" t="n">
        <f aca="false">ROUND(E35*$E$5/12,2)</f>
        <v>0</v>
      </c>
      <c r="G35" s="55" t="n">
        <f aca="false">MIN($F$5,E35+F35)</f>
        <v>0</v>
      </c>
      <c r="H35" s="55" t="n">
        <f aca="false">MAX(0,MIN(E35+F35-G35,$D35))</f>
        <v>0</v>
      </c>
      <c r="I35" s="55" t="n">
        <f aca="false">G35+H35</f>
        <v>0</v>
      </c>
      <c r="J35" s="55" t="n">
        <f aca="false">ROUND(MAX(0,J34+K34-N34),2)</f>
        <v>4168.13</v>
      </c>
      <c r="K35" s="55" t="n">
        <f aca="false">ROUND(J35*$E$6/12,2)</f>
        <v>0</v>
      </c>
      <c r="L35" s="55" t="n">
        <f aca="false">MIN($F$6,J35+K35)</f>
        <v>500</v>
      </c>
      <c r="M35" s="55" t="n">
        <f aca="false">MAX(0,MIN(J35+K35-L35,$D35-(H35)))</f>
        <v>2072</v>
      </c>
      <c r="N35" s="55" t="n">
        <f aca="false">L35+M35</f>
        <v>2572</v>
      </c>
      <c r="O35" s="55" t="n">
        <f aca="false">ROUND(MAX(0,O34+P34-S34),2)</f>
        <v>14656.58</v>
      </c>
      <c r="P35" s="55" t="n">
        <f aca="false">ROUND(O35*$E$7/12,2)</f>
        <v>293.13</v>
      </c>
      <c r="Q35" s="55" t="n">
        <f aca="false">MIN($F$7,O35+P35)</f>
        <v>1350</v>
      </c>
      <c r="R35" s="55" t="n">
        <f aca="false">MAX(0,MIN(O35+P35-Q35,$D35-(H35+M35)))</f>
        <v>0</v>
      </c>
      <c r="S35" s="55" t="n">
        <f aca="false">Q35+R35</f>
        <v>1350</v>
      </c>
      <c r="T35" s="55" t="n">
        <f aca="false">ROUND(MAX(0,T34+U34-X34),2)</f>
        <v>22221.86</v>
      </c>
      <c r="U35" s="55" t="n">
        <f aca="false">ROUND(T35*$E$8/12,2)</f>
        <v>333.33</v>
      </c>
      <c r="V35" s="55" t="n">
        <f aca="false">MIN($F$8,T35+U35)</f>
        <v>1900</v>
      </c>
      <c r="W35" s="55" t="n">
        <f aca="false">MAX(0,MIN(T35+U35-V35,$D35-(H35+M35+R35)))</f>
        <v>0</v>
      </c>
      <c r="X35" s="55" t="n">
        <f aca="false">V35+W35</f>
        <v>1900</v>
      </c>
      <c r="Y35" s="55" t="n">
        <f aca="false">ROUND(MAX(0,Y34+Z34-AC34),2)</f>
        <v>0</v>
      </c>
      <c r="Z35" s="55" t="n">
        <f aca="false">ROUND(Y35*$E$9/12,2)</f>
        <v>0</v>
      </c>
      <c r="AA35" s="55" t="n">
        <f aca="false">MIN($F$9,Y35+Z35)</f>
        <v>0</v>
      </c>
      <c r="AB35" s="55" t="n">
        <f aca="false">MAX(0,MIN(Y35+Z35-AA35,$D35-(H35+M35+R35+W35)))</f>
        <v>0</v>
      </c>
      <c r="AC35" s="55" t="n">
        <f aca="false">AA35+AB35</f>
        <v>0</v>
      </c>
      <c r="AD35" s="55" t="n">
        <f aca="false">ROUND(MAX(0,AD34+AE34-AH34),2)</f>
        <v>0</v>
      </c>
      <c r="AE35" s="55" t="n">
        <f aca="false">ROUND(AD35*$E$10/12,2)</f>
        <v>0</v>
      </c>
      <c r="AF35" s="55" t="n">
        <f aca="false">MIN($F$10,AD35+AE35)</f>
        <v>0</v>
      </c>
      <c r="AG35" s="55" t="n">
        <f aca="false">MAX(0,MIN(AD35+AE35-AF35,$D35-(H35+M35+R35+W35+AB35)))</f>
        <v>0</v>
      </c>
      <c r="AH35" s="55" t="n">
        <f aca="false">AF35+AG35</f>
        <v>0</v>
      </c>
      <c r="AI35" s="55" t="n">
        <f aca="false">ROUND(MAX(0,AI34+AJ34-AM34),2)</f>
        <v>0</v>
      </c>
      <c r="AJ35" s="55" t="n">
        <f aca="false">ROUND(AI35*$E$11/12,2)</f>
        <v>0</v>
      </c>
      <c r="AK35" s="55" t="n">
        <f aca="false">MIN($F$11,AI35+AJ35)</f>
        <v>0</v>
      </c>
      <c r="AL35" s="55" t="n">
        <f aca="false">MAX(0,MIN(AI35+AJ35-AK35,$D35-(H35+M35+R35+W35+AB35+AG35)))</f>
        <v>0</v>
      </c>
      <c r="AM35" s="55" t="n">
        <f aca="false">AK35+AL35</f>
        <v>0</v>
      </c>
      <c r="AN35" s="55" t="n">
        <f aca="false">ROUND(MAX(0,AN34+AO34-AR34),2)</f>
        <v>0</v>
      </c>
      <c r="AO35" s="55" t="n">
        <f aca="false">ROUND(AN35*$E$12/12,2)</f>
        <v>0</v>
      </c>
      <c r="AP35" s="55" t="n">
        <f aca="false">MIN($F$12,AN35+AO35)</f>
        <v>0</v>
      </c>
      <c r="AQ35" s="55" t="n">
        <f aca="false">MAX(0,MIN(AN35+AO35-AP35,$D35-(H35+M35+R35+W35+AB35+AG35+AL35)))</f>
        <v>0</v>
      </c>
      <c r="AR35" s="55" t="n">
        <f aca="false">AP35+AQ35</f>
        <v>0</v>
      </c>
      <c r="AS35" s="55" t="n">
        <f aca="false">ROUND(MAX(0,AS34+AT34-AW34),2)</f>
        <v>0</v>
      </c>
      <c r="AT35" s="55" t="n">
        <f aca="false">ROUND(AS35*$E$13/12,2)</f>
        <v>0</v>
      </c>
      <c r="AU35" s="55" t="n">
        <f aca="false">MIN($F$13,AS35+AT35)</f>
        <v>0</v>
      </c>
      <c r="AV35" s="55" t="n">
        <f aca="false">MAX(0,MIN(AS35+AT35-AU35,$D35-(H35+M35+R35+W35+AB35+AG35+AL35+AQ35)))</f>
        <v>0</v>
      </c>
      <c r="AW35" s="55" t="n">
        <f aca="false">AU35+AV35</f>
        <v>0</v>
      </c>
      <c r="AX35" s="55" t="n">
        <f aca="false">ROUND(MAX(0,AX34+AY34-BB34),2)</f>
        <v>0</v>
      </c>
      <c r="AY35" s="55" t="n">
        <f aca="false">ROUND(AX35*$E$14/12,2)</f>
        <v>0</v>
      </c>
      <c r="AZ35" s="55" t="n">
        <f aca="false">MIN($F$14,AX35+AY35)</f>
        <v>0</v>
      </c>
      <c r="BA35" s="55" t="n">
        <f aca="false">MAX(0,MIN(AX35+AY35-AZ35,$D35-(H35+M35+R35+W35+AB35+AG35+AL35+AQ35+AV35)))</f>
        <v>0</v>
      </c>
      <c r="BB35" s="55" t="n">
        <f aca="false">AZ35+BA35</f>
        <v>0</v>
      </c>
      <c r="BC35" s="55" t="n">
        <f aca="false">I35+N35+S35+X35+AC35+AH35+AM35+AR35+AW35+BB35</f>
        <v>5822</v>
      </c>
      <c r="BD35" s="55" t="n">
        <f aca="false">ROUND((E35+F35-I35)+(J35+K35-N35)+(O35+P35-S35)+(T35+U35-X35)+(Y35+Z35-AC35)+(AD35+AE35-AH35)+(AI35+AJ35-AM35)+(AN35+AO35-AR35)+(AS35+AT35-AW35)+(AX35+AY35-BB35),2)</f>
        <v>35851.03</v>
      </c>
      <c r="BE35" s="25" t="str">
        <f aca="false">IF(H35&gt;0.005,$C$5,IF(M35&gt;0.005,$C$6,IF(R35&gt;0.005,$C$7,IF(W35&gt;0.005,$C$8,IF(AB35&gt;0.005,$C$9,IF(AG35&gt;0.005,$C$10,IF(AL35&gt;0.005,$C$11,IF(AQ35&gt;0.005,$C$12,IF(AV35&gt;0.005,$C$13,IF(BA35&gt;0.005,$C$14,""))))))))))</f>
        <v>亲友借款（老王）</v>
      </c>
    </row>
    <row r="36" customFormat="false" ht="15" hidden="false" customHeight="false" outlineLevel="0" collapsed="false">
      <c r="A36" s="24" t="n">
        <v>13</v>
      </c>
      <c r="B36" s="54" t="n">
        <f aca="false">EDATE($C$17,A36-1)</f>
        <v>46692</v>
      </c>
      <c r="C36" s="55" t="n">
        <f aca="false">G36+L36+Q36+V36+AA36+AF36+AK36+AP36+AU36+AZ36</f>
        <v>3750</v>
      </c>
      <c r="D36" s="55" t="n">
        <f aca="false">MAX(0,$C$16-C36)</f>
        <v>2072</v>
      </c>
      <c r="E36" s="55" t="n">
        <f aca="false">ROUND(MAX(0,E35+F35-I35),2)</f>
        <v>0</v>
      </c>
      <c r="F36" s="55" t="n">
        <f aca="false">ROUND(E36*$E$5/12,2)</f>
        <v>0</v>
      </c>
      <c r="G36" s="55" t="n">
        <f aca="false">MIN($F$5,E36+F36)</f>
        <v>0</v>
      </c>
      <c r="H36" s="55" t="n">
        <f aca="false">MAX(0,MIN(E36+F36-G36,$D36))</f>
        <v>0</v>
      </c>
      <c r="I36" s="55" t="n">
        <f aca="false">G36+H36</f>
        <v>0</v>
      </c>
      <c r="J36" s="55" t="n">
        <f aca="false">ROUND(MAX(0,J35+K35-N35),2)</f>
        <v>1596.13</v>
      </c>
      <c r="K36" s="55" t="n">
        <f aca="false">ROUND(J36*$E$6/12,2)</f>
        <v>0</v>
      </c>
      <c r="L36" s="55" t="n">
        <f aca="false">MIN($F$6,J36+K36)</f>
        <v>500</v>
      </c>
      <c r="M36" s="55" t="n">
        <f aca="false">MAX(0,MIN(J36+K36-L36,$D36-(H36)))</f>
        <v>1096.13</v>
      </c>
      <c r="N36" s="55" t="n">
        <f aca="false">L36+M36</f>
        <v>1596.13</v>
      </c>
      <c r="O36" s="55" t="n">
        <f aca="false">ROUND(MAX(0,O35+P35-S35),2)</f>
        <v>13599.71</v>
      </c>
      <c r="P36" s="55" t="n">
        <f aca="false">ROUND(O36*$E$7/12,2)</f>
        <v>271.99</v>
      </c>
      <c r="Q36" s="55" t="n">
        <f aca="false">MIN($F$7,O36+P36)</f>
        <v>1350</v>
      </c>
      <c r="R36" s="55" t="n">
        <f aca="false">MAX(0,MIN(O36+P36-Q36,$D36-(H36+M36)))</f>
        <v>975.87</v>
      </c>
      <c r="S36" s="55" t="n">
        <f aca="false">Q36+R36</f>
        <v>2325.87</v>
      </c>
      <c r="T36" s="55" t="n">
        <f aca="false">ROUND(MAX(0,T35+U35-X35),2)</f>
        <v>20655.19</v>
      </c>
      <c r="U36" s="55" t="n">
        <f aca="false">ROUND(T36*$E$8/12,2)</f>
        <v>309.83</v>
      </c>
      <c r="V36" s="55" t="n">
        <f aca="false">MIN($F$8,T36+U36)</f>
        <v>1900</v>
      </c>
      <c r="W36" s="55" t="n">
        <f aca="false">MAX(0,MIN(T36+U36-V36,$D36-(H36+M36+R36)))</f>
        <v>0</v>
      </c>
      <c r="X36" s="55" t="n">
        <f aca="false">V36+W36</f>
        <v>1900</v>
      </c>
      <c r="Y36" s="55" t="n">
        <f aca="false">ROUND(MAX(0,Y35+Z35-AC35),2)</f>
        <v>0</v>
      </c>
      <c r="Z36" s="55" t="n">
        <f aca="false">ROUND(Y36*$E$9/12,2)</f>
        <v>0</v>
      </c>
      <c r="AA36" s="55" t="n">
        <f aca="false">MIN($F$9,Y36+Z36)</f>
        <v>0</v>
      </c>
      <c r="AB36" s="55" t="n">
        <f aca="false">MAX(0,MIN(Y36+Z36-AA36,$D36-(H36+M36+R36+W36)))</f>
        <v>0</v>
      </c>
      <c r="AC36" s="55" t="n">
        <f aca="false">AA36+AB36</f>
        <v>0</v>
      </c>
      <c r="AD36" s="55" t="n">
        <f aca="false">ROUND(MAX(0,AD35+AE35-AH35),2)</f>
        <v>0</v>
      </c>
      <c r="AE36" s="55" t="n">
        <f aca="false">ROUND(AD36*$E$10/12,2)</f>
        <v>0</v>
      </c>
      <c r="AF36" s="55" t="n">
        <f aca="false">MIN($F$10,AD36+AE36)</f>
        <v>0</v>
      </c>
      <c r="AG36" s="55" t="n">
        <f aca="false">MAX(0,MIN(AD36+AE36-AF36,$D36-(H36+M36+R36+W36+AB36)))</f>
        <v>0</v>
      </c>
      <c r="AH36" s="55" t="n">
        <f aca="false">AF36+AG36</f>
        <v>0</v>
      </c>
      <c r="AI36" s="55" t="n">
        <f aca="false">ROUND(MAX(0,AI35+AJ35-AM35),2)</f>
        <v>0</v>
      </c>
      <c r="AJ36" s="55" t="n">
        <f aca="false">ROUND(AI36*$E$11/12,2)</f>
        <v>0</v>
      </c>
      <c r="AK36" s="55" t="n">
        <f aca="false">MIN($F$11,AI36+AJ36)</f>
        <v>0</v>
      </c>
      <c r="AL36" s="55" t="n">
        <f aca="false">MAX(0,MIN(AI36+AJ36-AK36,$D36-(H36+M36+R36+W36+AB36+AG36)))</f>
        <v>0</v>
      </c>
      <c r="AM36" s="55" t="n">
        <f aca="false">AK36+AL36</f>
        <v>0</v>
      </c>
      <c r="AN36" s="55" t="n">
        <f aca="false">ROUND(MAX(0,AN35+AO35-AR35),2)</f>
        <v>0</v>
      </c>
      <c r="AO36" s="55" t="n">
        <f aca="false">ROUND(AN36*$E$12/12,2)</f>
        <v>0</v>
      </c>
      <c r="AP36" s="55" t="n">
        <f aca="false">MIN($F$12,AN36+AO36)</f>
        <v>0</v>
      </c>
      <c r="AQ36" s="55" t="n">
        <f aca="false">MAX(0,MIN(AN36+AO36-AP36,$D36-(H36+M36+R36+W36+AB36+AG36+AL36)))</f>
        <v>0</v>
      </c>
      <c r="AR36" s="55" t="n">
        <f aca="false">AP36+AQ36</f>
        <v>0</v>
      </c>
      <c r="AS36" s="55" t="n">
        <f aca="false">ROUND(MAX(0,AS35+AT35-AW35),2)</f>
        <v>0</v>
      </c>
      <c r="AT36" s="55" t="n">
        <f aca="false">ROUND(AS36*$E$13/12,2)</f>
        <v>0</v>
      </c>
      <c r="AU36" s="55" t="n">
        <f aca="false">MIN($F$13,AS36+AT36)</f>
        <v>0</v>
      </c>
      <c r="AV36" s="55" t="n">
        <f aca="false">MAX(0,MIN(AS36+AT36-AU36,$D36-(H36+M36+R36+W36+AB36+AG36+AL36+AQ36)))</f>
        <v>0</v>
      </c>
      <c r="AW36" s="55" t="n">
        <f aca="false">AU36+AV36</f>
        <v>0</v>
      </c>
      <c r="AX36" s="55" t="n">
        <f aca="false">ROUND(MAX(0,AX35+AY35-BB35),2)</f>
        <v>0</v>
      </c>
      <c r="AY36" s="55" t="n">
        <f aca="false">ROUND(AX36*$E$14/12,2)</f>
        <v>0</v>
      </c>
      <c r="AZ36" s="55" t="n">
        <f aca="false">MIN($F$14,AX36+AY36)</f>
        <v>0</v>
      </c>
      <c r="BA36" s="55" t="n">
        <f aca="false">MAX(0,MIN(AX36+AY36-AZ36,$D36-(H36+M36+R36+W36+AB36+AG36+AL36+AQ36+AV36)))</f>
        <v>0</v>
      </c>
      <c r="BB36" s="55" t="n">
        <f aca="false">AZ36+BA36</f>
        <v>0</v>
      </c>
      <c r="BC36" s="55" t="n">
        <f aca="false">I36+N36+S36+X36+AC36+AH36+AM36+AR36+AW36+BB36</f>
        <v>5822</v>
      </c>
      <c r="BD36" s="55" t="n">
        <f aca="false">ROUND((E36+F36-I36)+(J36+K36-N36)+(O36+P36-S36)+(T36+U36-X36)+(Y36+Z36-AC36)+(AD36+AE36-AH36)+(AI36+AJ36-AM36)+(AN36+AO36-AR36)+(AS36+AT36-AW36)+(AX36+AY36-BB36),2)</f>
        <v>30610.85</v>
      </c>
      <c r="BE36" s="25" t="str">
        <f aca="false">IF(H36&gt;0.005,$C$5,IF(M36&gt;0.005,$C$6,IF(R36&gt;0.005,$C$7,IF(W36&gt;0.005,$C$8,IF(AB36&gt;0.005,$C$9,IF(AG36&gt;0.005,$C$10,IF(AL36&gt;0.005,$C$11,IF(AQ36&gt;0.005,$C$12,IF(AV36&gt;0.005,$C$13,IF(BA36&gt;0.005,$C$14,""))))))))))</f>
        <v>亲友借款（老王）</v>
      </c>
    </row>
    <row r="37" customFormat="false" ht="15" hidden="false" customHeight="false" outlineLevel="0" collapsed="false">
      <c r="A37" s="24" t="n">
        <v>14</v>
      </c>
      <c r="B37" s="54" t="n">
        <f aca="false">EDATE($C$17,A37-1)</f>
        <v>46722</v>
      </c>
      <c r="C37" s="55" t="n">
        <f aca="false">G37+L37+Q37+V37+AA37+AF37+AK37+AP37+AU37+AZ37</f>
        <v>3250</v>
      </c>
      <c r="D37" s="55" t="n">
        <f aca="false">MAX(0,$C$16-C37)</f>
        <v>2572</v>
      </c>
      <c r="E37" s="55" t="n">
        <f aca="false">ROUND(MAX(0,E36+F36-I36),2)</f>
        <v>0</v>
      </c>
      <c r="F37" s="55" t="n">
        <f aca="false">ROUND(E37*$E$5/12,2)</f>
        <v>0</v>
      </c>
      <c r="G37" s="55" t="n">
        <f aca="false">MIN($F$5,E37+F37)</f>
        <v>0</v>
      </c>
      <c r="H37" s="55" t="n">
        <f aca="false">MAX(0,MIN(E37+F37-G37,$D37))</f>
        <v>0</v>
      </c>
      <c r="I37" s="55" t="n">
        <f aca="false">G37+H37</f>
        <v>0</v>
      </c>
      <c r="J37" s="55" t="n">
        <f aca="false">ROUND(MAX(0,J36+K36-N36),2)</f>
        <v>0</v>
      </c>
      <c r="K37" s="55" t="n">
        <f aca="false">ROUND(J37*$E$6/12,2)</f>
        <v>0</v>
      </c>
      <c r="L37" s="55" t="n">
        <f aca="false">MIN($F$6,J37+K37)</f>
        <v>0</v>
      </c>
      <c r="M37" s="55" t="n">
        <f aca="false">MAX(0,MIN(J37+K37-L37,$D37-(H37)))</f>
        <v>0</v>
      </c>
      <c r="N37" s="55" t="n">
        <f aca="false">L37+M37</f>
        <v>0</v>
      </c>
      <c r="O37" s="55" t="n">
        <f aca="false">ROUND(MAX(0,O36+P36-S36),2)</f>
        <v>11545.83</v>
      </c>
      <c r="P37" s="55" t="n">
        <f aca="false">ROUND(O37*$E$7/12,2)</f>
        <v>230.92</v>
      </c>
      <c r="Q37" s="55" t="n">
        <f aca="false">MIN($F$7,O37+P37)</f>
        <v>1350</v>
      </c>
      <c r="R37" s="55" t="n">
        <f aca="false">MAX(0,MIN(O37+P37-Q37,$D37-(H37+M37)))</f>
        <v>2572</v>
      </c>
      <c r="S37" s="55" t="n">
        <f aca="false">Q37+R37</f>
        <v>3922</v>
      </c>
      <c r="T37" s="55" t="n">
        <f aca="false">ROUND(MAX(0,T36+U36-X36),2)</f>
        <v>19065.02</v>
      </c>
      <c r="U37" s="55" t="n">
        <f aca="false">ROUND(T37*$E$8/12,2)</f>
        <v>285.98</v>
      </c>
      <c r="V37" s="55" t="n">
        <f aca="false">MIN($F$8,T37+U37)</f>
        <v>1900</v>
      </c>
      <c r="W37" s="55" t="n">
        <f aca="false">MAX(0,MIN(T37+U37-V37,$D37-(H37+M37+R37)))</f>
        <v>0</v>
      </c>
      <c r="X37" s="55" t="n">
        <f aca="false">V37+W37</f>
        <v>1900</v>
      </c>
      <c r="Y37" s="55" t="n">
        <f aca="false">ROUND(MAX(0,Y36+Z36-AC36),2)</f>
        <v>0</v>
      </c>
      <c r="Z37" s="55" t="n">
        <f aca="false">ROUND(Y37*$E$9/12,2)</f>
        <v>0</v>
      </c>
      <c r="AA37" s="55" t="n">
        <f aca="false">MIN($F$9,Y37+Z37)</f>
        <v>0</v>
      </c>
      <c r="AB37" s="55" t="n">
        <f aca="false">MAX(0,MIN(Y37+Z37-AA37,$D37-(H37+M37+R37+W37)))</f>
        <v>0</v>
      </c>
      <c r="AC37" s="55" t="n">
        <f aca="false">AA37+AB37</f>
        <v>0</v>
      </c>
      <c r="AD37" s="55" t="n">
        <f aca="false">ROUND(MAX(0,AD36+AE36-AH36),2)</f>
        <v>0</v>
      </c>
      <c r="AE37" s="55" t="n">
        <f aca="false">ROUND(AD37*$E$10/12,2)</f>
        <v>0</v>
      </c>
      <c r="AF37" s="55" t="n">
        <f aca="false">MIN($F$10,AD37+AE37)</f>
        <v>0</v>
      </c>
      <c r="AG37" s="55" t="n">
        <f aca="false">MAX(0,MIN(AD37+AE37-AF37,$D37-(H37+M37+R37+W37+AB37)))</f>
        <v>0</v>
      </c>
      <c r="AH37" s="55" t="n">
        <f aca="false">AF37+AG37</f>
        <v>0</v>
      </c>
      <c r="AI37" s="55" t="n">
        <f aca="false">ROUND(MAX(0,AI36+AJ36-AM36),2)</f>
        <v>0</v>
      </c>
      <c r="AJ37" s="55" t="n">
        <f aca="false">ROUND(AI37*$E$11/12,2)</f>
        <v>0</v>
      </c>
      <c r="AK37" s="55" t="n">
        <f aca="false">MIN($F$11,AI37+AJ37)</f>
        <v>0</v>
      </c>
      <c r="AL37" s="55" t="n">
        <f aca="false">MAX(0,MIN(AI37+AJ37-AK37,$D37-(H37+M37+R37+W37+AB37+AG37)))</f>
        <v>0</v>
      </c>
      <c r="AM37" s="55" t="n">
        <f aca="false">AK37+AL37</f>
        <v>0</v>
      </c>
      <c r="AN37" s="55" t="n">
        <f aca="false">ROUND(MAX(0,AN36+AO36-AR36),2)</f>
        <v>0</v>
      </c>
      <c r="AO37" s="55" t="n">
        <f aca="false">ROUND(AN37*$E$12/12,2)</f>
        <v>0</v>
      </c>
      <c r="AP37" s="55" t="n">
        <f aca="false">MIN($F$12,AN37+AO37)</f>
        <v>0</v>
      </c>
      <c r="AQ37" s="55" t="n">
        <f aca="false">MAX(0,MIN(AN37+AO37-AP37,$D37-(H37+M37+R37+W37+AB37+AG37+AL37)))</f>
        <v>0</v>
      </c>
      <c r="AR37" s="55" t="n">
        <f aca="false">AP37+AQ37</f>
        <v>0</v>
      </c>
      <c r="AS37" s="55" t="n">
        <f aca="false">ROUND(MAX(0,AS36+AT36-AW36),2)</f>
        <v>0</v>
      </c>
      <c r="AT37" s="55" t="n">
        <f aca="false">ROUND(AS37*$E$13/12,2)</f>
        <v>0</v>
      </c>
      <c r="AU37" s="55" t="n">
        <f aca="false">MIN($F$13,AS37+AT37)</f>
        <v>0</v>
      </c>
      <c r="AV37" s="55" t="n">
        <f aca="false">MAX(0,MIN(AS37+AT37-AU37,$D37-(H37+M37+R37+W37+AB37+AG37+AL37+AQ37)))</f>
        <v>0</v>
      </c>
      <c r="AW37" s="55" t="n">
        <f aca="false">AU37+AV37</f>
        <v>0</v>
      </c>
      <c r="AX37" s="55" t="n">
        <f aca="false">ROUND(MAX(0,AX36+AY36-BB36),2)</f>
        <v>0</v>
      </c>
      <c r="AY37" s="55" t="n">
        <f aca="false">ROUND(AX37*$E$14/12,2)</f>
        <v>0</v>
      </c>
      <c r="AZ37" s="55" t="n">
        <f aca="false">MIN($F$14,AX37+AY37)</f>
        <v>0</v>
      </c>
      <c r="BA37" s="55" t="n">
        <f aca="false">MAX(0,MIN(AX37+AY37-AZ37,$D37-(H37+M37+R37+W37+AB37+AG37+AL37+AQ37+AV37)))</f>
        <v>0</v>
      </c>
      <c r="BB37" s="55" t="n">
        <f aca="false">AZ37+BA37</f>
        <v>0</v>
      </c>
      <c r="BC37" s="55" t="n">
        <f aca="false">I37+N37+S37+X37+AC37+AH37+AM37+AR37+AW37+BB37</f>
        <v>5822</v>
      </c>
      <c r="BD37" s="55" t="n">
        <f aca="false">ROUND((E37+F37-I37)+(J37+K37-N37)+(O37+P37-S37)+(T37+U37-X37)+(Y37+Z37-AC37)+(AD37+AE37-AH37)+(AI37+AJ37-AM37)+(AN37+AO37-AR37)+(AS37+AT37-AW37)+(AX37+AY37-BB37),2)</f>
        <v>25305.75</v>
      </c>
      <c r="BE37" s="25" t="str">
        <f aca="false">IF(H37&gt;0.005,$C$5,IF(M37&gt;0.005,$C$6,IF(R37&gt;0.005,$C$7,IF(W37&gt;0.005,$C$8,IF(AB37&gt;0.005,$C$9,IF(AG37&gt;0.005,$C$10,IF(AL37&gt;0.005,$C$11,IF(AQ37&gt;0.005,$C$12,IF(AV37&gt;0.005,$C$13,IF(BA37&gt;0.005,$C$14,""))))))))))</f>
        <v>网贷X</v>
      </c>
    </row>
    <row r="38" customFormat="false" ht="15" hidden="false" customHeight="false" outlineLevel="0" collapsed="false">
      <c r="A38" s="24" t="n">
        <v>15</v>
      </c>
      <c r="B38" s="54" t="n">
        <f aca="false">EDATE($C$17,A38-1)</f>
        <v>46753</v>
      </c>
      <c r="C38" s="55" t="n">
        <f aca="false">G38+L38+Q38+V38+AA38+AF38+AK38+AP38+AU38+AZ38</f>
        <v>3250</v>
      </c>
      <c r="D38" s="55" t="n">
        <f aca="false">MAX(0,$C$16-C38)</f>
        <v>2572</v>
      </c>
      <c r="E38" s="55" t="n">
        <f aca="false">ROUND(MAX(0,E37+F37-I37),2)</f>
        <v>0</v>
      </c>
      <c r="F38" s="55" t="n">
        <f aca="false">ROUND(E38*$E$5/12,2)</f>
        <v>0</v>
      </c>
      <c r="G38" s="55" t="n">
        <f aca="false">MIN($F$5,E38+F38)</f>
        <v>0</v>
      </c>
      <c r="H38" s="55" t="n">
        <f aca="false">MAX(0,MIN(E38+F38-G38,$D38))</f>
        <v>0</v>
      </c>
      <c r="I38" s="55" t="n">
        <f aca="false">G38+H38</f>
        <v>0</v>
      </c>
      <c r="J38" s="55" t="n">
        <f aca="false">ROUND(MAX(0,J37+K37-N37),2)</f>
        <v>0</v>
      </c>
      <c r="K38" s="55" t="n">
        <f aca="false">ROUND(J38*$E$6/12,2)</f>
        <v>0</v>
      </c>
      <c r="L38" s="55" t="n">
        <f aca="false">MIN($F$6,J38+K38)</f>
        <v>0</v>
      </c>
      <c r="M38" s="55" t="n">
        <f aca="false">MAX(0,MIN(J38+K38-L38,$D38-(H38)))</f>
        <v>0</v>
      </c>
      <c r="N38" s="55" t="n">
        <f aca="false">L38+M38</f>
        <v>0</v>
      </c>
      <c r="O38" s="55" t="n">
        <f aca="false">ROUND(MAX(0,O37+P37-S37),2)</f>
        <v>7854.75</v>
      </c>
      <c r="P38" s="55" t="n">
        <f aca="false">ROUND(O38*$E$7/12,2)</f>
        <v>157.1</v>
      </c>
      <c r="Q38" s="55" t="n">
        <f aca="false">MIN($F$7,O38+P38)</f>
        <v>1350</v>
      </c>
      <c r="R38" s="55" t="n">
        <f aca="false">MAX(0,MIN(O38+P38-Q38,$D38-(H38+M38)))</f>
        <v>2572</v>
      </c>
      <c r="S38" s="55" t="n">
        <f aca="false">Q38+R38</f>
        <v>3922</v>
      </c>
      <c r="T38" s="55" t="n">
        <f aca="false">ROUND(MAX(0,T37+U37-X37),2)</f>
        <v>17451</v>
      </c>
      <c r="U38" s="55" t="n">
        <f aca="false">ROUND(T38*$E$8/12,2)</f>
        <v>261.77</v>
      </c>
      <c r="V38" s="55" t="n">
        <f aca="false">MIN($F$8,T38+U38)</f>
        <v>1900</v>
      </c>
      <c r="W38" s="55" t="n">
        <f aca="false">MAX(0,MIN(T38+U38-V38,$D38-(H38+M38+R38)))</f>
        <v>0</v>
      </c>
      <c r="X38" s="55" t="n">
        <f aca="false">V38+W38</f>
        <v>1900</v>
      </c>
      <c r="Y38" s="55" t="n">
        <f aca="false">ROUND(MAX(0,Y37+Z37-AC37),2)</f>
        <v>0</v>
      </c>
      <c r="Z38" s="55" t="n">
        <f aca="false">ROUND(Y38*$E$9/12,2)</f>
        <v>0</v>
      </c>
      <c r="AA38" s="55" t="n">
        <f aca="false">MIN($F$9,Y38+Z38)</f>
        <v>0</v>
      </c>
      <c r="AB38" s="55" t="n">
        <f aca="false">MAX(0,MIN(Y38+Z38-AA38,$D38-(H38+M38+R38+W38)))</f>
        <v>0</v>
      </c>
      <c r="AC38" s="55" t="n">
        <f aca="false">AA38+AB38</f>
        <v>0</v>
      </c>
      <c r="AD38" s="55" t="n">
        <f aca="false">ROUND(MAX(0,AD37+AE37-AH37),2)</f>
        <v>0</v>
      </c>
      <c r="AE38" s="55" t="n">
        <f aca="false">ROUND(AD38*$E$10/12,2)</f>
        <v>0</v>
      </c>
      <c r="AF38" s="55" t="n">
        <f aca="false">MIN($F$10,AD38+AE38)</f>
        <v>0</v>
      </c>
      <c r="AG38" s="55" t="n">
        <f aca="false">MAX(0,MIN(AD38+AE38-AF38,$D38-(H38+M38+R38+W38+AB38)))</f>
        <v>0</v>
      </c>
      <c r="AH38" s="55" t="n">
        <f aca="false">AF38+AG38</f>
        <v>0</v>
      </c>
      <c r="AI38" s="55" t="n">
        <f aca="false">ROUND(MAX(0,AI37+AJ37-AM37),2)</f>
        <v>0</v>
      </c>
      <c r="AJ38" s="55" t="n">
        <f aca="false">ROUND(AI38*$E$11/12,2)</f>
        <v>0</v>
      </c>
      <c r="AK38" s="55" t="n">
        <f aca="false">MIN($F$11,AI38+AJ38)</f>
        <v>0</v>
      </c>
      <c r="AL38" s="55" t="n">
        <f aca="false">MAX(0,MIN(AI38+AJ38-AK38,$D38-(H38+M38+R38+W38+AB38+AG38)))</f>
        <v>0</v>
      </c>
      <c r="AM38" s="55" t="n">
        <f aca="false">AK38+AL38</f>
        <v>0</v>
      </c>
      <c r="AN38" s="55" t="n">
        <f aca="false">ROUND(MAX(0,AN37+AO37-AR37),2)</f>
        <v>0</v>
      </c>
      <c r="AO38" s="55" t="n">
        <f aca="false">ROUND(AN38*$E$12/12,2)</f>
        <v>0</v>
      </c>
      <c r="AP38" s="55" t="n">
        <f aca="false">MIN($F$12,AN38+AO38)</f>
        <v>0</v>
      </c>
      <c r="AQ38" s="55" t="n">
        <f aca="false">MAX(0,MIN(AN38+AO38-AP38,$D38-(H38+M38+R38+W38+AB38+AG38+AL38)))</f>
        <v>0</v>
      </c>
      <c r="AR38" s="55" t="n">
        <f aca="false">AP38+AQ38</f>
        <v>0</v>
      </c>
      <c r="AS38" s="55" t="n">
        <f aca="false">ROUND(MAX(0,AS37+AT37-AW37),2)</f>
        <v>0</v>
      </c>
      <c r="AT38" s="55" t="n">
        <f aca="false">ROUND(AS38*$E$13/12,2)</f>
        <v>0</v>
      </c>
      <c r="AU38" s="55" t="n">
        <f aca="false">MIN($F$13,AS38+AT38)</f>
        <v>0</v>
      </c>
      <c r="AV38" s="55" t="n">
        <f aca="false">MAX(0,MIN(AS38+AT38-AU38,$D38-(H38+M38+R38+W38+AB38+AG38+AL38+AQ38)))</f>
        <v>0</v>
      </c>
      <c r="AW38" s="55" t="n">
        <f aca="false">AU38+AV38</f>
        <v>0</v>
      </c>
      <c r="AX38" s="55" t="n">
        <f aca="false">ROUND(MAX(0,AX37+AY37-BB37),2)</f>
        <v>0</v>
      </c>
      <c r="AY38" s="55" t="n">
        <f aca="false">ROUND(AX38*$E$14/12,2)</f>
        <v>0</v>
      </c>
      <c r="AZ38" s="55" t="n">
        <f aca="false">MIN($F$14,AX38+AY38)</f>
        <v>0</v>
      </c>
      <c r="BA38" s="55" t="n">
        <f aca="false">MAX(0,MIN(AX38+AY38-AZ38,$D38-(H38+M38+R38+W38+AB38+AG38+AL38+AQ38+AV38)))</f>
        <v>0</v>
      </c>
      <c r="BB38" s="55" t="n">
        <f aca="false">AZ38+BA38</f>
        <v>0</v>
      </c>
      <c r="BC38" s="55" t="n">
        <f aca="false">I38+N38+S38+X38+AC38+AH38+AM38+AR38+AW38+BB38</f>
        <v>5822</v>
      </c>
      <c r="BD38" s="55" t="n">
        <f aca="false">ROUND((E38+F38-I38)+(J38+K38-N38)+(O38+P38-S38)+(T38+U38-X38)+(Y38+Z38-AC38)+(AD38+AE38-AH38)+(AI38+AJ38-AM38)+(AN38+AO38-AR38)+(AS38+AT38-AW38)+(AX38+AY38-BB38),2)</f>
        <v>19902.62</v>
      </c>
      <c r="BE38" s="25" t="str">
        <f aca="false">IF(H38&gt;0.005,$C$5,IF(M38&gt;0.005,$C$6,IF(R38&gt;0.005,$C$7,IF(W38&gt;0.005,$C$8,IF(AB38&gt;0.005,$C$9,IF(AG38&gt;0.005,$C$10,IF(AL38&gt;0.005,$C$11,IF(AQ38&gt;0.005,$C$12,IF(AV38&gt;0.005,$C$13,IF(BA38&gt;0.005,$C$14,""))))))))))</f>
        <v>网贷X</v>
      </c>
    </row>
    <row r="39" customFormat="false" ht="15" hidden="false" customHeight="false" outlineLevel="0" collapsed="false">
      <c r="A39" s="24" t="n">
        <v>16</v>
      </c>
      <c r="B39" s="54" t="n">
        <f aca="false">EDATE($C$17,A39-1)</f>
        <v>46784</v>
      </c>
      <c r="C39" s="55" t="n">
        <f aca="false">G39+L39+Q39+V39+AA39+AF39+AK39+AP39+AU39+AZ39</f>
        <v>3250</v>
      </c>
      <c r="D39" s="55" t="n">
        <f aca="false">MAX(0,$C$16-C39)</f>
        <v>2572</v>
      </c>
      <c r="E39" s="55" t="n">
        <f aca="false">ROUND(MAX(0,E38+F38-I38),2)</f>
        <v>0</v>
      </c>
      <c r="F39" s="55" t="n">
        <f aca="false">ROUND(E39*$E$5/12,2)</f>
        <v>0</v>
      </c>
      <c r="G39" s="55" t="n">
        <f aca="false">MIN($F$5,E39+F39)</f>
        <v>0</v>
      </c>
      <c r="H39" s="55" t="n">
        <f aca="false">MAX(0,MIN(E39+F39-G39,$D39))</f>
        <v>0</v>
      </c>
      <c r="I39" s="55" t="n">
        <f aca="false">G39+H39</f>
        <v>0</v>
      </c>
      <c r="J39" s="55" t="n">
        <f aca="false">ROUND(MAX(0,J38+K38-N38),2)</f>
        <v>0</v>
      </c>
      <c r="K39" s="55" t="n">
        <f aca="false">ROUND(J39*$E$6/12,2)</f>
        <v>0</v>
      </c>
      <c r="L39" s="55" t="n">
        <f aca="false">MIN($F$6,J39+K39)</f>
        <v>0</v>
      </c>
      <c r="M39" s="55" t="n">
        <f aca="false">MAX(0,MIN(J39+K39-L39,$D39-(H39)))</f>
        <v>0</v>
      </c>
      <c r="N39" s="55" t="n">
        <f aca="false">L39+M39</f>
        <v>0</v>
      </c>
      <c r="O39" s="55" t="n">
        <f aca="false">ROUND(MAX(0,O38+P38-S38),2)</f>
        <v>4089.85</v>
      </c>
      <c r="P39" s="55" t="n">
        <f aca="false">ROUND(O39*$E$7/12,2)</f>
        <v>81.8</v>
      </c>
      <c r="Q39" s="55" t="n">
        <f aca="false">MIN($F$7,O39+P39)</f>
        <v>1350</v>
      </c>
      <c r="R39" s="55" t="n">
        <f aca="false">MAX(0,MIN(O39+P39-Q39,$D39-(H39+M39)))</f>
        <v>2572</v>
      </c>
      <c r="S39" s="55" t="n">
        <f aca="false">Q39+R39</f>
        <v>3922</v>
      </c>
      <c r="T39" s="55" t="n">
        <f aca="false">ROUND(MAX(0,T38+U38-X38),2)</f>
        <v>15812.77</v>
      </c>
      <c r="U39" s="55" t="n">
        <f aca="false">ROUND(T39*$E$8/12,2)</f>
        <v>237.19</v>
      </c>
      <c r="V39" s="55" t="n">
        <f aca="false">MIN($F$8,T39+U39)</f>
        <v>1900</v>
      </c>
      <c r="W39" s="55" t="n">
        <f aca="false">MAX(0,MIN(T39+U39-V39,$D39-(H39+M39+R39)))</f>
        <v>0</v>
      </c>
      <c r="X39" s="55" t="n">
        <f aca="false">V39+W39</f>
        <v>1900</v>
      </c>
      <c r="Y39" s="55" t="n">
        <f aca="false">ROUND(MAX(0,Y38+Z38-AC38),2)</f>
        <v>0</v>
      </c>
      <c r="Z39" s="55" t="n">
        <f aca="false">ROUND(Y39*$E$9/12,2)</f>
        <v>0</v>
      </c>
      <c r="AA39" s="55" t="n">
        <f aca="false">MIN($F$9,Y39+Z39)</f>
        <v>0</v>
      </c>
      <c r="AB39" s="55" t="n">
        <f aca="false">MAX(0,MIN(Y39+Z39-AA39,$D39-(H39+M39+R39+W39)))</f>
        <v>0</v>
      </c>
      <c r="AC39" s="55" t="n">
        <f aca="false">AA39+AB39</f>
        <v>0</v>
      </c>
      <c r="AD39" s="55" t="n">
        <f aca="false">ROUND(MAX(0,AD38+AE38-AH38),2)</f>
        <v>0</v>
      </c>
      <c r="AE39" s="55" t="n">
        <f aca="false">ROUND(AD39*$E$10/12,2)</f>
        <v>0</v>
      </c>
      <c r="AF39" s="55" t="n">
        <f aca="false">MIN($F$10,AD39+AE39)</f>
        <v>0</v>
      </c>
      <c r="AG39" s="55" t="n">
        <f aca="false">MAX(0,MIN(AD39+AE39-AF39,$D39-(H39+M39+R39+W39+AB39)))</f>
        <v>0</v>
      </c>
      <c r="AH39" s="55" t="n">
        <f aca="false">AF39+AG39</f>
        <v>0</v>
      </c>
      <c r="AI39" s="55" t="n">
        <f aca="false">ROUND(MAX(0,AI38+AJ38-AM38),2)</f>
        <v>0</v>
      </c>
      <c r="AJ39" s="55" t="n">
        <f aca="false">ROUND(AI39*$E$11/12,2)</f>
        <v>0</v>
      </c>
      <c r="AK39" s="55" t="n">
        <f aca="false">MIN($F$11,AI39+AJ39)</f>
        <v>0</v>
      </c>
      <c r="AL39" s="55" t="n">
        <f aca="false">MAX(0,MIN(AI39+AJ39-AK39,$D39-(H39+M39+R39+W39+AB39+AG39)))</f>
        <v>0</v>
      </c>
      <c r="AM39" s="55" t="n">
        <f aca="false">AK39+AL39</f>
        <v>0</v>
      </c>
      <c r="AN39" s="55" t="n">
        <f aca="false">ROUND(MAX(0,AN38+AO38-AR38),2)</f>
        <v>0</v>
      </c>
      <c r="AO39" s="55" t="n">
        <f aca="false">ROUND(AN39*$E$12/12,2)</f>
        <v>0</v>
      </c>
      <c r="AP39" s="55" t="n">
        <f aca="false">MIN($F$12,AN39+AO39)</f>
        <v>0</v>
      </c>
      <c r="AQ39" s="55" t="n">
        <f aca="false">MAX(0,MIN(AN39+AO39-AP39,$D39-(H39+M39+R39+W39+AB39+AG39+AL39)))</f>
        <v>0</v>
      </c>
      <c r="AR39" s="55" t="n">
        <f aca="false">AP39+AQ39</f>
        <v>0</v>
      </c>
      <c r="AS39" s="55" t="n">
        <f aca="false">ROUND(MAX(0,AS38+AT38-AW38),2)</f>
        <v>0</v>
      </c>
      <c r="AT39" s="55" t="n">
        <f aca="false">ROUND(AS39*$E$13/12,2)</f>
        <v>0</v>
      </c>
      <c r="AU39" s="55" t="n">
        <f aca="false">MIN($F$13,AS39+AT39)</f>
        <v>0</v>
      </c>
      <c r="AV39" s="55" t="n">
        <f aca="false">MAX(0,MIN(AS39+AT39-AU39,$D39-(H39+M39+R39+W39+AB39+AG39+AL39+AQ39)))</f>
        <v>0</v>
      </c>
      <c r="AW39" s="55" t="n">
        <f aca="false">AU39+AV39</f>
        <v>0</v>
      </c>
      <c r="AX39" s="55" t="n">
        <f aca="false">ROUND(MAX(0,AX38+AY38-BB38),2)</f>
        <v>0</v>
      </c>
      <c r="AY39" s="55" t="n">
        <f aca="false">ROUND(AX39*$E$14/12,2)</f>
        <v>0</v>
      </c>
      <c r="AZ39" s="55" t="n">
        <f aca="false">MIN($F$14,AX39+AY39)</f>
        <v>0</v>
      </c>
      <c r="BA39" s="55" t="n">
        <f aca="false">MAX(0,MIN(AX39+AY39-AZ39,$D39-(H39+M39+R39+W39+AB39+AG39+AL39+AQ39+AV39)))</f>
        <v>0</v>
      </c>
      <c r="BB39" s="55" t="n">
        <f aca="false">AZ39+BA39</f>
        <v>0</v>
      </c>
      <c r="BC39" s="55" t="n">
        <f aca="false">I39+N39+S39+X39+AC39+AH39+AM39+AR39+AW39+BB39</f>
        <v>5822</v>
      </c>
      <c r="BD39" s="55" t="n">
        <f aca="false">ROUND((E39+F39-I39)+(J39+K39-N39)+(O39+P39-S39)+(T39+U39-X39)+(Y39+Z39-AC39)+(AD39+AE39-AH39)+(AI39+AJ39-AM39)+(AN39+AO39-AR39)+(AS39+AT39-AW39)+(AX39+AY39-BB39),2)</f>
        <v>14399.61</v>
      </c>
      <c r="BE39" s="25" t="str">
        <f aca="false">IF(H39&gt;0.005,$C$5,IF(M39&gt;0.005,$C$6,IF(R39&gt;0.005,$C$7,IF(W39&gt;0.005,$C$8,IF(AB39&gt;0.005,$C$9,IF(AG39&gt;0.005,$C$10,IF(AL39&gt;0.005,$C$11,IF(AQ39&gt;0.005,$C$12,IF(AV39&gt;0.005,$C$13,IF(BA39&gt;0.005,$C$14,""))))))))))</f>
        <v>网贷X</v>
      </c>
    </row>
    <row r="40" customFormat="false" ht="15" hidden="false" customHeight="false" outlineLevel="0" collapsed="false">
      <c r="A40" s="24" t="n">
        <v>17</v>
      </c>
      <c r="B40" s="54" t="n">
        <f aca="false">EDATE($C$17,A40-1)</f>
        <v>46813</v>
      </c>
      <c r="C40" s="55" t="n">
        <f aca="false">G40+L40+Q40+V40+AA40+AF40+AK40+AP40+AU40+AZ40</f>
        <v>2154.64</v>
      </c>
      <c r="D40" s="55" t="n">
        <f aca="false">MAX(0,$C$16-C40)</f>
        <v>3667.36</v>
      </c>
      <c r="E40" s="55" t="n">
        <f aca="false">ROUND(MAX(0,E39+F39-I39),2)</f>
        <v>0</v>
      </c>
      <c r="F40" s="55" t="n">
        <f aca="false">ROUND(E40*$E$5/12,2)</f>
        <v>0</v>
      </c>
      <c r="G40" s="55" t="n">
        <f aca="false">MIN($F$5,E40+F40)</f>
        <v>0</v>
      </c>
      <c r="H40" s="55" t="n">
        <f aca="false">MAX(0,MIN(E40+F40-G40,$D40))</f>
        <v>0</v>
      </c>
      <c r="I40" s="55" t="n">
        <f aca="false">G40+H40</f>
        <v>0</v>
      </c>
      <c r="J40" s="55" t="n">
        <f aca="false">ROUND(MAX(0,J39+K39-N39),2)</f>
        <v>0</v>
      </c>
      <c r="K40" s="55" t="n">
        <f aca="false">ROUND(J40*$E$6/12,2)</f>
        <v>0</v>
      </c>
      <c r="L40" s="55" t="n">
        <f aca="false">MIN($F$6,J40+K40)</f>
        <v>0</v>
      </c>
      <c r="M40" s="55" t="n">
        <f aca="false">MAX(0,MIN(J40+K40-L40,$D40-(H40)))</f>
        <v>0</v>
      </c>
      <c r="N40" s="55" t="n">
        <f aca="false">L40+M40</f>
        <v>0</v>
      </c>
      <c r="O40" s="55" t="n">
        <f aca="false">ROUND(MAX(0,O39+P39-S39),2)</f>
        <v>249.65</v>
      </c>
      <c r="P40" s="55" t="n">
        <f aca="false">ROUND(O40*$E$7/12,2)</f>
        <v>4.99</v>
      </c>
      <c r="Q40" s="55" t="n">
        <f aca="false">MIN($F$7,O40+P40)</f>
        <v>254.64</v>
      </c>
      <c r="R40" s="55" t="n">
        <f aca="false">MAX(0,MIN(O40+P40-Q40,$D40-(H40+M40)))</f>
        <v>0</v>
      </c>
      <c r="S40" s="55" t="n">
        <f aca="false">Q40+R40</f>
        <v>254.64</v>
      </c>
      <c r="T40" s="55" t="n">
        <f aca="false">ROUND(MAX(0,T39+U39-X39),2)</f>
        <v>14149.96</v>
      </c>
      <c r="U40" s="55" t="n">
        <f aca="false">ROUND(T40*$E$8/12,2)</f>
        <v>212.25</v>
      </c>
      <c r="V40" s="55" t="n">
        <f aca="false">MIN($F$8,T40+U40)</f>
        <v>1900</v>
      </c>
      <c r="W40" s="55" t="n">
        <f aca="false">MAX(0,MIN(T40+U40-V40,$D40-(H40+M40+R40)))</f>
        <v>3667.36</v>
      </c>
      <c r="X40" s="55" t="n">
        <f aca="false">V40+W40</f>
        <v>5567.36</v>
      </c>
      <c r="Y40" s="55" t="n">
        <f aca="false">ROUND(MAX(0,Y39+Z39-AC39),2)</f>
        <v>0</v>
      </c>
      <c r="Z40" s="55" t="n">
        <f aca="false">ROUND(Y40*$E$9/12,2)</f>
        <v>0</v>
      </c>
      <c r="AA40" s="55" t="n">
        <f aca="false">MIN($F$9,Y40+Z40)</f>
        <v>0</v>
      </c>
      <c r="AB40" s="55" t="n">
        <f aca="false">MAX(0,MIN(Y40+Z40-AA40,$D40-(H40+M40+R40+W40)))</f>
        <v>0</v>
      </c>
      <c r="AC40" s="55" t="n">
        <f aca="false">AA40+AB40</f>
        <v>0</v>
      </c>
      <c r="AD40" s="55" t="n">
        <f aca="false">ROUND(MAX(0,AD39+AE39-AH39),2)</f>
        <v>0</v>
      </c>
      <c r="AE40" s="55" t="n">
        <f aca="false">ROUND(AD40*$E$10/12,2)</f>
        <v>0</v>
      </c>
      <c r="AF40" s="55" t="n">
        <f aca="false">MIN($F$10,AD40+AE40)</f>
        <v>0</v>
      </c>
      <c r="AG40" s="55" t="n">
        <f aca="false">MAX(0,MIN(AD40+AE40-AF40,$D40-(H40+M40+R40+W40+AB40)))</f>
        <v>0</v>
      </c>
      <c r="AH40" s="55" t="n">
        <f aca="false">AF40+AG40</f>
        <v>0</v>
      </c>
      <c r="AI40" s="55" t="n">
        <f aca="false">ROUND(MAX(0,AI39+AJ39-AM39),2)</f>
        <v>0</v>
      </c>
      <c r="AJ40" s="55" t="n">
        <f aca="false">ROUND(AI40*$E$11/12,2)</f>
        <v>0</v>
      </c>
      <c r="AK40" s="55" t="n">
        <f aca="false">MIN($F$11,AI40+AJ40)</f>
        <v>0</v>
      </c>
      <c r="AL40" s="55" t="n">
        <f aca="false">MAX(0,MIN(AI40+AJ40-AK40,$D40-(H40+M40+R40+W40+AB40+AG40)))</f>
        <v>0</v>
      </c>
      <c r="AM40" s="55" t="n">
        <f aca="false">AK40+AL40</f>
        <v>0</v>
      </c>
      <c r="AN40" s="55" t="n">
        <f aca="false">ROUND(MAX(0,AN39+AO39-AR39),2)</f>
        <v>0</v>
      </c>
      <c r="AO40" s="55" t="n">
        <f aca="false">ROUND(AN40*$E$12/12,2)</f>
        <v>0</v>
      </c>
      <c r="AP40" s="55" t="n">
        <f aca="false">MIN($F$12,AN40+AO40)</f>
        <v>0</v>
      </c>
      <c r="AQ40" s="55" t="n">
        <f aca="false">MAX(0,MIN(AN40+AO40-AP40,$D40-(H40+M40+R40+W40+AB40+AG40+AL40)))</f>
        <v>0</v>
      </c>
      <c r="AR40" s="55" t="n">
        <f aca="false">AP40+AQ40</f>
        <v>0</v>
      </c>
      <c r="AS40" s="55" t="n">
        <f aca="false">ROUND(MAX(0,AS39+AT39-AW39),2)</f>
        <v>0</v>
      </c>
      <c r="AT40" s="55" t="n">
        <f aca="false">ROUND(AS40*$E$13/12,2)</f>
        <v>0</v>
      </c>
      <c r="AU40" s="55" t="n">
        <f aca="false">MIN($F$13,AS40+AT40)</f>
        <v>0</v>
      </c>
      <c r="AV40" s="55" t="n">
        <f aca="false">MAX(0,MIN(AS40+AT40-AU40,$D40-(H40+M40+R40+W40+AB40+AG40+AL40+AQ40)))</f>
        <v>0</v>
      </c>
      <c r="AW40" s="55" t="n">
        <f aca="false">AU40+AV40</f>
        <v>0</v>
      </c>
      <c r="AX40" s="55" t="n">
        <f aca="false">ROUND(MAX(0,AX39+AY39-BB39),2)</f>
        <v>0</v>
      </c>
      <c r="AY40" s="55" t="n">
        <f aca="false">ROUND(AX40*$E$14/12,2)</f>
        <v>0</v>
      </c>
      <c r="AZ40" s="55" t="n">
        <f aca="false">MIN($F$14,AX40+AY40)</f>
        <v>0</v>
      </c>
      <c r="BA40" s="55" t="n">
        <f aca="false">MAX(0,MIN(AX40+AY40-AZ40,$D40-(H40+M40+R40+W40+AB40+AG40+AL40+AQ40+AV40)))</f>
        <v>0</v>
      </c>
      <c r="BB40" s="55" t="n">
        <f aca="false">AZ40+BA40</f>
        <v>0</v>
      </c>
      <c r="BC40" s="55" t="n">
        <f aca="false">I40+N40+S40+X40+AC40+AH40+AM40+AR40+AW40+BB40</f>
        <v>5822</v>
      </c>
      <c r="BD40" s="55" t="n">
        <f aca="false">ROUND((E40+F40-I40)+(J40+K40-N40)+(O40+P40-S40)+(T40+U40-X40)+(Y40+Z40-AC40)+(AD40+AE40-AH40)+(AI40+AJ40-AM40)+(AN40+AO40-AR40)+(AS40+AT40-AW40)+(AX40+AY40-BB40),2)</f>
        <v>8794.85</v>
      </c>
      <c r="BE40" s="25" t="str">
        <f aca="false">IF(H40&gt;0.005,$C$5,IF(M40&gt;0.005,$C$6,IF(R40&gt;0.005,$C$7,IF(W40&gt;0.005,$C$8,IF(AB40&gt;0.005,$C$9,IF(AG40&gt;0.005,$C$10,IF(AL40&gt;0.005,$C$11,IF(AQ40&gt;0.005,$C$12,IF(AV40&gt;0.005,$C$13,IF(BA40&gt;0.005,$C$14,""))))))))))</f>
        <v>信用卡A</v>
      </c>
    </row>
    <row r="41" customFormat="false" ht="15" hidden="false" customHeight="false" outlineLevel="0" collapsed="false">
      <c r="A41" s="24" t="n">
        <v>18</v>
      </c>
      <c r="B41" s="54" t="n">
        <f aca="false">EDATE($C$17,A41-1)</f>
        <v>46844</v>
      </c>
      <c r="C41" s="55" t="n">
        <f aca="false">G41+L41+Q41+V41+AA41+AF41+AK41+AP41+AU41+AZ41</f>
        <v>1900</v>
      </c>
      <c r="D41" s="55" t="n">
        <f aca="false">MAX(0,$C$16-C41)</f>
        <v>3922</v>
      </c>
      <c r="E41" s="55" t="n">
        <f aca="false">ROUND(MAX(0,E40+F40-I40),2)</f>
        <v>0</v>
      </c>
      <c r="F41" s="55" t="n">
        <f aca="false">ROUND(E41*$E$5/12,2)</f>
        <v>0</v>
      </c>
      <c r="G41" s="55" t="n">
        <f aca="false">MIN($F$5,E41+F41)</f>
        <v>0</v>
      </c>
      <c r="H41" s="55" t="n">
        <f aca="false">MAX(0,MIN(E41+F41-G41,$D41))</f>
        <v>0</v>
      </c>
      <c r="I41" s="55" t="n">
        <f aca="false">G41+H41</f>
        <v>0</v>
      </c>
      <c r="J41" s="55" t="n">
        <f aca="false">ROUND(MAX(0,J40+K40-N40),2)</f>
        <v>0</v>
      </c>
      <c r="K41" s="55" t="n">
        <f aca="false">ROUND(J41*$E$6/12,2)</f>
        <v>0</v>
      </c>
      <c r="L41" s="55" t="n">
        <f aca="false">MIN($F$6,J41+K41)</f>
        <v>0</v>
      </c>
      <c r="M41" s="55" t="n">
        <f aca="false">MAX(0,MIN(J41+K41-L41,$D41-(H41)))</f>
        <v>0</v>
      </c>
      <c r="N41" s="55" t="n">
        <f aca="false">L41+M41</f>
        <v>0</v>
      </c>
      <c r="O41" s="55" t="n">
        <f aca="false">ROUND(MAX(0,O40+P40-S40),2)</f>
        <v>0</v>
      </c>
      <c r="P41" s="55" t="n">
        <f aca="false">ROUND(O41*$E$7/12,2)</f>
        <v>0</v>
      </c>
      <c r="Q41" s="55" t="n">
        <f aca="false">MIN($F$7,O41+P41)</f>
        <v>0</v>
      </c>
      <c r="R41" s="55" t="n">
        <f aca="false">MAX(0,MIN(O41+P41-Q41,$D41-(H41+M41)))</f>
        <v>0</v>
      </c>
      <c r="S41" s="55" t="n">
        <f aca="false">Q41+R41</f>
        <v>0</v>
      </c>
      <c r="T41" s="55" t="n">
        <f aca="false">ROUND(MAX(0,T40+U40-X40),2)</f>
        <v>8794.85</v>
      </c>
      <c r="U41" s="55" t="n">
        <f aca="false">ROUND(T41*$E$8/12,2)</f>
        <v>131.92</v>
      </c>
      <c r="V41" s="55" t="n">
        <f aca="false">MIN($F$8,T41+U41)</f>
        <v>1900</v>
      </c>
      <c r="W41" s="55" t="n">
        <f aca="false">MAX(0,MIN(T41+U41-V41,$D41-(H41+M41+R41)))</f>
        <v>3922</v>
      </c>
      <c r="X41" s="55" t="n">
        <f aca="false">V41+W41</f>
        <v>5822</v>
      </c>
      <c r="Y41" s="55" t="n">
        <f aca="false">ROUND(MAX(0,Y40+Z40-AC40),2)</f>
        <v>0</v>
      </c>
      <c r="Z41" s="55" t="n">
        <f aca="false">ROUND(Y41*$E$9/12,2)</f>
        <v>0</v>
      </c>
      <c r="AA41" s="55" t="n">
        <f aca="false">MIN($F$9,Y41+Z41)</f>
        <v>0</v>
      </c>
      <c r="AB41" s="55" t="n">
        <f aca="false">MAX(0,MIN(Y41+Z41-AA41,$D41-(H41+M41+R41+W41)))</f>
        <v>0</v>
      </c>
      <c r="AC41" s="55" t="n">
        <f aca="false">AA41+AB41</f>
        <v>0</v>
      </c>
      <c r="AD41" s="55" t="n">
        <f aca="false">ROUND(MAX(0,AD40+AE40-AH40),2)</f>
        <v>0</v>
      </c>
      <c r="AE41" s="55" t="n">
        <f aca="false">ROUND(AD41*$E$10/12,2)</f>
        <v>0</v>
      </c>
      <c r="AF41" s="55" t="n">
        <f aca="false">MIN($F$10,AD41+AE41)</f>
        <v>0</v>
      </c>
      <c r="AG41" s="55" t="n">
        <f aca="false">MAX(0,MIN(AD41+AE41-AF41,$D41-(H41+M41+R41+W41+AB41)))</f>
        <v>0</v>
      </c>
      <c r="AH41" s="55" t="n">
        <f aca="false">AF41+AG41</f>
        <v>0</v>
      </c>
      <c r="AI41" s="55" t="n">
        <f aca="false">ROUND(MAX(0,AI40+AJ40-AM40),2)</f>
        <v>0</v>
      </c>
      <c r="AJ41" s="55" t="n">
        <f aca="false">ROUND(AI41*$E$11/12,2)</f>
        <v>0</v>
      </c>
      <c r="AK41" s="55" t="n">
        <f aca="false">MIN($F$11,AI41+AJ41)</f>
        <v>0</v>
      </c>
      <c r="AL41" s="55" t="n">
        <f aca="false">MAX(0,MIN(AI41+AJ41-AK41,$D41-(H41+M41+R41+W41+AB41+AG41)))</f>
        <v>0</v>
      </c>
      <c r="AM41" s="55" t="n">
        <f aca="false">AK41+AL41</f>
        <v>0</v>
      </c>
      <c r="AN41" s="55" t="n">
        <f aca="false">ROUND(MAX(0,AN40+AO40-AR40),2)</f>
        <v>0</v>
      </c>
      <c r="AO41" s="55" t="n">
        <f aca="false">ROUND(AN41*$E$12/12,2)</f>
        <v>0</v>
      </c>
      <c r="AP41" s="55" t="n">
        <f aca="false">MIN($F$12,AN41+AO41)</f>
        <v>0</v>
      </c>
      <c r="AQ41" s="55" t="n">
        <f aca="false">MAX(0,MIN(AN41+AO41-AP41,$D41-(H41+M41+R41+W41+AB41+AG41+AL41)))</f>
        <v>0</v>
      </c>
      <c r="AR41" s="55" t="n">
        <f aca="false">AP41+AQ41</f>
        <v>0</v>
      </c>
      <c r="AS41" s="55" t="n">
        <f aca="false">ROUND(MAX(0,AS40+AT40-AW40),2)</f>
        <v>0</v>
      </c>
      <c r="AT41" s="55" t="n">
        <f aca="false">ROUND(AS41*$E$13/12,2)</f>
        <v>0</v>
      </c>
      <c r="AU41" s="55" t="n">
        <f aca="false">MIN($F$13,AS41+AT41)</f>
        <v>0</v>
      </c>
      <c r="AV41" s="55" t="n">
        <f aca="false">MAX(0,MIN(AS41+AT41-AU41,$D41-(H41+M41+R41+W41+AB41+AG41+AL41+AQ41)))</f>
        <v>0</v>
      </c>
      <c r="AW41" s="55" t="n">
        <f aca="false">AU41+AV41</f>
        <v>0</v>
      </c>
      <c r="AX41" s="55" t="n">
        <f aca="false">ROUND(MAX(0,AX40+AY40-BB40),2)</f>
        <v>0</v>
      </c>
      <c r="AY41" s="55" t="n">
        <f aca="false">ROUND(AX41*$E$14/12,2)</f>
        <v>0</v>
      </c>
      <c r="AZ41" s="55" t="n">
        <f aca="false">MIN($F$14,AX41+AY41)</f>
        <v>0</v>
      </c>
      <c r="BA41" s="55" t="n">
        <f aca="false">MAX(0,MIN(AX41+AY41-AZ41,$D41-(H41+M41+R41+W41+AB41+AG41+AL41+AQ41+AV41)))</f>
        <v>0</v>
      </c>
      <c r="BB41" s="55" t="n">
        <f aca="false">AZ41+BA41</f>
        <v>0</v>
      </c>
      <c r="BC41" s="55" t="n">
        <f aca="false">I41+N41+S41+X41+AC41+AH41+AM41+AR41+AW41+BB41</f>
        <v>5822</v>
      </c>
      <c r="BD41" s="55" t="n">
        <f aca="false">ROUND((E41+F41-I41)+(J41+K41-N41)+(O41+P41-S41)+(T41+U41-X41)+(Y41+Z41-AC41)+(AD41+AE41-AH41)+(AI41+AJ41-AM41)+(AN41+AO41-AR41)+(AS41+AT41-AW41)+(AX41+AY41-BB41),2)</f>
        <v>3104.77</v>
      </c>
      <c r="BE41" s="25" t="str">
        <f aca="false">IF(H41&gt;0.005,$C$5,IF(M41&gt;0.005,$C$6,IF(R41&gt;0.005,$C$7,IF(W41&gt;0.005,$C$8,IF(AB41&gt;0.005,$C$9,IF(AG41&gt;0.005,$C$10,IF(AL41&gt;0.005,$C$11,IF(AQ41&gt;0.005,$C$12,IF(AV41&gt;0.005,$C$13,IF(BA41&gt;0.005,$C$14,""))))))))))</f>
        <v>信用卡A</v>
      </c>
    </row>
    <row r="42" customFormat="false" ht="15" hidden="false" customHeight="false" outlineLevel="0" collapsed="false">
      <c r="A42" s="24" t="n">
        <v>19</v>
      </c>
      <c r="B42" s="54" t="n">
        <f aca="false">EDATE($C$17,A42-1)</f>
        <v>46874</v>
      </c>
      <c r="C42" s="55" t="n">
        <f aca="false">G42+L42+Q42+V42+AA42+AF42+AK42+AP42+AU42+AZ42</f>
        <v>1900</v>
      </c>
      <c r="D42" s="55" t="n">
        <f aca="false">MAX(0,$C$16-C42)</f>
        <v>3922</v>
      </c>
      <c r="E42" s="55" t="n">
        <f aca="false">ROUND(MAX(0,E41+F41-I41),2)</f>
        <v>0</v>
      </c>
      <c r="F42" s="55" t="n">
        <f aca="false">ROUND(E42*$E$5/12,2)</f>
        <v>0</v>
      </c>
      <c r="G42" s="55" t="n">
        <f aca="false">MIN($F$5,E42+F42)</f>
        <v>0</v>
      </c>
      <c r="H42" s="55" t="n">
        <f aca="false">MAX(0,MIN(E42+F42-G42,$D42))</f>
        <v>0</v>
      </c>
      <c r="I42" s="55" t="n">
        <f aca="false">G42+H42</f>
        <v>0</v>
      </c>
      <c r="J42" s="55" t="n">
        <f aca="false">ROUND(MAX(0,J41+K41-N41),2)</f>
        <v>0</v>
      </c>
      <c r="K42" s="55" t="n">
        <f aca="false">ROUND(J42*$E$6/12,2)</f>
        <v>0</v>
      </c>
      <c r="L42" s="55" t="n">
        <f aca="false">MIN($F$6,J42+K42)</f>
        <v>0</v>
      </c>
      <c r="M42" s="55" t="n">
        <f aca="false">MAX(0,MIN(J42+K42-L42,$D42-(H42)))</f>
        <v>0</v>
      </c>
      <c r="N42" s="55" t="n">
        <f aca="false">L42+M42</f>
        <v>0</v>
      </c>
      <c r="O42" s="55" t="n">
        <f aca="false">ROUND(MAX(0,O41+P41-S41),2)</f>
        <v>0</v>
      </c>
      <c r="P42" s="55" t="n">
        <f aca="false">ROUND(O42*$E$7/12,2)</f>
        <v>0</v>
      </c>
      <c r="Q42" s="55" t="n">
        <f aca="false">MIN($F$7,O42+P42)</f>
        <v>0</v>
      </c>
      <c r="R42" s="55" t="n">
        <f aca="false">MAX(0,MIN(O42+P42-Q42,$D42-(H42+M42)))</f>
        <v>0</v>
      </c>
      <c r="S42" s="55" t="n">
        <f aca="false">Q42+R42</f>
        <v>0</v>
      </c>
      <c r="T42" s="55" t="n">
        <f aca="false">ROUND(MAX(0,T41+U41-X41),2)</f>
        <v>3104.77</v>
      </c>
      <c r="U42" s="55" t="n">
        <f aca="false">ROUND(T42*$E$8/12,2)</f>
        <v>46.57</v>
      </c>
      <c r="V42" s="55" t="n">
        <f aca="false">MIN($F$8,T42+U42)</f>
        <v>1900</v>
      </c>
      <c r="W42" s="55" t="n">
        <f aca="false">MAX(0,MIN(T42+U42-V42,$D42-(H42+M42+R42)))</f>
        <v>1251.34</v>
      </c>
      <c r="X42" s="55" t="n">
        <f aca="false">V42+W42</f>
        <v>3151.34</v>
      </c>
      <c r="Y42" s="55" t="n">
        <f aca="false">ROUND(MAX(0,Y41+Z41-AC41),2)</f>
        <v>0</v>
      </c>
      <c r="Z42" s="55" t="n">
        <f aca="false">ROUND(Y42*$E$9/12,2)</f>
        <v>0</v>
      </c>
      <c r="AA42" s="55" t="n">
        <f aca="false">MIN($F$9,Y42+Z42)</f>
        <v>0</v>
      </c>
      <c r="AB42" s="55" t="n">
        <f aca="false">MAX(0,MIN(Y42+Z42-AA42,$D42-(H42+M42+R42+W42)))</f>
        <v>0</v>
      </c>
      <c r="AC42" s="55" t="n">
        <f aca="false">AA42+AB42</f>
        <v>0</v>
      </c>
      <c r="AD42" s="55" t="n">
        <f aca="false">ROUND(MAX(0,AD41+AE41-AH41),2)</f>
        <v>0</v>
      </c>
      <c r="AE42" s="55" t="n">
        <f aca="false">ROUND(AD42*$E$10/12,2)</f>
        <v>0</v>
      </c>
      <c r="AF42" s="55" t="n">
        <f aca="false">MIN($F$10,AD42+AE42)</f>
        <v>0</v>
      </c>
      <c r="AG42" s="55" t="n">
        <f aca="false">MAX(0,MIN(AD42+AE42-AF42,$D42-(H42+M42+R42+W42+AB42)))</f>
        <v>0</v>
      </c>
      <c r="AH42" s="55" t="n">
        <f aca="false">AF42+AG42</f>
        <v>0</v>
      </c>
      <c r="AI42" s="55" t="n">
        <f aca="false">ROUND(MAX(0,AI41+AJ41-AM41),2)</f>
        <v>0</v>
      </c>
      <c r="AJ42" s="55" t="n">
        <f aca="false">ROUND(AI42*$E$11/12,2)</f>
        <v>0</v>
      </c>
      <c r="AK42" s="55" t="n">
        <f aca="false">MIN($F$11,AI42+AJ42)</f>
        <v>0</v>
      </c>
      <c r="AL42" s="55" t="n">
        <f aca="false">MAX(0,MIN(AI42+AJ42-AK42,$D42-(H42+M42+R42+W42+AB42+AG42)))</f>
        <v>0</v>
      </c>
      <c r="AM42" s="55" t="n">
        <f aca="false">AK42+AL42</f>
        <v>0</v>
      </c>
      <c r="AN42" s="55" t="n">
        <f aca="false">ROUND(MAX(0,AN41+AO41-AR41),2)</f>
        <v>0</v>
      </c>
      <c r="AO42" s="55" t="n">
        <f aca="false">ROUND(AN42*$E$12/12,2)</f>
        <v>0</v>
      </c>
      <c r="AP42" s="55" t="n">
        <f aca="false">MIN($F$12,AN42+AO42)</f>
        <v>0</v>
      </c>
      <c r="AQ42" s="55" t="n">
        <f aca="false">MAX(0,MIN(AN42+AO42-AP42,$D42-(H42+M42+R42+W42+AB42+AG42+AL42)))</f>
        <v>0</v>
      </c>
      <c r="AR42" s="55" t="n">
        <f aca="false">AP42+AQ42</f>
        <v>0</v>
      </c>
      <c r="AS42" s="55" t="n">
        <f aca="false">ROUND(MAX(0,AS41+AT41-AW41),2)</f>
        <v>0</v>
      </c>
      <c r="AT42" s="55" t="n">
        <f aca="false">ROUND(AS42*$E$13/12,2)</f>
        <v>0</v>
      </c>
      <c r="AU42" s="55" t="n">
        <f aca="false">MIN($F$13,AS42+AT42)</f>
        <v>0</v>
      </c>
      <c r="AV42" s="55" t="n">
        <f aca="false">MAX(0,MIN(AS42+AT42-AU42,$D42-(H42+M42+R42+W42+AB42+AG42+AL42+AQ42)))</f>
        <v>0</v>
      </c>
      <c r="AW42" s="55" t="n">
        <f aca="false">AU42+AV42</f>
        <v>0</v>
      </c>
      <c r="AX42" s="55" t="n">
        <f aca="false">ROUND(MAX(0,AX41+AY41-BB41),2)</f>
        <v>0</v>
      </c>
      <c r="AY42" s="55" t="n">
        <f aca="false">ROUND(AX42*$E$14/12,2)</f>
        <v>0</v>
      </c>
      <c r="AZ42" s="55" t="n">
        <f aca="false">MIN($F$14,AX42+AY42)</f>
        <v>0</v>
      </c>
      <c r="BA42" s="55" t="n">
        <f aca="false">MAX(0,MIN(AX42+AY42-AZ42,$D42-(H42+M42+R42+W42+AB42+AG42+AL42+AQ42+AV42)))</f>
        <v>0</v>
      </c>
      <c r="BB42" s="55" t="n">
        <f aca="false">AZ42+BA42</f>
        <v>0</v>
      </c>
      <c r="BC42" s="55" t="n">
        <f aca="false">I42+N42+S42+X42+AC42+AH42+AM42+AR42+AW42+BB42</f>
        <v>3151.34</v>
      </c>
      <c r="BD42" s="55" t="n">
        <f aca="false">ROUND((E42+F42-I42)+(J42+K42-N42)+(O42+P42-S42)+(T42+U42-X42)+(Y42+Z42-AC42)+(AD42+AE42-AH42)+(AI42+AJ42-AM42)+(AN42+AO42-AR42)+(AS42+AT42-AW42)+(AX42+AY42-BB42),2)</f>
        <v>0</v>
      </c>
      <c r="BE42" s="25" t="str">
        <f aca="false">IF(H42&gt;0.005,$C$5,IF(M42&gt;0.005,$C$6,IF(R42&gt;0.005,$C$7,IF(W42&gt;0.005,$C$8,IF(AB42&gt;0.005,$C$9,IF(AG42&gt;0.005,$C$10,IF(AL42&gt;0.005,$C$11,IF(AQ42&gt;0.005,$C$12,IF(AV42&gt;0.005,$C$13,IF(BA42&gt;0.005,$C$14,""))))))))))</f>
        <v>信用卡A</v>
      </c>
    </row>
    <row r="43" customFormat="false" ht="15" hidden="false" customHeight="false" outlineLevel="0" collapsed="false">
      <c r="A43" s="24" t="n">
        <v>20</v>
      </c>
      <c r="B43" s="54" t="n">
        <f aca="false">EDATE($C$17,A43-1)</f>
        <v>46905</v>
      </c>
      <c r="C43" s="55" t="n">
        <f aca="false">G43+L43+Q43+V43+AA43+AF43+AK43+AP43+AU43+AZ43</f>
        <v>0</v>
      </c>
      <c r="D43" s="55" t="n">
        <f aca="false">MAX(0,$C$16-C43)</f>
        <v>5822</v>
      </c>
      <c r="E43" s="55" t="n">
        <f aca="false">ROUND(MAX(0,E42+F42-I42),2)</f>
        <v>0</v>
      </c>
      <c r="F43" s="55" t="n">
        <f aca="false">ROUND(E43*$E$5/12,2)</f>
        <v>0</v>
      </c>
      <c r="G43" s="55" t="n">
        <f aca="false">MIN($F$5,E43+F43)</f>
        <v>0</v>
      </c>
      <c r="H43" s="55" t="n">
        <f aca="false">MAX(0,MIN(E43+F43-G43,$D43))</f>
        <v>0</v>
      </c>
      <c r="I43" s="55" t="n">
        <f aca="false">G43+H43</f>
        <v>0</v>
      </c>
      <c r="J43" s="55" t="n">
        <f aca="false">ROUND(MAX(0,J42+K42-N42),2)</f>
        <v>0</v>
      </c>
      <c r="K43" s="55" t="n">
        <f aca="false">ROUND(J43*$E$6/12,2)</f>
        <v>0</v>
      </c>
      <c r="L43" s="55" t="n">
        <f aca="false">MIN($F$6,J43+K43)</f>
        <v>0</v>
      </c>
      <c r="M43" s="55" t="n">
        <f aca="false">MAX(0,MIN(J43+K43-L43,$D43-(H43)))</f>
        <v>0</v>
      </c>
      <c r="N43" s="55" t="n">
        <f aca="false">L43+M43</f>
        <v>0</v>
      </c>
      <c r="O43" s="55" t="n">
        <f aca="false">ROUND(MAX(0,O42+P42-S42),2)</f>
        <v>0</v>
      </c>
      <c r="P43" s="55" t="n">
        <f aca="false">ROUND(O43*$E$7/12,2)</f>
        <v>0</v>
      </c>
      <c r="Q43" s="55" t="n">
        <f aca="false">MIN($F$7,O43+P43)</f>
        <v>0</v>
      </c>
      <c r="R43" s="55" t="n">
        <f aca="false">MAX(0,MIN(O43+P43-Q43,$D43-(H43+M43)))</f>
        <v>0</v>
      </c>
      <c r="S43" s="55" t="n">
        <f aca="false">Q43+R43</f>
        <v>0</v>
      </c>
      <c r="T43" s="55" t="n">
        <f aca="false">ROUND(MAX(0,T42+U42-X42),2)</f>
        <v>0</v>
      </c>
      <c r="U43" s="55" t="n">
        <f aca="false">ROUND(T43*$E$8/12,2)</f>
        <v>0</v>
      </c>
      <c r="V43" s="55" t="n">
        <f aca="false">MIN($F$8,T43+U43)</f>
        <v>0</v>
      </c>
      <c r="W43" s="55" t="n">
        <f aca="false">MAX(0,MIN(T43+U43-V43,$D43-(H43+M43+R43)))</f>
        <v>0</v>
      </c>
      <c r="X43" s="55" t="n">
        <f aca="false">V43+W43</f>
        <v>0</v>
      </c>
      <c r="Y43" s="55" t="n">
        <f aca="false">ROUND(MAX(0,Y42+Z42-AC42),2)</f>
        <v>0</v>
      </c>
      <c r="Z43" s="55" t="n">
        <f aca="false">ROUND(Y43*$E$9/12,2)</f>
        <v>0</v>
      </c>
      <c r="AA43" s="55" t="n">
        <f aca="false">MIN($F$9,Y43+Z43)</f>
        <v>0</v>
      </c>
      <c r="AB43" s="55" t="n">
        <f aca="false">MAX(0,MIN(Y43+Z43-AA43,$D43-(H43+M43+R43+W43)))</f>
        <v>0</v>
      </c>
      <c r="AC43" s="55" t="n">
        <f aca="false">AA43+AB43</f>
        <v>0</v>
      </c>
      <c r="AD43" s="55" t="n">
        <f aca="false">ROUND(MAX(0,AD42+AE42-AH42),2)</f>
        <v>0</v>
      </c>
      <c r="AE43" s="55" t="n">
        <f aca="false">ROUND(AD43*$E$10/12,2)</f>
        <v>0</v>
      </c>
      <c r="AF43" s="55" t="n">
        <f aca="false">MIN($F$10,AD43+AE43)</f>
        <v>0</v>
      </c>
      <c r="AG43" s="55" t="n">
        <f aca="false">MAX(0,MIN(AD43+AE43-AF43,$D43-(H43+M43+R43+W43+AB43)))</f>
        <v>0</v>
      </c>
      <c r="AH43" s="55" t="n">
        <f aca="false">AF43+AG43</f>
        <v>0</v>
      </c>
      <c r="AI43" s="55" t="n">
        <f aca="false">ROUND(MAX(0,AI42+AJ42-AM42),2)</f>
        <v>0</v>
      </c>
      <c r="AJ43" s="55" t="n">
        <f aca="false">ROUND(AI43*$E$11/12,2)</f>
        <v>0</v>
      </c>
      <c r="AK43" s="55" t="n">
        <f aca="false">MIN($F$11,AI43+AJ43)</f>
        <v>0</v>
      </c>
      <c r="AL43" s="55" t="n">
        <f aca="false">MAX(0,MIN(AI43+AJ43-AK43,$D43-(H43+M43+R43+W43+AB43+AG43)))</f>
        <v>0</v>
      </c>
      <c r="AM43" s="55" t="n">
        <f aca="false">AK43+AL43</f>
        <v>0</v>
      </c>
      <c r="AN43" s="55" t="n">
        <f aca="false">ROUND(MAX(0,AN42+AO42-AR42),2)</f>
        <v>0</v>
      </c>
      <c r="AO43" s="55" t="n">
        <f aca="false">ROUND(AN43*$E$12/12,2)</f>
        <v>0</v>
      </c>
      <c r="AP43" s="55" t="n">
        <f aca="false">MIN($F$12,AN43+AO43)</f>
        <v>0</v>
      </c>
      <c r="AQ43" s="55" t="n">
        <f aca="false">MAX(0,MIN(AN43+AO43-AP43,$D43-(H43+M43+R43+W43+AB43+AG43+AL43)))</f>
        <v>0</v>
      </c>
      <c r="AR43" s="55" t="n">
        <f aca="false">AP43+AQ43</f>
        <v>0</v>
      </c>
      <c r="AS43" s="55" t="n">
        <f aca="false">ROUND(MAX(0,AS42+AT42-AW42),2)</f>
        <v>0</v>
      </c>
      <c r="AT43" s="55" t="n">
        <f aca="false">ROUND(AS43*$E$13/12,2)</f>
        <v>0</v>
      </c>
      <c r="AU43" s="55" t="n">
        <f aca="false">MIN($F$13,AS43+AT43)</f>
        <v>0</v>
      </c>
      <c r="AV43" s="55" t="n">
        <f aca="false">MAX(0,MIN(AS43+AT43-AU43,$D43-(H43+M43+R43+W43+AB43+AG43+AL43+AQ43)))</f>
        <v>0</v>
      </c>
      <c r="AW43" s="55" t="n">
        <f aca="false">AU43+AV43</f>
        <v>0</v>
      </c>
      <c r="AX43" s="55" t="n">
        <f aca="false">ROUND(MAX(0,AX42+AY42-BB42),2)</f>
        <v>0</v>
      </c>
      <c r="AY43" s="55" t="n">
        <f aca="false">ROUND(AX43*$E$14/12,2)</f>
        <v>0</v>
      </c>
      <c r="AZ43" s="55" t="n">
        <f aca="false">MIN($F$14,AX43+AY43)</f>
        <v>0</v>
      </c>
      <c r="BA43" s="55" t="n">
        <f aca="false">MAX(0,MIN(AX43+AY43-AZ43,$D43-(H43+M43+R43+W43+AB43+AG43+AL43+AQ43+AV43)))</f>
        <v>0</v>
      </c>
      <c r="BB43" s="55" t="n">
        <f aca="false">AZ43+BA43</f>
        <v>0</v>
      </c>
      <c r="BC43" s="55" t="n">
        <f aca="false">I43+N43+S43+X43+AC43+AH43+AM43+AR43+AW43+BB43</f>
        <v>0</v>
      </c>
      <c r="BD43" s="55" t="n">
        <f aca="false">ROUND((E43+F43-I43)+(J43+K43-N43)+(O43+P43-S43)+(T43+U43-X43)+(Y43+Z43-AC43)+(AD43+AE43-AH43)+(AI43+AJ43-AM43)+(AN43+AO43-AR43)+(AS43+AT43-AW43)+(AX43+AY43-BB43),2)</f>
        <v>0</v>
      </c>
      <c r="BE43" s="25" t="str">
        <f aca="false">IF(H43&gt;0.005,$C$5,IF(M43&gt;0.005,$C$6,IF(R43&gt;0.005,$C$7,IF(W43&gt;0.005,$C$8,IF(AB43&gt;0.005,$C$9,IF(AG43&gt;0.005,$C$10,IF(AL43&gt;0.005,$C$11,IF(AQ43&gt;0.005,$C$12,IF(AV43&gt;0.005,$C$13,IF(BA43&gt;0.005,$C$14,""))))))))))</f>
        <v/>
      </c>
    </row>
    <row r="44" customFormat="false" ht="15" hidden="false" customHeight="false" outlineLevel="0" collapsed="false">
      <c r="A44" s="24" t="n">
        <v>21</v>
      </c>
      <c r="B44" s="54" t="n">
        <f aca="false">EDATE($C$17,A44-1)</f>
        <v>46935</v>
      </c>
      <c r="C44" s="55" t="n">
        <f aca="false">G44+L44+Q44+V44+AA44+AF44+AK44+AP44+AU44+AZ44</f>
        <v>0</v>
      </c>
      <c r="D44" s="55" t="n">
        <f aca="false">MAX(0,$C$16-C44)</f>
        <v>5822</v>
      </c>
      <c r="E44" s="55" t="n">
        <f aca="false">ROUND(MAX(0,E43+F43-I43),2)</f>
        <v>0</v>
      </c>
      <c r="F44" s="55" t="n">
        <f aca="false">ROUND(E44*$E$5/12,2)</f>
        <v>0</v>
      </c>
      <c r="G44" s="55" t="n">
        <f aca="false">MIN($F$5,E44+F44)</f>
        <v>0</v>
      </c>
      <c r="H44" s="55" t="n">
        <f aca="false">MAX(0,MIN(E44+F44-G44,$D44))</f>
        <v>0</v>
      </c>
      <c r="I44" s="55" t="n">
        <f aca="false">G44+H44</f>
        <v>0</v>
      </c>
      <c r="J44" s="55" t="n">
        <f aca="false">ROUND(MAX(0,J43+K43-N43),2)</f>
        <v>0</v>
      </c>
      <c r="K44" s="55" t="n">
        <f aca="false">ROUND(J44*$E$6/12,2)</f>
        <v>0</v>
      </c>
      <c r="L44" s="55" t="n">
        <f aca="false">MIN($F$6,J44+K44)</f>
        <v>0</v>
      </c>
      <c r="M44" s="55" t="n">
        <f aca="false">MAX(0,MIN(J44+K44-L44,$D44-(H44)))</f>
        <v>0</v>
      </c>
      <c r="N44" s="55" t="n">
        <f aca="false">L44+M44</f>
        <v>0</v>
      </c>
      <c r="O44" s="55" t="n">
        <f aca="false">ROUND(MAX(0,O43+P43-S43),2)</f>
        <v>0</v>
      </c>
      <c r="P44" s="55" t="n">
        <f aca="false">ROUND(O44*$E$7/12,2)</f>
        <v>0</v>
      </c>
      <c r="Q44" s="55" t="n">
        <f aca="false">MIN($F$7,O44+P44)</f>
        <v>0</v>
      </c>
      <c r="R44" s="55" t="n">
        <f aca="false">MAX(0,MIN(O44+P44-Q44,$D44-(H44+M44)))</f>
        <v>0</v>
      </c>
      <c r="S44" s="55" t="n">
        <f aca="false">Q44+R44</f>
        <v>0</v>
      </c>
      <c r="T44" s="55" t="n">
        <f aca="false">ROUND(MAX(0,T43+U43-X43),2)</f>
        <v>0</v>
      </c>
      <c r="U44" s="55" t="n">
        <f aca="false">ROUND(T44*$E$8/12,2)</f>
        <v>0</v>
      </c>
      <c r="V44" s="55" t="n">
        <f aca="false">MIN($F$8,T44+U44)</f>
        <v>0</v>
      </c>
      <c r="W44" s="55" t="n">
        <f aca="false">MAX(0,MIN(T44+U44-V44,$D44-(H44+M44+R44)))</f>
        <v>0</v>
      </c>
      <c r="X44" s="55" t="n">
        <f aca="false">V44+W44</f>
        <v>0</v>
      </c>
      <c r="Y44" s="55" t="n">
        <f aca="false">ROUND(MAX(0,Y43+Z43-AC43),2)</f>
        <v>0</v>
      </c>
      <c r="Z44" s="55" t="n">
        <f aca="false">ROUND(Y44*$E$9/12,2)</f>
        <v>0</v>
      </c>
      <c r="AA44" s="55" t="n">
        <f aca="false">MIN($F$9,Y44+Z44)</f>
        <v>0</v>
      </c>
      <c r="AB44" s="55" t="n">
        <f aca="false">MAX(0,MIN(Y44+Z44-AA44,$D44-(H44+M44+R44+W44)))</f>
        <v>0</v>
      </c>
      <c r="AC44" s="55" t="n">
        <f aca="false">AA44+AB44</f>
        <v>0</v>
      </c>
      <c r="AD44" s="55" t="n">
        <f aca="false">ROUND(MAX(0,AD43+AE43-AH43),2)</f>
        <v>0</v>
      </c>
      <c r="AE44" s="55" t="n">
        <f aca="false">ROUND(AD44*$E$10/12,2)</f>
        <v>0</v>
      </c>
      <c r="AF44" s="55" t="n">
        <f aca="false">MIN($F$10,AD44+AE44)</f>
        <v>0</v>
      </c>
      <c r="AG44" s="55" t="n">
        <f aca="false">MAX(0,MIN(AD44+AE44-AF44,$D44-(H44+M44+R44+W44+AB44)))</f>
        <v>0</v>
      </c>
      <c r="AH44" s="55" t="n">
        <f aca="false">AF44+AG44</f>
        <v>0</v>
      </c>
      <c r="AI44" s="55" t="n">
        <f aca="false">ROUND(MAX(0,AI43+AJ43-AM43),2)</f>
        <v>0</v>
      </c>
      <c r="AJ44" s="55" t="n">
        <f aca="false">ROUND(AI44*$E$11/12,2)</f>
        <v>0</v>
      </c>
      <c r="AK44" s="55" t="n">
        <f aca="false">MIN($F$11,AI44+AJ44)</f>
        <v>0</v>
      </c>
      <c r="AL44" s="55" t="n">
        <f aca="false">MAX(0,MIN(AI44+AJ44-AK44,$D44-(H44+M44+R44+W44+AB44+AG44)))</f>
        <v>0</v>
      </c>
      <c r="AM44" s="55" t="n">
        <f aca="false">AK44+AL44</f>
        <v>0</v>
      </c>
      <c r="AN44" s="55" t="n">
        <f aca="false">ROUND(MAX(0,AN43+AO43-AR43),2)</f>
        <v>0</v>
      </c>
      <c r="AO44" s="55" t="n">
        <f aca="false">ROUND(AN44*$E$12/12,2)</f>
        <v>0</v>
      </c>
      <c r="AP44" s="55" t="n">
        <f aca="false">MIN($F$12,AN44+AO44)</f>
        <v>0</v>
      </c>
      <c r="AQ44" s="55" t="n">
        <f aca="false">MAX(0,MIN(AN44+AO44-AP44,$D44-(H44+M44+R44+W44+AB44+AG44+AL44)))</f>
        <v>0</v>
      </c>
      <c r="AR44" s="55" t="n">
        <f aca="false">AP44+AQ44</f>
        <v>0</v>
      </c>
      <c r="AS44" s="55" t="n">
        <f aca="false">ROUND(MAX(0,AS43+AT43-AW43),2)</f>
        <v>0</v>
      </c>
      <c r="AT44" s="55" t="n">
        <f aca="false">ROUND(AS44*$E$13/12,2)</f>
        <v>0</v>
      </c>
      <c r="AU44" s="55" t="n">
        <f aca="false">MIN($F$13,AS44+AT44)</f>
        <v>0</v>
      </c>
      <c r="AV44" s="55" t="n">
        <f aca="false">MAX(0,MIN(AS44+AT44-AU44,$D44-(H44+M44+R44+W44+AB44+AG44+AL44+AQ44)))</f>
        <v>0</v>
      </c>
      <c r="AW44" s="55" t="n">
        <f aca="false">AU44+AV44</f>
        <v>0</v>
      </c>
      <c r="AX44" s="55" t="n">
        <f aca="false">ROUND(MAX(0,AX43+AY43-BB43),2)</f>
        <v>0</v>
      </c>
      <c r="AY44" s="55" t="n">
        <f aca="false">ROUND(AX44*$E$14/12,2)</f>
        <v>0</v>
      </c>
      <c r="AZ44" s="55" t="n">
        <f aca="false">MIN($F$14,AX44+AY44)</f>
        <v>0</v>
      </c>
      <c r="BA44" s="55" t="n">
        <f aca="false">MAX(0,MIN(AX44+AY44-AZ44,$D44-(H44+M44+R44+W44+AB44+AG44+AL44+AQ44+AV44)))</f>
        <v>0</v>
      </c>
      <c r="BB44" s="55" t="n">
        <f aca="false">AZ44+BA44</f>
        <v>0</v>
      </c>
      <c r="BC44" s="55" t="n">
        <f aca="false">I44+N44+S44+X44+AC44+AH44+AM44+AR44+AW44+BB44</f>
        <v>0</v>
      </c>
      <c r="BD44" s="55" t="n">
        <f aca="false">ROUND((E44+F44-I44)+(J44+K44-N44)+(O44+P44-S44)+(T44+U44-X44)+(Y44+Z44-AC44)+(AD44+AE44-AH44)+(AI44+AJ44-AM44)+(AN44+AO44-AR44)+(AS44+AT44-AW44)+(AX44+AY44-BB44),2)</f>
        <v>0</v>
      </c>
      <c r="BE44" s="25" t="str">
        <f aca="false">IF(H44&gt;0.005,$C$5,IF(M44&gt;0.005,$C$6,IF(R44&gt;0.005,$C$7,IF(W44&gt;0.005,$C$8,IF(AB44&gt;0.005,$C$9,IF(AG44&gt;0.005,$C$10,IF(AL44&gt;0.005,$C$11,IF(AQ44&gt;0.005,$C$12,IF(AV44&gt;0.005,$C$13,IF(BA44&gt;0.005,$C$14,""))))))))))</f>
        <v/>
      </c>
    </row>
    <row r="45" customFormat="false" ht="15" hidden="false" customHeight="false" outlineLevel="0" collapsed="false">
      <c r="A45" s="24" t="n">
        <v>22</v>
      </c>
      <c r="B45" s="54" t="n">
        <f aca="false">EDATE($C$17,A45-1)</f>
        <v>46966</v>
      </c>
      <c r="C45" s="55" t="n">
        <f aca="false">G45+L45+Q45+V45+AA45+AF45+AK45+AP45+AU45+AZ45</f>
        <v>0</v>
      </c>
      <c r="D45" s="55" t="n">
        <f aca="false">MAX(0,$C$16-C45)</f>
        <v>5822</v>
      </c>
      <c r="E45" s="55" t="n">
        <f aca="false">ROUND(MAX(0,E44+F44-I44),2)</f>
        <v>0</v>
      </c>
      <c r="F45" s="55" t="n">
        <f aca="false">ROUND(E45*$E$5/12,2)</f>
        <v>0</v>
      </c>
      <c r="G45" s="55" t="n">
        <f aca="false">MIN($F$5,E45+F45)</f>
        <v>0</v>
      </c>
      <c r="H45" s="55" t="n">
        <f aca="false">MAX(0,MIN(E45+F45-G45,$D45))</f>
        <v>0</v>
      </c>
      <c r="I45" s="55" t="n">
        <f aca="false">G45+H45</f>
        <v>0</v>
      </c>
      <c r="J45" s="55" t="n">
        <f aca="false">ROUND(MAX(0,J44+K44-N44),2)</f>
        <v>0</v>
      </c>
      <c r="K45" s="55" t="n">
        <f aca="false">ROUND(J45*$E$6/12,2)</f>
        <v>0</v>
      </c>
      <c r="L45" s="55" t="n">
        <f aca="false">MIN($F$6,J45+K45)</f>
        <v>0</v>
      </c>
      <c r="M45" s="55" t="n">
        <f aca="false">MAX(0,MIN(J45+K45-L45,$D45-(H45)))</f>
        <v>0</v>
      </c>
      <c r="N45" s="55" t="n">
        <f aca="false">L45+M45</f>
        <v>0</v>
      </c>
      <c r="O45" s="55" t="n">
        <f aca="false">ROUND(MAX(0,O44+P44-S44),2)</f>
        <v>0</v>
      </c>
      <c r="P45" s="55" t="n">
        <f aca="false">ROUND(O45*$E$7/12,2)</f>
        <v>0</v>
      </c>
      <c r="Q45" s="55" t="n">
        <f aca="false">MIN($F$7,O45+P45)</f>
        <v>0</v>
      </c>
      <c r="R45" s="55" t="n">
        <f aca="false">MAX(0,MIN(O45+P45-Q45,$D45-(H45+M45)))</f>
        <v>0</v>
      </c>
      <c r="S45" s="55" t="n">
        <f aca="false">Q45+R45</f>
        <v>0</v>
      </c>
      <c r="T45" s="55" t="n">
        <f aca="false">ROUND(MAX(0,T44+U44-X44),2)</f>
        <v>0</v>
      </c>
      <c r="U45" s="55" t="n">
        <f aca="false">ROUND(T45*$E$8/12,2)</f>
        <v>0</v>
      </c>
      <c r="V45" s="55" t="n">
        <f aca="false">MIN($F$8,T45+U45)</f>
        <v>0</v>
      </c>
      <c r="W45" s="55" t="n">
        <f aca="false">MAX(0,MIN(T45+U45-V45,$D45-(H45+M45+R45)))</f>
        <v>0</v>
      </c>
      <c r="X45" s="55" t="n">
        <f aca="false">V45+W45</f>
        <v>0</v>
      </c>
      <c r="Y45" s="55" t="n">
        <f aca="false">ROUND(MAX(0,Y44+Z44-AC44),2)</f>
        <v>0</v>
      </c>
      <c r="Z45" s="55" t="n">
        <f aca="false">ROUND(Y45*$E$9/12,2)</f>
        <v>0</v>
      </c>
      <c r="AA45" s="55" t="n">
        <f aca="false">MIN($F$9,Y45+Z45)</f>
        <v>0</v>
      </c>
      <c r="AB45" s="55" t="n">
        <f aca="false">MAX(0,MIN(Y45+Z45-AA45,$D45-(H45+M45+R45+W45)))</f>
        <v>0</v>
      </c>
      <c r="AC45" s="55" t="n">
        <f aca="false">AA45+AB45</f>
        <v>0</v>
      </c>
      <c r="AD45" s="55" t="n">
        <f aca="false">ROUND(MAX(0,AD44+AE44-AH44),2)</f>
        <v>0</v>
      </c>
      <c r="AE45" s="55" t="n">
        <f aca="false">ROUND(AD45*$E$10/12,2)</f>
        <v>0</v>
      </c>
      <c r="AF45" s="55" t="n">
        <f aca="false">MIN($F$10,AD45+AE45)</f>
        <v>0</v>
      </c>
      <c r="AG45" s="55" t="n">
        <f aca="false">MAX(0,MIN(AD45+AE45-AF45,$D45-(H45+M45+R45+W45+AB45)))</f>
        <v>0</v>
      </c>
      <c r="AH45" s="55" t="n">
        <f aca="false">AF45+AG45</f>
        <v>0</v>
      </c>
      <c r="AI45" s="55" t="n">
        <f aca="false">ROUND(MAX(0,AI44+AJ44-AM44),2)</f>
        <v>0</v>
      </c>
      <c r="AJ45" s="55" t="n">
        <f aca="false">ROUND(AI45*$E$11/12,2)</f>
        <v>0</v>
      </c>
      <c r="AK45" s="55" t="n">
        <f aca="false">MIN($F$11,AI45+AJ45)</f>
        <v>0</v>
      </c>
      <c r="AL45" s="55" t="n">
        <f aca="false">MAX(0,MIN(AI45+AJ45-AK45,$D45-(H45+M45+R45+W45+AB45+AG45)))</f>
        <v>0</v>
      </c>
      <c r="AM45" s="55" t="n">
        <f aca="false">AK45+AL45</f>
        <v>0</v>
      </c>
      <c r="AN45" s="55" t="n">
        <f aca="false">ROUND(MAX(0,AN44+AO44-AR44),2)</f>
        <v>0</v>
      </c>
      <c r="AO45" s="55" t="n">
        <f aca="false">ROUND(AN45*$E$12/12,2)</f>
        <v>0</v>
      </c>
      <c r="AP45" s="55" t="n">
        <f aca="false">MIN($F$12,AN45+AO45)</f>
        <v>0</v>
      </c>
      <c r="AQ45" s="55" t="n">
        <f aca="false">MAX(0,MIN(AN45+AO45-AP45,$D45-(H45+M45+R45+W45+AB45+AG45+AL45)))</f>
        <v>0</v>
      </c>
      <c r="AR45" s="55" t="n">
        <f aca="false">AP45+AQ45</f>
        <v>0</v>
      </c>
      <c r="AS45" s="55" t="n">
        <f aca="false">ROUND(MAX(0,AS44+AT44-AW44),2)</f>
        <v>0</v>
      </c>
      <c r="AT45" s="55" t="n">
        <f aca="false">ROUND(AS45*$E$13/12,2)</f>
        <v>0</v>
      </c>
      <c r="AU45" s="55" t="n">
        <f aca="false">MIN($F$13,AS45+AT45)</f>
        <v>0</v>
      </c>
      <c r="AV45" s="55" t="n">
        <f aca="false">MAX(0,MIN(AS45+AT45-AU45,$D45-(H45+M45+R45+W45+AB45+AG45+AL45+AQ45)))</f>
        <v>0</v>
      </c>
      <c r="AW45" s="55" t="n">
        <f aca="false">AU45+AV45</f>
        <v>0</v>
      </c>
      <c r="AX45" s="55" t="n">
        <f aca="false">ROUND(MAX(0,AX44+AY44-BB44),2)</f>
        <v>0</v>
      </c>
      <c r="AY45" s="55" t="n">
        <f aca="false">ROUND(AX45*$E$14/12,2)</f>
        <v>0</v>
      </c>
      <c r="AZ45" s="55" t="n">
        <f aca="false">MIN($F$14,AX45+AY45)</f>
        <v>0</v>
      </c>
      <c r="BA45" s="55" t="n">
        <f aca="false">MAX(0,MIN(AX45+AY45-AZ45,$D45-(H45+M45+R45+W45+AB45+AG45+AL45+AQ45+AV45)))</f>
        <v>0</v>
      </c>
      <c r="BB45" s="55" t="n">
        <f aca="false">AZ45+BA45</f>
        <v>0</v>
      </c>
      <c r="BC45" s="55" t="n">
        <f aca="false">I45+N45+S45+X45+AC45+AH45+AM45+AR45+AW45+BB45</f>
        <v>0</v>
      </c>
      <c r="BD45" s="55" t="n">
        <f aca="false">ROUND((E45+F45-I45)+(J45+K45-N45)+(O45+P45-S45)+(T45+U45-X45)+(Y45+Z45-AC45)+(AD45+AE45-AH45)+(AI45+AJ45-AM45)+(AN45+AO45-AR45)+(AS45+AT45-AW45)+(AX45+AY45-BB45),2)</f>
        <v>0</v>
      </c>
      <c r="BE45" s="25" t="str">
        <f aca="false">IF(H45&gt;0.005,$C$5,IF(M45&gt;0.005,$C$6,IF(R45&gt;0.005,$C$7,IF(W45&gt;0.005,$C$8,IF(AB45&gt;0.005,$C$9,IF(AG45&gt;0.005,$C$10,IF(AL45&gt;0.005,$C$11,IF(AQ45&gt;0.005,$C$12,IF(AV45&gt;0.005,$C$13,IF(BA45&gt;0.005,$C$14,""))))))))))</f>
        <v/>
      </c>
    </row>
    <row r="46" customFormat="false" ht="15" hidden="false" customHeight="false" outlineLevel="0" collapsed="false">
      <c r="A46" s="24" t="n">
        <v>23</v>
      </c>
      <c r="B46" s="54" t="n">
        <f aca="false">EDATE($C$17,A46-1)</f>
        <v>46997</v>
      </c>
      <c r="C46" s="55" t="n">
        <f aca="false">G46+L46+Q46+V46+AA46+AF46+AK46+AP46+AU46+AZ46</f>
        <v>0</v>
      </c>
      <c r="D46" s="55" t="n">
        <f aca="false">MAX(0,$C$16-C46)</f>
        <v>5822</v>
      </c>
      <c r="E46" s="55" t="n">
        <f aca="false">ROUND(MAX(0,E45+F45-I45),2)</f>
        <v>0</v>
      </c>
      <c r="F46" s="55" t="n">
        <f aca="false">ROUND(E46*$E$5/12,2)</f>
        <v>0</v>
      </c>
      <c r="G46" s="55" t="n">
        <f aca="false">MIN($F$5,E46+F46)</f>
        <v>0</v>
      </c>
      <c r="H46" s="55" t="n">
        <f aca="false">MAX(0,MIN(E46+F46-G46,$D46))</f>
        <v>0</v>
      </c>
      <c r="I46" s="55" t="n">
        <f aca="false">G46+H46</f>
        <v>0</v>
      </c>
      <c r="J46" s="55" t="n">
        <f aca="false">ROUND(MAX(0,J45+K45-N45),2)</f>
        <v>0</v>
      </c>
      <c r="K46" s="55" t="n">
        <f aca="false">ROUND(J46*$E$6/12,2)</f>
        <v>0</v>
      </c>
      <c r="L46" s="55" t="n">
        <f aca="false">MIN($F$6,J46+K46)</f>
        <v>0</v>
      </c>
      <c r="M46" s="55" t="n">
        <f aca="false">MAX(0,MIN(J46+K46-L46,$D46-(H46)))</f>
        <v>0</v>
      </c>
      <c r="N46" s="55" t="n">
        <f aca="false">L46+M46</f>
        <v>0</v>
      </c>
      <c r="O46" s="55" t="n">
        <f aca="false">ROUND(MAX(0,O45+P45-S45),2)</f>
        <v>0</v>
      </c>
      <c r="P46" s="55" t="n">
        <f aca="false">ROUND(O46*$E$7/12,2)</f>
        <v>0</v>
      </c>
      <c r="Q46" s="55" t="n">
        <f aca="false">MIN($F$7,O46+P46)</f>
        <v>0</v>
      </c>
      <c r="R46" s="55" t="n">
        <f aca="false">MAX(0,MIN(O46+P46-Q46,$D46-(H46+M46)))</f>
        <v>0</v>
      </c>
      <c r="S46" s="55" t="n">
        <f aca="false">Q46+R46</f>
        <v>0</v>
      </c>
      <c r="T46" s="55" t="n">
        <f aca="false">ROUND(MAX(0,T45+U45-X45),2)</f>
        <v>0</v>
      </c>
      <c r="U46" s="55" t="n">
        <f aca="false">ROUND(T46*$E$8/12,2)</f>
        <v>0</v>
      </c>
      <c r="V46" s="55" t="n">
        <f aca="false">MIN($F$8,T46+U46)</f>
        <v>0</v>
      </c>
      <c r="W46" s="55" t="n">
        <f aca="false">MAX(0,MIN(T46+U46-V46,$D46-(H46+M46+R46)))</f>
        <v>0</v>
      </c>
      <c r="X46" s="55" t="n">
        <f aca="false">V46+W46</f>
        <v>0</v>
      </c>
      <c r="Y46" s="55" t="n">
        <f aca="false">ROUND(MAX(0,Y45+Z45-AC45),2)</f>
        <v>0</v>
      </c>
      <c r="Z46" s="55" t="n">
        <f aca="false">ROUND(Y46*$E$9/12,2)</f>
        <v>0</v>
      </c>
      <c r="AA46" s="55" t="n">
        <f aca="false">MIN($F$9,Y46+Z46)</f>
        <v>0</v>
      </c>
      <c r="AB46" s="55" t="n">
        <f aca="false">MAX(0,MIN(Y46+Z46-AA46,$D46-(H46+M46+R46+W46)))</f>
        <v>0</v>
      </c>
      <c r="AC46" s="55" t="n">
        <f aca="false">AA46+AB46</f>
        <v>0</v>
      </c>
      <c r="AD46" s="55" t="n">
        <f aca="false">ROUND(MAX(0,AD45+AE45-AH45),2)</f>
        <v>0</v>
      </c>
      <c r="AE46" s="55" t="n">
        <f aca="false">ROUND(AD46*$E$10/12,2)</f>
        <v>0</v>
      </c>
      <c r="AF46" s="55" t="n">
        <f aca="false">MIN($F$10,AD46+AE46)</f>
        <v>0</v>
      </c>
      <c r="AG46" s="55" t="n">
        <f aca="false">MAX(0,MIN(AD46+AE46-AF46,$D46-(H46+M46+R46+W46+AB46)))</f>
        <v>0</v>
      </c>
      <c r="AH46" s="55" t="n">
        <f aca="false">AF46+AG46</f>
        <v>0</v>
      </c>
      <c r="AI46" s="55" t="n">
        <f aca="false">ROUND(MAX(0,AI45+AJ45-AM45),2)</f>
        <v>0</v>
      </c>
      <c r="AJ46" s="55" t="n">
        <f aca="false">ROUND(AI46*$E$11/12,2)</f>
        <v>0</v>
      </c>
      <c r="AK46" s="55" t="n">
        <f aca="false">MIN($F$11,AI46+AJ46)</f>
        <v>0</v>
      </c>
      <c r="AL46" s="55" t="n">
        <f aca="false">MAX(0,MIN(AI46+AJ46-AK46,$D46-(H46+M46+R46+W46+AB46+AG46)))</f>
        <v>0</v>
      </c>
      <c r="AM46" s="55" t="n">
        <f aca="false">AK46+AL46</f>
        <v>0</v>
      </c>
      <c r="AN46" s="55" t="n">
        <f aca="false">ROUND(MAX(0,AN45+AO45-AR45),2)</f>
        <v>0</v>
      </c>
      <c r="AO46" s="55" t="n">
        <f aca="false">ROUND(AN46*$E$12/12,2)</f>
        <v>0</v>
      </c>
      <c r="AP46" s="55" t="n">
        <f aca="false">MIN($F$12,AN46+AO46)</f>
        <v>0</v>
      </c>
      <c r="AQ46" s="55" t="n">
        <f aca="false">MAX(0,MIN(AN46+AO46-AP46,$D46-(H46+M46+R46+W46+AB46+AG46+AL46)))</f>
        <v>0</v>
      </c>
      <c r="AR46" s="55" t="n">
        <f aca="false">AP46+AQ46</f>
        <v>0</v>
      </c>
      <c r="AS46" s="55" t="n">
        <f aca="false">ROUND(MAX(0,AS45+AT45-AW45),2)</f>
        <v>0</v>
      </c>
      <c r="AT46" s="55" t="n">
        <f aca="false">ROUND(AS46*$E$13/12,2)</f>
        <v>0</v>
      </c>
      <c r="AU46" s="55" t="n">
        <f aca="false">MIN($F$13,AS46+AT46)</f>
        <v>0</v>
      </c>
      <c r="AV46" s="55" t="n">
        <f aca="false">MAX(0,MIN(AS46+AT46-AU46,$D46-(H46+M46+R46+W46+AB46+AG46+AL46+AQ46)))</f>
        <v>0</v>
      </c>
      <c r="AW46" s="55" t="n">
        <f aca="false">AU46+AV46</f>
        <v>0</v>
      </c>
      <c r="AX46" s="55" t="n">
        <f aca="false">ROUND(MAX(0,AX45+AY45-BB45),2)</f>
        <v>0</v>
      </c>
      <c r="AY46" s="55" t="n">
        <f aca="false">ROUND(AX46*$E$14/12,2)</f>
        <v>0</v>
      </c>
      <c r="AZ46" s="55" t="n">
        <f aca="false">MIN($F$14,AX46+AY46)</f>
        <v>0</v>
      </c>
      <c r="BA46" s="55" t="n">
        <f aca="false">MAX(0,MIN(AX46+AY46-AZ46,$D46-(H46+M46+R46+W46+AB46+AG46+AL46+AQ46+AV46)))</f>
        <v>0</v>
      </c>
      <c r="BB46" s="55" t="n">
        <f aca="false">AZ46+BA46</f>
        <v>0</v>
      </c>
      <c r="BC46" s="55" t="n">
        <f aca="false">I46+N46+S46+X46+AC46+AH46+AM46+AR46+AW46+BB46</f>
        <v>0</v>
      </c>
      <c r="BD46" s="55" t="n">
        <f aca="false">ROUND((E46+F46-I46)+(J46+K46-N46)+(O46+P46-S46)+(T46+U46-X46)+(Y46+Z46-AC46)+(AD46+AE46-AH46)+(AI46+AJ46-AM46)+(AN46+AO46-AR46)+(AS46+AT46-AW46)+(AX46+AY46-BB46),2)</f>
        <v>0</v>
      </c>
      <c r="BE46" s="25" t="str">
        <f aca="false">IF(H46&gt;0.005,$C$5,IF(M46&gt;0.005,$C$6,IF(R46&gt;0.005,$C$7,IF(W46&gt;0.005,$C$8,IF(AB46&gt;0.005,$C$9,IF(AG46&gt;0.005,$C$10,IF(AL46&gt;0.005,$C$11,IF(AQ46&gt;0.005,$C$12,IF(AV46&gt;0.005,$C$13,IF(BA46&gt;0.005,$C$14,""))))))))))</f>
        <v/>
      </c>
    </row>
    <row r="47" customFormat="false" ht="15" hidden="false" customHeight="false" outlineLevel="0" collapsed="false">
      <c r="A47" s="24" t="n">
        <v>24</v>
      </c>
      <c r="B47" s="54" t="n">
        <f aca="false">EDATE($C$17,A47-1)</f>
        <v>47027</v>
      </c>
      <c r="C47" s="55" t="n">
        <f aca="false">G47+L47+Q47+V47+AA47+AF47+AK47+AP47+AU47+AZ47</f>
        <v>0</v>
      </c>
      <c r="D47" s="55" t="n">
        <f aca="false">MAX(0,$C$16-C47)</f>
        <v>5822</v>
      </c>
      <c r="E47" s="55" t="n">
        <f aca="false">ROUND(MAX(0,E46+F46-I46),2)</f>
        <v>0</v>
      </c>
      <c r="F47" s="55" t="n">
        <f aca="false">ROUND(E47*$E$5/12,2)</f>
        <v>0</v>
      </c>
      <c r="G47" s="55" t="n">
        <f aca="false">MIN($F$5,E47+F47)</f>
        <v>0</v>
      </c>
      <c r="H47" s="55" t="n">
        <f aca="false">MAX(0,MIN(E47+F47-G47,$D47))</f>
        <v>0</v>
      </c>
      <c r="I47" s="55" t="n">
        <f aca="false">G47+H47</f>
        <v>0</v>
      </c>
      <c r="J47" s="55" t="n">
        <f aca="false">ROUND(MAX(0,J46+K46-N46),2)</f>
        <v>0</v>
      </c>
      <c r="K47" s="55" t="n">
        <f aca="false">ROUND(J47*$E$6/12,2)</f>
        <v>0</v>
      </c>
      <c r="L47" s="55" t="n">
        <f aca="false">MIN($F$6,J47+K47)</f>
        <v>0</v>
      </c>
      <c r="M47" s="55" t="n">
        <f aca="false">MAX(0,MIN(J47+K47-L47,$D47-(H47)))</f>
        <v>0</v>
      </c>
      <c r="N47" s="55" t="n">
        <f aca="false">L47+M47</f>
        <v>0</v>
      </c>
      <c r="O47" s="55" t="n">
        <f aca="false">ROUND(MAX(0,O46+P46-S46),2)</f>
        <v>0</v>
      </c>
      <c r="P47" s="55" t="n">
        <f aca="false">ROUND(O47*$E$7/12,2)</f>
        <v>0</v>
      </c>
      <c r="Q47" s="55" t="n">
        <f aca="false">MIN($F$7,O47+P47)</f>
        <v>0</v>
      </c>
      <c r="R47" s="55" t="n">
        <f aca="false">MAX(0,MIN(O47+P47-Q47,$D47-(H47+M47)))</f>
        <v>0</v>
      </c>
      <c r="S47" s="55" t="n">
        <f aca="false">Q47+R47</f>
        <v>0</v>
      </c>
      <c r="T47" s="55" t="n">
        <f aca="false">ROUND(MAX(0,T46+U46-X46),2)</f>
        <v>0</v>
      </c>
      <c r="U47" s="55" t="n">
        <f aca="false">ROUND(T47*$E$8/12,2)</f>
        <v>0</v>
      </c>
      <c r="V47" s="55" t="n">
        <f aca="false">MIN($F$8,T47+U47)</f>
        <v>0</v>
      </c>
      <c r="W47" s="55" t="n">
        <f aca="false">MAX(0,MIN(T47+U47-V47,$D47-(H47+M47+R47)))</f>
        <v>0</v>
      </c>
      <c r="X47" s="55" t="n">
        <f aca="false">V47+W47</f>
        <v>0</v>
      </c>
      <c r="Y47" s="55" t="n">
        <f aca="false">ROUND(MAX(0,Y46+Z46-AC46),2)</f>
        <v>0</v>
      </c>
      <c r="Z47" s="55" t="n">
        <f aca="false">ROUND(Y47*$E$9/12,2)</f>
        <v>0</v>
      </c>
      <c r="AA47" s="55" t="n">
        <f aca="false">MIN($F$9,Y47+Z47)</f>
        <v>0</v>
      </c>
      <c r="AB47" s="55" t="n">
        <f aca="false">MAX(0,MIN(Y47+Z47-AA47,$D47-(H47+M47+R47+W47)))</f>
        <v>0</v>
      </c>
      <c r="AC47" s="55" t="n">
        <f aca="false">AA47+AB47</f>
        <v>0</v>
      </c>
      <c r="AD47" s="55" t="n">
        <f aca="false">ROUND(MAX(0,AD46+AE46-AH46),2)</f>
        <v>0</v>
      </c>
      <c r="AE47" s="55" t="n">
        <f aca="false">ROUND(AD47*$E$10/12,2)</f>
        <v>0</v>
      </c>
      <c r="AF47" s="55" t="n">
        <f aca="false">MIN($F$10,AD47+AE47)</f>
        <v>0</v>
      </c>
      <c r="AG47" s="55" t="n">
        <f aca="false">MAX(0,MIN(AD47+AE47-AF47,$D47-(H47+M47+R47+W47+AB47)))</f>
        <v>0</v>
      </c>
      <c r="AH47" s="55" t="n">
        <f aca="false">AF47+AG47</f>
        <v>0</v>
      </c>
      <c r="AI47" s="55" t="n">
        <f aca="false">ROUND(MAX(0,AI46+AJ46-AM46),2)</f>
        <v>0</v>
      </c>
      <c r="AJ47" s="55" t="n">
        <f aca="false">ROUND(AI47*$E$11/12,2)</f>
        <v>0</v>
      </c>
      <c r="AK47" s="55" t="n">
        <f aca="false">MIN($F$11,AI47+AJ47)</f>
        <v>0</v>
      </c>
      <c r="AL47" s="55" t="n">
        <f aca="false">MAX(0,MIN(AI47+AJ47-AK47,$D47-(H47+M47+R47+W47+AB47+AG47)))</f>
        <v>0</v>
      </c>
      <c r="AM47" s="55" t="n">
        <f aca="false">AK47+AL47</f>
        <v>0</v>
      </c>
      <c r="AN47" s="55" t="n">
        <f aca="false">ROUND(MAX(0,AN46+AO46-AR46),2)</f>
        <v>0</v>
      </c>
      <c r="AO47" s="55" t="n">
        <f aca="false">ROUND(AN47*$E$12/12,2)</f>
        <v>0</v>
      </c>
      <c r="AP47" s="55" t="n">
        <f aca="false">MIN($F$12,AN47+AO47)</f>
        <v>0</v>
      </c>
      <c r="AQ47" s="55" t="n">
        <f aca="false">MAX(0,MIN(AN47+AO47-AP47,$D47-(H47+M47+R47+W47+AB47+AG47+AL47)))</f>
        <v>0</v>
      </c>
      <c r="AR47" s="55" t="n">
        <f aca="false">AP47+AQ47</f>
        <v>0</v>
      </c>
      <c r="AS47" s="55" t="n">
        <f aca="false">ROUND(MAX(0,AS46+AT46-AW46),2)</f>
        <v>0</v>
      </c>
      <c r="AT47" s="55" t="n">
        <f aca="false">ROUND(AS47*$E$13/12,2)</f>
        <v>0</v>
      </c>
      <c r="AU47" s="55" t="n">
        <f aca="false">MIN($F$13,AS47+AT47)</f>
        <v>0</v>
      </c>
      <c r="AV47" s="55" t="n">
        <f aca="false">MAX(0,MIN(AS47+AT47-AU47,$D47-(H47+M47+R47+W47+AB47+AG47+AL47+AQ47)))</f>
        <v>0</v>
      </c>
      <c r="AW47" s="55" t="n">
        <f aca="false">AU47+AV47</f>
        <v>0</v>
      </c>
      <c r="AX47" s="55" t="n">
        <f aca="false">ROUND(MAX(0,AX46+AY46-BB46),2)</f>
        <v>0</v>
      </c>
      <c r="AY47" s="55" t="n">
        <f aca="false">ROUND(AX47*$E$14/12,2)</f>
        <v>0</v>
      </c>
      <c r="AZ47" s="55" t="n">
        <f aca="false">MIN($F$14,AX47+AY47)</f>
        <v>0</v>
      </c>
      <c r="BA47" s="55" t="n">
        <f aca="false">MAX(0,MIN(AX47+AY47-AZ47,$D47-(H47+M47+R47+W47+AB47+AG47+AL47+AQ47+AV47)))</f>
        <v>0</v>
      </c>
      <c r="BB47" s="55" t="n">
        <f aca="false">AZ47+BA47</f>
        <v>0</v>
      </c>
      <c r="BC47" s="55" t="n">
        <f aca="false">I47+N47+S47+X47+AC47+AH47+AM47+AR47+AW47+BB47</f>
        <v>0</v>
      </c>
      <c r="BD47" s="55" t="n">
        <f aca="false">ROUND((E47+F47-I47)+(J47+K47-N47)+(O47+P47-S47)+(T47+U47-X47)+(Y47+Z47-AC47)+(AD47+AE47-AH47)+(AI47+AJ47-AM47)+(AN47+AO47-AR47)+(AS47+AT47-AW47)+(AX47+AY47-BB47),2)</f>
        <v>0</v>
      </c>
      <c r="BE47" s="25" t="str">
        <f aca="false">IF(H47&gt;0.005,$C$5,IF(M47&gt;0.005,$C$6,IF(R47&gt;0.005,$C$7,IF(W47&gt;0.005,$C$8,IF(AB47&gt;0.005,$C$9,IF(AG47&gt;0.005,$C$10,IF(AL47&gt;0.005,$C$11,IF(AQ47&gt;0.005,$C$12,IF(AV47&gt;0.005,$C$13,IF(BA47&gt;0.005,$C$14,""))))))))))</f>
        <v/>
      </c>
    </row>
    <row r="48" customFormat="false" ht="15" hidden="false" customHeight="false" outlineLevel="0" collapsed="false">
      <c r="A48" s="24" t="n">
        <v>25</v>
      </c>
      <c r="B48" s="54" t="n">
        <f aca="false">EDATE($C$17,A48-1)</f>
        <v>47058</v>
      </c>
      <c r="C48" s="55" t="n">
        <f aca="false">G48+L48+Q48+V48+AA48+AF48+AK48+AP48+AU48+AZ48</f>
        <v>0</v>
      </c>
      <c r="D48" s="55" t="n">
        <f aca="false">MAX(0,$C$16-C48)</f>
        <v>5822</v>
      </c>
      <c r="E48" s="55" t="n">
        <f aca="false">ROUND(MAX(0,E47+F47-I47),2)</f>
        <v>0</v>
      </c>
      <c r="F48" s="55" t="n">
        <f aca="false">ROUND(E48*$E$5/12,2)</f>
        <v>0</v>
      </c>
      <c r="G48" s="55" t="n">
        <f aca="false">MIN($F$5,E48+F48)</f>
        <v>0</v>
      </c>
      <c r="H48" s="55" t="n">
        <f aca="false">MAX(0,MIN(E48+F48-G48,$D48))</f>
        <v>0</v>
      </c>
      <c r="I48" s="55" t="n">
        <f aca="false">G48+H48</f>
        <v>0</v>
      </c>
      <c r="J48" s="55" t="n">
        <f aca="false">ROUND(MAX(0,J47+K47-N47),2)</f>
        <v>0</v>
      </c>
      <c r="K48" s="55" t="n">
        <f aca="false">ROUND(J48*$E$6/12,2)</f>
        <v>0</v>
      </c>
      <c r="L48" s="55" t="n">
        <f aca="false">MIN($F$6,J48+K48)</f>
        <v>0</v>
      </c>
      <c r="M48" s="55" t="n">
        <f aca="false">MAX(0,MIN(J48+K48-L48,$D48-(H48)))</f>
        <v>0</v>
      </c>
      <c r="N48" s="55" t="n">
        <f aca="false">L48+M48</f>
        <v>0</v>
      </c>
      <c r="O48" s="55" t="n">
        <f aca="false">ROUND(MAX(0,O47+P47-S47),2)</f>
        <v>0</v>
      </c>
      <c r="P48" s="55" t="n">
        <f aca="false">ROUND(O48*$E$7/12,2)</f>
        <v>0</v>
      </c>
      <c r="Q48" s="55" t="n">
        <f aca="false">MIN($F$7,O48+P48)</f>
        <v>0</v>
      </c>
      <c r="R48" s="55" t="n">
        <f aca="false">MAX(0,MIN(O48+P48-Q48,$D48-(H48+M48)))</f>
        <v>0</v>
      </c>
      <c r="S48" s="55" t="n">
        <f aca="false">Q48+R48</f>
        <v>0</v>
      </c>
      <c r="T48" s="55" t="n">
        <f aca="false">ROUND(MAX(0,T47+U47-X47),2)</f>
        <v>0</v>
      </c>
      <c r="U48" s="55" t="n">
        <f aca="false">ROUND(T48*$E$8/12,2)</f>
        <v>0</v>
      </c>
      <c r="V48" s="55" t="n">
        <f aca="false">MIN($F$8,T48+U48)</f>
        <v>0</v>
      </c>
      <c r="W48" s="55" t="n">
        <f aca="false">MAX(0,MIN(T48+U48-V48,$D48-(H48+M48+R48)))</f>
        <v>0</v>
      </c>
      <c r="X48" s="55" t="n">
        <f aca="false">V48+W48</f>
        <v>0</v>
      </c>
      <c r="Y48" s="55" t="n">
        <f aca="false">ROUND(MAX(0,Y47+Z47-AC47),2)</f>
        <v>0</v>
      </c>
      <c r="Z48" s="55" t="n">
        <f aca="false">ROUND(Y48*$E$9/12,2)</f>
        <v>0</v>
      </c>
      <c r="AA48" s="55" t="n">
        <f aca="false">MIN($F$9,Y48+Z48)</f>
        <v>0</v>
      </c>
      <c r="AB48" s="55" t="n">
        <f aca="false">MAX(0,MIN(Y48+Z48-AA48,$D48-(H48+M48+R48+W48)))</f>
        <v>0</v>
      </c>
      <c r="AC48" s="55" t="n">
        <f aca="false">AA48+AB48</f>
        <v>0</v>
      </c>
      <c r="AD48" s="55" t="n">
        <f aca="false">ROUND(MAX(0,AD47+AE47-AH47),2)</f>
        <v>0</v>
      </c>
      <c r="AE48" s="55" t="n">
        <f aca="false">ROUND(AD48*$E$10/12,2)</f>
        <v>0</v>
      </c>
      <c r="AF48" s="55" t="n">
        <f aca="false">MIN($F$10,AD48+AE48)</f>
        <v>0</v>
      </c>
      <c r="AG48" s="55" t="n">
        <f aca="false">MAX(0,MIN(AD48+AE48-AF48,$D48-(H48+M48+R48+W48+AB48)))</f>
        <v>0</v>
      </c>
      <c r="AH48" s="55" t="n">
        <f aca="false">AF48+AG48</f>
        <v>0</v>
      </c>
      <c r="AI48" s="55" t="n">
        <f aca="false">ROUND(MAX(0,AI47+AJ47-AM47),2)</f>
        <v>0</v>
      </c>
      <c r="AJ48" s="55" t="n">
        <f aca="false">ROUND(AI48*$E$11/12,2)</f>
        <v>0</v>
      </c>
      <c r="AK48" s="55" t="n">
        <f aca="false">MIN($F$11,AI48+AJ48)</f>
        <v>0</v>
      </c>
      <c r="AL48" s="55" t="n">
        <f aca="false">MAX(0,MIN(AI48+AJ48-AK48,$D48-(H48+M48+R48+W48+AB48+AG48)))</f>
        <v>0</v>
      </c>
      <c r="AM48" s="55" t="n">
        <f aca="false">AK48+AL48</f>
        <v>0</v>
      </c>
      <c r="AN48" s="55" t="n">
        <f aca="false">ROUND(MAX(0,AN47+AO47-AR47),2)</f>
        <v>0</v>
      </c>
      <c r="AO48" s="55" t="n">
        <f aca="false">ROUND(AN48*$E$12/12,2)</f>
        <v>0</v>
      </c>
      <c r="AP48" s="55" t="n">
        <f aca="false">MIN($F$12,AN48+AO48)</f>
        <v>0</v>
      </c>
      <c r="AQ48" s="55" t="n">
        <f aca="false">MAX(0,MIN(AN48+AO48-AP48,$D48-(H48+M48+R48+W48+AB48+AG48+AL48)))</f>
        <v>0</v>
      </c>
      <c r="AR48" s="55" t="n">
        <f aca="false">AP48+AQ48</f>
        <v>0</v>
      </c>
      <c r="AS48" s="55" t="n">
        <f aca="false">ROUND(MAX(0,AS47+AT47-AW47),2)</f>
        <v>0</v>
      </c>
      <c r="AT48" s="55" t="n">
        <f aca="false">ROUND(AS48*$E$13/12,2)</f>
        <v>0</v>
      </c>
      <c r="AU48" s="55" t="n">
        <f aca="false">MIN($F$13,AS48+AT48)</f>
        <v>0</v>
      </c>
      <c r="AV48" s="55" t="n">
        <f aca="false">MAX(0,MIN(AS48+AT48-AU48,$D48-(H48+M48+R48+W48+AB48+AG48+AL48+AQ48)))</f>
        <v>0</v>
      </c>
      <c r="AW48" s="55" t="n">
        <f aca="false">AU48+AV48</f>
        <v>0</v>
      </c>
      <c r="AX48" s="55" t="n">
        <f aca="false">ROUND(MAX(0,AX47+AY47-BB47),2)</f>
        <v>0</v>
      </c>
      <c r="AY48" s="55" t="n">
        <f aca="false">ROUND(AX48*$E$14/12,2)</f>
        <v>0</v>
      </c>
      <c r="AZ48" s="55" t="n">
        <f aca="false">MIN($F$14,AX48+AY48)</f>
        <v>0</v>
      </c>
      <c r="BA48" s="55" t="n">
        <f aca="false">MAX(0,MIN(AX48+AY48-AZ48,$D48-(H48+M48+R48+W48+AB48+AG48+AL48+AQ48+AV48)))</f>
        <v>0</v>
      </c>
      <c r="BB48" s="55" t="n">
        <f aca="false">AZ48+BA48</f>
        <v>0</v>
      </c>
      <c r="BC48" s="55" t="n">
        <f aca="false">I48+N48+S48+X48+AC48+AH48+AM48+AR48+AW48+BB48</f>
        <v>0</v>
      </c>
      <c r="BD48" s="55" t="n">
        <f aca="false">ROUND((E48+F48-I48)+(J48+K48-N48)+(O48+P48-S48)+(T48+U48-X48)+(Y48+Z48-AC48)+(AD48+AE48-AH48)+(AI48+AJ48-AM48)+(AN48+AO48-AR48)+(AS48+AT48-AW48)+(AX48+AY48-BB48),2)</f>
        <v>0</v>
      </c>
      <c r="BE48" s="25" t="str">
        <f aca="false">IF(H48&gt;0.005,$C$5,IF(M48&gt;0.005,$C$6,IF(R48&gt;0.005,$C$7,IF(W48&gt;0.005,$C$8,IF(AB48&gt;0.005,$C$9,IF(AG48&gt;0.005,$C$10,IF(AL48&gt;0.005,$C$11,IF(AQ48&gt;0.005,$C$12,IF(AV48&gt;0.005,$C$13,IF(BA48&gt;0.005,$C$14,""))))))))))</f>
        <v/>
      </c>
    </row>
    <row r="49" customFormat="false" ht="15" hidden="false" customHeight="false" outlineLevel="0" collapsed="false">
      <c r="A49" s="24" t="n">
        <v>26</v>
      </c>
      <c r="B49" s="54" t="n">
        <f aca="false">EDATE($C$17,A49-1)</f>
        <v>47088</v>
      </c>
      <c r="C49" s="55" t="n">
        <f aca="false">G49+L49+Q49+V49+AA49+AF49+AK49+AP49+AU49+AZ49</f>
        <v>0</v>
      </c>
      <c r="D49" s="55" t="n">
        <f aca="false">MAX(0,$C$16-C49)</f>
        <v>5822</v>
      </c>
      <c r="E49" s="55" t="n">
        <f aca="false">ROUND(MAX(0,E48+F48-I48),2)</f>
        <v>0</v>
      </c>
      <c r="F49" s="55" t="n">
        <f aca="false">ROUND(E49*$E$5/12,2)</f>
        <v>0</v>
      </c>
      <c r="G49" s="55" t="n">
        <f aca="false">MIN($F$5,E49+F49)</f>
        <v>0</v>
      </c>
      <c r="H49" s="55" t="n">
        <f aca="false">MAX(0,MIN(E49+F49-G49,$D49))</f>
        <v>0</v>
      </c>
      <c r="I49" s="55" t="n">
        <f aca="false">G49+H49</f>
        <v>0</v>
      </c>
      <c r="J49" s="55" t="n">
        <f aca="false">ROUND(MAX(0,J48+K48-N48),2)</f>
        <v>0</v>
      </c>
      <c r="K49" s="55" t="n">
        <f aca="false">ROUND(J49*$E$6/12,2)</f>
        <v>0</v>
      </c>
      <c r="L49" s="55" t="n">
        <f aca="false">MIN($F$6,J49+K49)</f>
        <v>0</v>
      </c>
      <c r="M49" s="55" t="n">
        <f aca="false">MAX(0,MIN(J49+K49-L49,$D49-(H49)))</f>
        <v>0</v>
      </c>
      <c r="N49" s="55" t="n">
        <f aca="false">L49+M49</f>
        <v>0</v>
      </c>
      <c r="O49" s="55" t="n">
        <f aca="false">ROUND(MAX(0,O48+P48-S48),2)</f>
        <v>0</v>
      </c>
      <c r="P49" s="55" t="n">
        <f aca="false">ROUND(O49*$E$7/12,2)</f>
        <v>0</v>
      </c>
      <c r="Q49" s="55" t="n">
        <f aca="false">MIN($F$7,O49+P49)</f>
        <v>0</v>
      </c>
      <c r="R49" s="55" t="n">
        <f aca="false">MAX(0,MIN(O49+P49-Q49,$D49-(H49+M49)))</f>
        <v>0</v>
      </c>
      <c r="S49" s="55" t="n">
        <f aca="false">Q49+R49</f>
        <v>0</v>
      </c>
      <c r="T49" s="55" t="n">
        <f aca="false">ROUND(MAX(0,T48+U48-X48),2)</f>
        <v>0</v>
      </c>
      <c r="U49" s="55" t="n">
        <f aca="false">ROUND(T49*$E$8/12,2)</f>
        <v>0</v>
      </c>
      <c r="V49" s="55" t="n">
        <f aca="false">MIN($F$8,T49+U49)</f>
        <v>0</v>
      </c>
      <c r="W49" s="55" t="n">
        <f aca="false">MAX(0,MIN(T49+U49-V49,$D49-(H49+M49+R49)))</f>
        <v>0</v>
      </c>
      <c r="X49" s="55" t="n">
        <f aca="false">V49+W49</f>
        <v>0</v>
      </c>
      <c r="Y49" s="55" t="n">
        <f aca="false">ROUND(MAX(0,Y48+Z48-AC48),2)</f>
        <v>0</v>
      </c>
      <c r="Z49" s="55" t="n">
        <f aca="false">ROUND(Y49*$E$9/12,2)</f>
        <v>0</v>
      </c>
      <c r="AA49" s="55" t="n">
        <f aca="false">MIN($F$9,Y49+Z49)</f>
        <v>0</v>
      </c>
      <c r="AB49" s="55" t="n">
        <f aca="false">MAX(0,MIN(Y49+Z49-AA49,$D49-(H49+M49+R49+W49)))</f>
        <v>0</v>
      </c>
      <c r="AC49" s="55" t="n">
        <f aca="false">AA49+AB49</f>
        <v>0</v>
      </c>
      <c r="AD49" s="55" t="n">
        <f aca="false">ROUND(MAX(0,AD48+AE48-AH48),2)</f>
        <v>0</v>
      </c>
      <c r="AE49" s="55" t="n">
        <f aca="false">ROUND(AD49*$E$10/12,2)</f>
        <v>0</v>
      </c>
      <c r="AF49" s="55" t="n">
        <f aca="false">MIN($F$10,AD49+AE49)</f>
        <v>0</v>
      </c>
      <c r="AG49" s="55" t="n">
        <f aca="false">MAX(0,MIN(AD49+AE49-AF49,$D49-(H49+M49+R49+W49+AB49)))</f>
        <v>0</v>
      </c>
      <c r="AH49" s="55" t="n">
        <f aca="false">AF49+AG49</f>
        <v>0</v>
      </c>
      <c r="AI49" s="55" t="n">
        <f aca="false">ROUND(MAX(0,AI48+AJ48-AM48),2)</f>
        <v>0</v>
      </c>
      <c r="AJ49" s="55" t="n">
        <f aca="false">ROUND(AI49*$E$11/12,2)</f>
        <v>0</v>
      </c>
      <c r="AK49" s="55" t="n">
        <f aca="false">MIN($F$11,AI49+AJ49)</f>
        <v>0</v>
      </c>
      <c r="AL49" s="55" t="n">
        <f aca="false">MAX(0,MIN(AI49+AJ49-AK49,$D49-(H49+M49+R49+W49+AB49+AG49)))</f>
        <v>0</v>
      </c>
      <c r="AM49" s="55" t="n">
        <f aca="false">AK49+AL49</f>
        <v>0</v>
      </c>
      <c r="AN49" s="55" t="n">
        <f aca="false">ROUND(MAX(0,AN48+AO48-AR48),2)</f>
        <v>0</v>
      </c>
      <c r="AO49" s="55" t="n">
        <f aca="false">ROUND(AN49*$E$12/12,2)</f>
        <v>0</v>
      </c>
      <c r="AP49" s="55" t="n">
        <f aca="false">MIN($F$12,AN49+AO49)</f>
        <v>0</v>
      </c>
      <c r="AQ49" s="55" t="n">
        <f aca="false">MAX(0,MIN(AN49+AO49-AP49,$D49-(H49+M49+R49+W49+AB49+AG49+AL49)))</f>
        <v>0</v>
      </c>
      <c r="AR49" s="55" t="n">
        <f aca="false">AP49+AQ49</f>
        <v>0</v>
      </c>
      <c r="AS49" s="55" t="n">
        <f aca="false">ROUND(MAX(0,AS48+AT48-AW48),2)</f>
        <v>0</v>
      </c>
      <c r="AT49" s="55" t="n">
        <f aca="false">ROUND(AS49*$E$13/12,2)</f>
        <v>0</v>
      </c>
      <c r="AU49" s="55" t="n">
        <f aca="false">MIN($F$13,AS49+AT49)</f>
        <v>0</v>
      </c>
      <c r="AV49" s="55" t="n">
        <f aca="false">MAX(0,MIN(AS49+AT49-AU49,$D49-(H49+M49+R49+W49+AB49+AG49+AL49+AQ49)))</f>
        <v>0</v>
      </c>
      <c r="AW49" s="55" t="n">
        <f aca="false">AU49+AV49</f>
        <v>0</v>
      </c>
      <c r="AX49" s="55" t="n">
        <f aca="false">ROUND(MAX(0,AX48+AY48-BB48),2)</f>
        <v>0</v>
      </c>
      <c r="AY49" s="55" t="n">
        <f aca="false">ROUND(AX49*$E$14/12,2)</f>
        <v>0</v>
      </c>
      <c r="AZ49" s="55" t="n">
        <f aca="false">MIN($F$14,AX49+AY49)</f>
        <v>0</v>
      </c>
      <c r="BA49" s="55" t="n">
        <f aca="false">MAX(0,MIN(AX49+AY49-AZ49,$D49-(H49+M49+R49+W49+AB49+AG49+AL49+AQ49+AV49)))</f>
        <v>0</v>
      </c>
      <c r="BB49" s="55" t="n">
        <f aca="false">AZ49+BA49</f>
        <v>0</v>
      </c>
      <c r="BC49" s="55" t="n">
        <f aca="false">I49+N49+S49+X49+AC49+AH49+AM49+AR49+AW49+BB49</f>
        <v>0</v>
      </c>
      <c r="BD49" s="55" t="n">
        <f aca="false">ROUND((E49+F49-I49)+(J49+K49-N49)+(O49+P49-S49)+(T49+U49-X49)+(Y49+Z49-AC49)+(AD49+AE49-AH49)+(AI49+AJ49-AM49)+(AN49+AO49-AR49)+(AS49+AT49-AW49)+(AX49+AY49-BB49),2)</f>
        <v>0</v>
      </c>
      <c r="BE49" s="25" t="str">
        <f aca="false">IF(H49&gt;0.005,$C$5,IF(M49&gt;0.005,$C$6,IF(R49&gt;0.005,$C$7,IF(W49&gt;0.005,$C$8,IF(AB49&gt;0.005,$C$9,IF(AG49&gt;0.005,$C$10,IF(AL49&gt;0.005,$C$11,IF(AQ49&gt;0.005,$C$12,IF(AV49&gt;0.005,$C$13,IF(BA49&gt;0.005,$C$14,""))))))))))</f>
        <v/>
      </c>
    </row>
    <row r="50" customFormat="false" ht="15" hidden="false" customHeight="false" outlineLevel="0" collapsed="false">
      <c r="A50" s="24" t="n">
        <v>27</v>
      </c>
      <c r="B50" s="54" t="n">
        <f aca="false">EDATE($C$17,A50-1)</f>
        <v>47119</v>
      </c>
      <c r="C50" s="55" t="n">
        <f aca="false">G50+L50+Q50+V50+AA50+AF50+AK50+AP50+AU50+AZ50</f>
        <v>0</v>
      </c>
      <c r="D50" s="55" t="n">
        <f aca="false">MAX(0,$C$16-C50)</f>
        <v>5822</v>
      </c>
      <c r="E50" s="55" t="n">
        <f aca="false">ROUND(MAX(0,E49+F49-I49),2)</f>
        <v>0</v>
      </c>
      <c r="F50" s="55" t="n">
        <f aca="false">ROUND(E50*$E$5/12,2)</f>
        <v>0</v>
      </c>
      <c r="G50" s="55" t="n">
        <f aca="false">MIN($F$5,E50+F50)</f>
        <v>0</v>
      </c>
      <c r="H50" s="55" t="n">
        <f aca="false">MAX(0,MIN(E50+F50-G50,$D50))</f>
        <v>0</v>
      </c>
      <c r="I50" s="55" t="n">
        <f aca="false">G50+H50</f>
        <v>0</v>
      </c>
      <c r="J50" s="55" t="n">
        <f aca="false">ROUND(MAX(0,J49+K49-N49),2)</f>
        <v>0</v>
      </c>
      <c r="K50" s="55" t="n">
        <f aca="false">ROUND(J50*$E$6/12,2)</f>
        <v>0</v>
      </c>
      <c r="L50" s="55" t="n">
        <f aca="false">MIN($F$6,J50+K50)</f>
        <v>0</v>
      </c>
      <c r="M50" s="55" t="n">
        <f aca="false">MAX(0,MIN(J50+K50-L50,$D50-(H50)))</f>
        <v>0</v>
      </c>
      <c r="N50" s="55" t="n">
        <f aca="false">L50+M50</f>
        <v>0</v>
      </c>
      <c r="O50" s="55" t="n">
        <f aca="false">ROUND(MAX(0,O49+P49-S49),2)</f>
        <v>0</v>
      </c>
      <c r="P50" s="55" t="n">
        <f aca="false">ROUND(O50*$E$7/12,2)</f>
        <v>0</v>
      </c>
      <c r="Q50" s="55" t="n">
        <f aca="false">MIN($F$7,O50+P50)</f>
        <v>0</v>
      </c>
      <c r="R50" s="55" t="n">
        <f aca="false">MAX(0,MIN(O50+P50-Q50,$D50-(H50+M50)))</f>
        <v>0</v>
      </c>
      <c r="S50" s="55" t="n">
        <f aca="false">Q50+R50</f>
        <v>0</v>
      </c>
      <c r="T50" s="55" t="n">
        <f aca="false">ROUND(MAX(0,T49+U49-X49),2)</f>
        <v>0</v>
      </c>
      <c r="U50" s="55" t="n">
        <f aca="false">ROUND(T50*$E$8/12,2)</f>
        <v>0</v>
      </c>
      <c r="V50" s="55" t="n">
        <f aca="false">MIN($F$8,T50+U50)</f>
        <v>0</v>
      </c>
      <c r="W50" s="55" t="n">
        <f aca="false">MAX(0,MIN(T50+U50-V50,$D50-(H50+M50+R50)))</f>
        <v>0</v>
      </c>
      <c r="X50" s="55" t="n">
        <f aca="false">V50+W50</f>
        <v>0</v>
      </c>
      <c r="Y50" s="55" t="n">
        <f aca="false">ROUND(MAX(0,Y49+Z49-AC49),2)</f>
        <v>0</v>
      </c>
      <c r="Z50" s="55" t="n">
        <f aca="false">ROUND(Y50*$E$9/12,2)</f>
        <v>0</v>
      </c>
      <c r="AA50" s="55" t="n">
        <f aca="false">MIN($F$9,Y50+Z50)</f>
        <v>0</v>
      </c>
      <c r="AB50" s="55" t="n">
        <f aca="false">MAX(0,MIN(Y50+Z50-AA50,$D50-(H50+M50+R50+W50)))</f>
        <v>0</v>
      </c>
      <c r="AC50" s="55" t="n">
        <f aca="false">AA50+AB50</f>
        <v>0</v>
      </c>
      <c r="AD50" s="55" t="n">
        <f aca="false">ROUND(MAX(0,AD49+AE49-AH49),2)</f>
        <v>0</v>
      </c>
      <c r="AE50" s="55" t="n">
        <f aca="false">ROUND(AD50*$E$10/12,2)</f>
        <v>0</v>
      </c>
      <c r="AF50" s="55" t="n">
        <f aca="false">MIN($F$10,AD50+AE50)</f>
        <v>0</v>
      </c>
      <c r="AG50" s="55" t="n">
        <f aca="false">MAX(0,MIN(AD50+AE50-AF50,$D50-(H50+M50+R50+W50+AB50)))</f>
        <v>0</v>
      </c>
      <c r="AH50" s="55" t="n">
        <f aca="false">AF50+AG50</f>
        <v>0</v>
      </c>
      <c r="AI50" s="55" t="n">
        <f aca="false">ROUND(MAX(0,AI49+AJ49-AM49),2)</f>
        <v>0</v>
      </c>
      <c r="AJ50" s="55" t="n">
        <f aca="false">ROUND(AI50*$E$11/12,2)</f>
        <v>0</v>
      </c>
      <c r="AK50" s="55" t="n">
        <f aca="false">MIN($F$11,AI50+AJ50)</f>
        <v>0</v>
      </c>
      <c r="AL50" s="55" t="n">
        <f aca="false">MAX(0,MIN(AI50+AJ50-AK50,$D50-(H50+M50+R50+W50+AB50+AG50)))</f>
        <v>0</v>
      </c>
      <c r="AM50" s="55" t="n">
        <f aca="false">AK50+AL50</f>
        <v>0</v>
      </c>
      <c r="AN50" s="55" t="n">
        <f aca="false">ROUND(MAX(0,AN49+AO49-AR49),2)</f>
        <v>0</v>
      </c>
      <c r="AO50" s="55" t="n">
        <f aca="false">ROUND(AN50*$E$12/12,2)</f>
        <v>0</v>
      </c>
      <c r="AP50" s="55" t="n">
        <f aca="false">MIN($F$12,AN50+AO50)</f>
        <v>0</v>
      </c>
      <c r="AQ50" s="55" t="n">
        <f aca="false">MAX(0,MIN(AN50+AO50-AP50,$D50-(H50+M50+R50+W50+AB50+AG50+AL50)))</f>
        <v>0</v>
      </c>
      <c r="AR50" s="55" t="n">
        <f aca="false">AP50+AQ50</f>
        <v>0</v>
      </c>
      <c r="AS50" s="55" t="n">
        <f aca="false">ROUND(MAX(0,AS49+AT49-AW49),2)</f>
        <v>0</v>
      </c>
      <c r="AT50" s="55" t="n">
        <f aca="false">ROUND(AS50*$E$13/12,2)</f>
        <v>0</v>
      </c>
      <c r="AU50" s="55" t="n">
        <f aca="false">MIN($F$13,AS50+AT50)</f>
        <v>0</v>
      </c>
      <c r="AV50" s="55" t="n">
        <f aca="false">MAX(0,MIN(AS50+AT50-AU50,$D50-(H50+M50+R50+W50+AB50+AG50+AL50+AQ50)))</f>
        <v>0</v>
      </c>
      <c r="AW50" s="55" t="n">
        <f aca="false">AU50+AV50</f>
        <v>0</v>
      </c>
      <c r="AX50" s="55" t="n">
        <f aca="false">ROUND(MAX(0,AX49+AY49-BB49),2)</f>
        <v>0</v>
      </c>
      <c r="AY50" s="55" t="n">
        <f aca="false">ROUND(AX50*$E$14/12,2)</f>
        <v>0</v>
      </c>
      <c r="AZ50" s="55" t="n">
        <f aca="false">MIN($F$14,AX50+AY50)</f>
        <v>0</v>
      </c>
      <c r="BA50" s="55" t="n">
        <f aca="false">MAX(0,MIN(AX50+AY50-AZ50,$D50-(H50+M50+R50+W50+AB50+AG50+AL50+AQ50+AV50)))</f>
        <v>0</v>
      </c>
      <c r="BB50" s="55" t="n">
        <f aca="false">AZ50+BA50</f>
        <v>0</v>
      </c>
      <c r="BC50" s="55" t="n">
        <f aca="false">I50+N50+S50+X50+AC50+AH50+AM50+AR50+AW50+BB50</f>
        <v>0</v>
      </c>
      <c r="BD50" s="55" t="n">
        <f aca="false">ROUND((E50+F50-I50)+(J50+K50-N50)+(O50+P50-S50)+(T50+U50-X50)+(Y50+Z50-AC50)+(AD50+AE50-AH50)+(AI50+AJ50-AM50)+(AN50+AO50-AR50)+(AS50+AT50-AW50)+(AX50+AY50-BB50),2)</f>
        <v>0</v>
      </c>
      <c r="BE50" s="25" t="str">
        <f aca="false">IF(H50&gt;0.005,$C$5,IF(M50&gt;0.005,$C$6,IF(R50&gt;0.005,$C$7,IF(W50&gt;0.005,$C$8,IF(AB50&gt;0.005,$C$9,IF(AG50&gt;0.005,$C$10,IF(AL50&gt;0.005,$C$11,IF(AQ50&gt;0.005,$C$12,IF(AV50&gt;0.005,$C$13,IF(BA50&gt;0.005,$C$14,""))))))))))</f>
        <v/>
      </c>
    </row>
    <row r="51" customFormat="false" ht="15" hidden="false" customHeight="false" outlineLevel="0" collapsed="false">
      <c r="A51" s="24" t="n">
        <v>28</v>
      </c>
      <c r="B51" s="54" t="n">
        <f aca="false">EDATE($C$17,A51-1)</f>
        <v>47150</v>
      </c>
      <c r="C51" s="55" t="n">
        <f aca="false">G51+L51+Q51+V51+AA51+AF51+AK51+AP51+AU51+AZ51</f>
        <v>0</v>
      </c>
      <c r="D51" s="55" t="n">
        <f aca="false">MAX(0,$C$16-C51)</f>
        <v>5822</v>
      </c>
      <c r="E51" s="55" t="n">
        <f aca="false">ROUND(MAX(0,E50+F50-I50),2)</f>
        <v>0</v>
      </c>
      <c r="F51" s="55" t="n">
        <f aca="false">ROUND(E51*$E$5/12,2)</f>
        <v>0</v>
      </c>
      <c r="G51" s="55" t="n">
        <f aca="false">MIN($F$5,E51+F51)</f>
        <v>0</v>
      </c>
      <c r="H51" s="55" t="n">
        <f aca="false">MAX(0,MIN(E51+F51-G51,$D51))</f>
        <v>0</v>
      </c>
      <c r="I51" s="55" t="n">
        <f aca="false">G51+H51</f>
        <v>0</v>
      </c>
      <c r="J51" s="55" t="n">
        <f aca="false">ROUND(MAX(0,J50+K50-N50),2)</f>
        <v>0</v>
      </c>
      <c r="K51" s="55" t="n">
        <f aca="false">ROUND(J51*$E$6/12,2)</f>
        <v>0</v>
      </c>
      <c r="L51" s="55" t="n">
        <f aca="false">MIN($F$6,J51+K51)</f>
        <v>0</v>
      </c>
      <c r="M51" s="55" t="n">
        <f aca="false">MAX(0,MIN(J51+K51-L51,$D51-(H51)))</f>
        <v>0</v>
      </c>
      <c r="N51" s="55" t="n">
        <f aca="false">L51+M51</f>
        <v>0</v>
      </c>
      <c r="O51" s="55" t="n">
        <f aca="false">ROUND(MAX(0,O50+P50-S50),2)</f>
        <v>0</v>
      </c>
      <c r="P51" s="55" t="n">
        <f aca="false">ROUND(O51*$E$7/12,2)</f>
        <v>0</v>
      </c>
      <c r="Q51" s="55" t="n">
        <f aca="false">MIN($F$7,O51+P51)</f>
        <v>0</v>
      </c>
      <c r="R51" s="55" t="n">
        <f aca="false">MAX(0,MIN(O51+P51-Q51,$D51-(H51+M51)))</f>
        <v>0</v>
      </c>
      <c r="S51" s="55" t="n">
        <f aca="false">Q51+R51</f>
        <v>0</v>
      </c>
      <c r="T51" s="55" t="n">
        <f aca="false">ROUND(MAX(0,T50+U50-X50),2)</f>
        <v>0</v>
      </c>
      <c r="U51" s="55" t="n">
        <f aca="false">ROUND(T51*$E$8/12,2)</f>
        <v>0</v>
      </c>
      <c r="V51" s="55" t="n">
        <f aca="false">MIN($F$8,T51+U51)</f>
        <v>0</v>
      </c>
      <c r="W51" s="55" t="n">
        <f aca="false">MAX(0,MIN(T51+U51-V51,$D51-(H51+M51+R51)))</f>
        <v>0</v>
      </c>
      <c r="X51" s="55" t="n">
        <f aca="false">V51+W51</f>
        <v>0</v>
      </c>
      <c r="Y51" s="55" t="n">
        <f aca="false">ROUND(MAX(0,Y50+Z50-AC50),2)</f>
        <v>0</v>
      </c>
      <c r="Z51" s="55" t="n">
        <f aca="false">ROUND(Y51*$E$9/12,2)</f>
        <v>0</v>
      </c>
      <c r="AA51" s="55" t="n">
        <f aca="false">MIN($F$9,Y51+Z51)</f>
        <v>0</v>
      </c>
      <c r="AB51" s="55" t="n">
        <f aca="false">MAX(0,MIN(Y51+Z51-AA51,$D51-(H51+M51+R51+W51)))</f>
        <v>0</v>
      </c>
      <c r="AC51" s="55" t="n">
        <f aca="false">AA51+AB51</f>
        <v>0</v>
      </c>
      <c r="AD51" s="55" t="n">
        <f aca="false">ROUND(MAX(0,AD50+AE50-AH50),2)</f>
        <v>0</v>
      </c>
      <c r="AE51" s="55" t="n">
        <f aca="false">ROUND(AD51*$E$10/12,2)</f>
        <v>0</v>
      </c>
      <c r="AF51" s="55" t="n">
        <f aca="false">MIN($F$10,AD51+AE51)</f>
        <v>0</v>
      </c>
      <c r="AG51" s="55" t="n">
        <f aca="false">MAX(0,MIN(AD51+AE51-AF51,$D51-(H51+M51+R51+W51+AB51)))</f>
        <v>0</v>
      </c>
      <c r="AH51" s="55" t="n">
        <f aca="false">AF51+AG51</f>
        <v>0</v>
      </c>
      <c r="AI51" s="55" t="n">
        <f aca="false">ROUND(MAX(0,AI50+AJ50-AM50),2)</f>
        <v>0</v>
      </c>
      <c r="AJ51" s="55" t="n">
        <f aca="false">ROUND(AI51*$E$11/12,2)</f>
        <v>0</v>
      </c>
      <c r="AK51" s="55" t="n">
        <f aca="false">MIN($F$11,AI51+AJ51)</f>
        <v>0</v>
      </c>
      <c r="AL51" s="55" t="n">
        <f aca="false">MAX(0,MIN(AI51+AJ51-AK51,$D51-(H51+M51+R51+W51+AB51+AG51)))</f>
        <v>0</v>
      </c>
      <c r="AM51" s="55" t="n">
        <f aca="false">AK51+AL51</f>
        <v>0</v>
      </c>
      <c r="AN51" s="55" t="n">
        <f aca="false">ROUND(MAX(0,AN50+AO50-AR50),2)</f>
        <v>0</v>
      </c>
      <c r="AO51" s="55" t="n">
        <f aca="false">ROUND(AN51*$E$12/12,2)</f>
        <v>0</v>
      </c>
      <c r="AP51" s="55" t="n">
        <f aca="false">MIN($F$12,AN51+AO51)</f>
        <v>0</v>
      </c>
      <c r="AQ51" s="55" t="n">
        <f aca="false">MAX(0,MIN(AN51+AO51-AP51,$D51-(H51+M51+R51+W51+AB51+AG51+AL51)))</f>
        <v>0</v>
      </c>
      <c r="AR51" s="55" t="n">
        <f aca="false">AP51+AQ51</f>
        <v>0</v>
      </c>
      <c r="AS51" s="55" t="n">
        <f aca="false">ROUND(MAX(0,AS50+AT50-AW50),2)</f>
        <v>0</v>
      </c>
      <c r="AT51" s="55" t="n">
        <f aca="false">ROUND(AS51*$E$13/12,2)</f>
        <v>0</v>
      </c>
      <c r="AU51" s="55" t="n">
        <f aca="false">MIN($F$13,AS51+AT51)</f>
        <v>0</v>
      </c>
      <c r="AV51" s="55" t="n">
        <f aca="false">MAX(0,MIN(AS51+AT51-AU51,$D51-(H51+M51+R51+W51+AB51+AG51+AL51+AQ51)))</f>
        <v>0</v>
      </c>
      <c r="AW51" s="55" t="n">
        <f aca="false">AU51+AV51</f>
        <v>0</v>
      </c>
      <c r="AX51" s="55" t="n">
        <f aca="false">ROUND(MAX(0,AX50+AY50-BB50),2)</f>
        <v>0</v>
      </c>
      <c r="AY51" s="55" t="n">
        <f aca="false">ROUND(AX51*$E$14/12,2)</f>
        <v>0</v>
      </c>
      <c r="AZ51" s="55" t="n">
        <f aca="false">MIN($F$14,AX51+AY51)</f>
        <v>0</v>
      </c>
      <c r="BA51" s="55" t="n">
        <f aca="false">MAX(0,MIN(AX51+AY51-AZ51,$D51-(H51+M51+R51+W51+AB51+AG51+AL51+AQ51+AV51)))</f>
        <v>0</v>
      </c>
      <c r="BB51" s="55" t="n">
        <f aca="false">AZ51+BA51</f>
        <v>0</v>
      </c>
      <c r="BC51" s="55" t="n">
        <f aca="false">I51+N51+S51+X51+AC51+AH51+AM51+AR51+AW51+BB51</f>
        <v>0</v>
      </c>
      <c r="BD51" s="55" t="n">
        <f aca="false">ROUND((E51+F51-I51)+(J51+K51-N51)+(O51+P51-S51)+(T51+U51-X51)+(Y51+Z51-AC51)+(AD51+AE51-AH51)+(AI51+AJ51-AM51)+(AN51+AO51-AR51)+(AS51+AT51-AW51)+(AX51+AY51-BB51),2)</f>
        <v>0</v>
      </c>
      <c r="BE51" s="25" t="str">
        <f aca="false">IF(H51&gt;0.005,$C$5,IF(M51&gt;0.005,$C$6,IF(R51&gt;0.005,$C$7,IF(W51&gt;0.005,$C$8,IF(AB51&gt;0.005,$C$9,IF(AG51&gt;0.005,$C$10,IF(AL51&gt;0.005,$C$11,IF(AQ51&gt;0.005,$C$12,IF(AV51&gt;0.005,$C$13,IF(BA51&gt;0.005,$C$14,""))))))))))</f>
        <v/>
      </c>
    </row>
    <row r="52" customFormat="false" ht="15" hidden="false" customHeight="false" outlineLevel="0" collapsed="false">
      <c r="A52" s="24" t="n">
        <v>29</v>
      </c>
      <c r="B52" s="54" t="n">
        <f aca="false">EDATE($C$17,A52-1)</f>
        <v>47178</v>
      </c>
      <c r="C52" s="55" t="n">
        <f aca="false">G52+L52+Q52+V52+AA52+AF52+AK52+AP52+AU52+AZ52</f>
        <v>0</v>
      </c>
      <c r="D52" s="55" t="n">
        <f aca="false">MAX(0,$C$16-C52)</f>
        <v>5822</v>
      </c>
      <c r="E52" s="55" t="n">
        <f aca="false">ROUND(MAX(0,E51+F51-I51),2)</f>
        <v>0</v>
      </c>
      <c r="F52" s="55" t="n">
        <f aca="false">ROUND(E52*$E$5/12,2)</f>
        <v>0</v>
      </c>
      <c r="G52" s="55" t="n">
        <f aca="false">MIN($F$5,E52+F52)</f>
        <v>0</v>
      </c>
      <c r="H52" s="55" t="n">
        <f aca="false">MAX(0,MIN(E52+F52-G52,$D52))</f>
        <v>0</v>
      </c>
      <c r="I52" s="55" t="n">
        <f aca="false">G52+H52</f>
        <v>0</v>
      </c>
      <c r="J52" s="55" t="n">
        <f aca="false">ROUND(MAX(0,J51+K51-N51),2)</f>
        <v>0</v>
      </c>
      <c r="K52" s="55" t="n">
        <f aca="false">ROUND(J52*$E$6/12,2)</f>
        <v>0</v>
      </c>
      <c r="L52" s="55" t="n">
        <f aca="false">MIN($F$6,J52+K52)</f>
        <v>0</v>
      </c>
      <c r="M52" s="55" t="n">
        <f aca="false">MAX(0,MIN(J52+K52-L52,$D52-(H52)))</f>
        <v>0</v>
      </c>
      <c r="N52" s="55" t="n">
        <f aca="false">L52+M52</f>
        <v>0</v>
      </c>
      <c r="O52" s="55" t="n">
        <f aca="false">ROUND(MAX(0,O51+P51-S51),2)</f>
        <v>0</v>
      </c>
      <c r="P52" s="55" t="n">
        <f aca="false">ROUND(O52*$E$7/12,2)</f>
        <v>0</v>
      </c>
      <c r="Q52" s="55" t="n">
        <f aca="false">MIN($F$7,O52+P52)</f>
        <v>0</v>
      </c>
      <c r="R52" s="55" t="n">
        <f aca="false">MAX(0,MIN(O52+P52-Q52,$D52-(H52+M52)))</f>
        <v>0</v>
      </c>
      <c r="S52" s="55" t="n">
        <f aca="false">Q52+R52</f>
        <v>0</v>
      </c>
      <c r="T52" s="55" t="n">
        <f aca="false">ROUND(MAX(0,T51+U51-X51),2)</f>
        <v>0</v>
      </c>
      <c r="U52" s="55" t="n">
        <f aca="false">ROUND(T52*$E$8/12,2)</f>
        <v>0</v>
      </c>
      <c r="V52" s="55" t="n">
        <f aca="false">MIN($F$8,T52+U52)</f>
        <v>0</v>
      </c>
      <c r="W52" s="55" t="n">
        <f aca="false">MAX(0,MIN(T52+U52-V52,$D52-(H52+M52+R52)))</f>
        <v>0</v>
      </c>
      <c r="X52" s="55" t="n">
        <f aca="false">V52+W52</f>
        <v>0</v>
      </c>
      <c r="Y52" s="55" t="n">
        <f aca="false">ROUND(MAX(0,Y51+Z51-AC51),2)</f>
        <v>0</v>
      </c>
      <c r="Z52" s="55" t="n">
        <f aca="false">ROUND(Y52*$E$9/12,2)</f>
        <v>0</v>
      </c>
      <c r="AA52" s="55" t="n">
        <f aca="false">MIN($F$9,Y52+Z52)</f>
        <v>0</v>
      </c>
      <c r="AB52" s="55" t="n">
        <f aca="false">MAX(0,MIN(Y52+Z52-AA52,$D52-(H52+M52+R52+W52)))</f>
        <v>0</v>
      </c>
      <c r="AC52" s="55" t="n">
        <f aca="false">AA52+AB52</f>
        <v>0</v>
      </c>
      <c r="AD52" s="55" t="n">
        <f aca="false">ROUND(MAX(0,AD51+AE51-AH51),2)</f>
        <v>0</v>
      </c>
      <c r="AE52" s="55" t="n">
        <f aca="false">ROUND(AD52*$E$10/12,2)</f>
        <v>0</v>
      </c>
      <c r="AF52" s="55" t="n">
        <f aca="false">MIN($F$10,AD52+AE52)</f>
        <v>0</v>
      </c>
      <c r="AG52" s="55" t="n">
        <f aca="false">MAX(0,MIN(AD52+AE52-AF52,$D52-(H52+M52+R52+W52+AB52)))</f>
        <v>0</v>
      </c>
      <c r="AH52" s="55" t="n">
        <f aca="false">AF52+AG52</f>
        <v>0</v>
      </c>
      <c r="AI52" s="55" t="n">
        <f aca="false">ROUND(MAX(0,AI51+AJ51-AM51),2)</f>
        <v>0</v>
      </c>
      <c r="AJ52" s="55" t="n">
        <f aca="false">ROUND(AI52*$E$11/12,2)</f>
        <v>0</v>
      </c>
      <c r="AK52" s="55" t="n">
        <f aca="false">MIN($F$11,AI52+AJ52)</f>
        <v>0</v>
      </c>
      <c r="AL52" s="55" t="n">
        <f aca="false">MAX(0,MIN(AI52+AJ52-AK52,$D52-(H52+M52+R52+W52+AB52+AG52)))</f>
        <v>0</v>
      </c>
      <c r="AM52" s="55" t="n">
        <f aca="false">AK52+AL52</f>
        <v>0</v>
      </c>
      <c r="AN52" s="55" t="n">
        <f aca="false">ROUND(MAX(0,AN51+AO51-AR51),2)</f>
        <v>0</v>
      </c>
      <c r="AO52" s="55" t="n">
        <f aca="false">ROUND(AN52*$E$12/12,2)</f>
        <v>0</v>
      </c>
      <c r="AP52" s="55" t="n">
        <f aca="false">MIN($F$12,AN52+AO52)</f>
        <v>0</v>
      </c>
      <c r="AQ52" s="55" t="n">
        <f aca="false">MAX(0,MIN(AN52+AO52-AP52,$D52-(H52+M52+R52+W52+AB52+AG52+AL52)))</f>
        <v>0</v>
      </c>
      <c r="AR52" s="55" t="n">
        <f aca="false">AP52+AQ52</f>
        <v>0</v>
      </c>
      <c r="AS52" s="55" t="n">
        <f aca="false">ROUND(MAX(0,AS51+AT51-AW51),2)</f>
        <v>0</v>
      </c>
      <c r="AT52" s="55" t="n">
        <f aca="false">ROUND(AS52*$E$13/12,2)</f>
        <v>0</v>
      </c>
      <c r="AU52" s="55" t="n">
        <f aca="false">MIN($F$13,AS52+AT52)</f>
        <v>0</v>
      </c>
      <c r="AV52" s="55" t="n">
        <f aca="false">MAX(0,MIN(AS52+AT52-AU52,$D52-(H52+M52+R52+W52+AB52+AG52+AL52+AQ52)))</f>
        <v>0</v>
      </c>
      <c r="AW52" s="55" t="n">
        <f aca="false">AU52+AV52</f>
        <v>0</v>
      </c>
      <c r="AX52" s="55" t="n">
        <f aca="false">ROUND(MAX(0,AX51+AY51-BB51),2)</f>
        <v>0</v>
      </c>
      <c r="AY52" s="55" t="n">
        <f aca="false">ROUND(AX52*$E$14/12,2)</f>
        <v>0</v>
      </c>
      <c r="AZ52" s="55" t="n">
        <f aca="false">MIN($F$14,AX52+AY52)</f>
        <v>0</v>
      </c>
      <c r="BA52" s="55" t="n">
        <f aca="false">MAX(0,MIN(AX52+AY52-AZ52,$D52-(H52+M52+R52+W52+AB52+AG52+AL52+AQ52+AV52)))</f>
        <v>0</v>
      </c>
      <c r="BB52" s="55" t="n">
        <f aca="false">AZ52+BA52</f>
        <v>0</v>
      </c>
      <c r="BC52" s="55" t="n">
        <f aca="false">I52+N52+S52+X52+AC52+AH52+AM52+AR52+AW52+BB52</f>
        <v>0</v>
      </c>
      <c r="BD52" s="55" t="n">
        <f aca="false">ROUND((E52+F52-I52)+(J52+K52-N52)+(O52+P52-S52)+(T52+U52-X52)+(Y52+Z52-AC52)+(AD52+AE52-AH52)+(AI52+AJ52-AM52)+(AN52+AO52-AR52)+(AS52+AT52-AW52)+(AX52+AY52-BB52),2)</f>
        <v>0</v>
      </c>
      <c r="BE52" s="25" t="str">
        <f aca="false">IF(H52&gt;0.005,$C$5,IF(M52&gt;0.005,$C$6,IF(R52&gt;0.005,$C$7,IF(W52&gt;0.005,$C$8,IF(AB52&gt;0.005,$C$9,IF(AG52&gt;0.005,$C$10,IF(AL52&gt;0.005,$C$11,IF(AQ52&gt;0.005,$C$12,IF(AV52&gt;0.005,$C$13,IF(BA52&gt;0.005,$C$14,""))))))))))</f>
        <v/>
      </c>
    </row>
    <row r="53" customFormat="false" ht="15" hidden="false" customHeight="false" outlineLevel="0" collapsed="false">
      <c r="A53" s="24" t="n">
        <v>30</v>
      </c>
      <c r="B53" s="54" t="n">
        <f aca="false">EDATE($C$17,A53-1)</f>
        <v>47209</v>
      </c>
      <c r="C53" s="55" t="n">
        <f aca="false">G53+L53+Q53+V53+AA53+AF53+AK53+AP53+AU53+AZ53</f>
        <v>0</v>
      </c>
      <c r="D53" s="55" t="n">
        <f aca="false">MAX(0,$C$16-C53)</f>
        <v>5822</v>
      </c>
      <c r="E53" s="55" t="n">
        <f aca="false">ROUND(MAX(0,E52+F52-I52),2)</f>
        <v>0</v>
      </c>
      <c r="F53" s="55" t="n">
        <f aca="false">ROUND(E53*$E$5/12,2)</f>
        <v>0</v>
      </c>
      <c r="G53" s="55" t="n">
        <f aca="false">MIN($F$5,E53+F53)</f>
        <v>0</v>
      </c>
      <c r="H53" s="55" t="n">
        <f aca="false">MAX(0,MIN(E53+F53-G53,$D53))</f>
        <v>0</v>
      </c>
      <c r="I53" s="55" t="n">
        <f aca="false">G53+H53</f>
        <v>0</v>
      </c>
      <c r="J53" s="55" t="n">
        <f aca="false">ROUND(MAX(0,J52+K52-N52),2)</f>
        <v>0</v>
      </c>
      <c r="K53" s="55" t="n">
        <f aca="false">ROUND(J53*$E$6/12,2)</f>
        <v>0</v>
      </c>
      <c r="L53" s="55" t="n">
        <f aca="false">MIN($F$6,J53+K53)</f>
        <v>0</v>
      </c>
      <c r="M53" s="55" t="n">
        <f aca="false">MAX(0,MIN(J53+K53-L53,$D53-(H53)))</f>
        <v>0</v>
      </c>
      <c r="N53" s="55" t="n">
        <f aca="false">L53+M53</f>
        <v>0</v>
      </c>
      <c r="O53" s="55" t="n">
        <f aca="false">ROUND(MAX(0,O52+P52-S52),2)</f>
        <v>0</v>
      </c>
      <c r="P53" s="55" t="n">
        <f aca="false">ROUND(O53*$E$7/12,2)</f>
        <v>0</v>
      </c>
      <c r="Q53" s="55" t="n">
        <f aca="false">MIN($F$7,O53+P53)</f>
        <v>0</v>
      </c>
      <c r="R53" s="55" t="n">
        <f aca="false">MAX(0,MIN(O53+P53-Q53,$D53-(H53+M53)))</f>
        <v>0</v>
      </c>
      <c r="S53" s="55" t="n">
        <f aca="false">Q53+R53</f>
        <v>0</v>
      </c>
      <c r="T53" s="55" t="n">
        <f aca="false">ROUND(MAX(0,T52+U52-X52),2)</f>
        <v>0</v>
      </c>
      <c r="U53" s="55" t="n">
        <f aca="false">ROUND(T53*$E$8/12,2)</f>
        <v>0</v>
      </c>
      <c r="V53" s="55" t="n">
        <f aca="false">MIN($F$8,T53+U53)</f>
        <v>0</v>
      </c>
      <c r="W53" s="55" t="n">
        <f aca="false">MAX(0,MIN(T53+U53-V53,$D53-(H53+M53+R53)))</f>
        <v>0</v>
      </c>
      <c r="X53" s="55" t="n">
        <f aca="false">V53+W53</f>
        <v>0</v>
      </c>
      <c r="Y53" s="55" t="n">
        <f aca="false">ROUND(MAX(0,Y52+Z52-AC52),2)</f>
        <v>0</v>
      </c>
      <c r="Z53" s="55" t="n">
        <f aca="false">ROUND(Y53*$E$9/12,2)</f>
        <v>0</v>
      </c>
      <c r="AA53" s="55" t="n">
        <f aca="false">MIN($F$9,Y53+Z53)</f>
        <v>0</v>
      </c>
      <c r="AB53" s="55" t="n">
        <f aca="false">MAX(0,MIN(Y53+Z53-AA53,$D53-(H53+M53+R53+W53)))</f>
        <v>0</v>
      </c>
      <c r="AC53" s="55" t="n">
        <f aca="false">AA53+AB53</f>
        <v>0</v>
      </c>
      <c r="AD53" s="55" t="n">
        <f aca="false">ROUND(MAX(0,AD52+AE52-AH52),2)</f>
        <v>0</v>
      </c>
      <c r="AE53" s="55" t="n">
        <f aca="false">ROUND(AD53*$E$10/12,2)</f>
        <v>0</v>
      </c>
      <c r="AF53" s="55" t="n">
        <f aca="false">MIN($F$10,AD53+AE53)</f>
        <v>0</v>
      </c>
      <c r="AG53" s="55" t="n">
        <f aca="false">MAX(0,MIN(AD53+AE53-AF53,$D53-(H53+M53+R53+W53+AB53)))</f>
        <v>0</v>
      </c>
      <c r="AH53" s="55" t="n">
        <f aca="false">AF53+AG53</f>
        <v>0</v>
      </c>
      <c r="AI53" s="55" t="n">
        <f aca="false">ROUND(MAX(0,AI52+AJ52-AM52),2)</f>
        <v>0</v>
      </c>
      <c r="AJ53" s="55" t="n">
        <f aca="false">ROUND(AI53*$E$11/12,2)</f>
        <v>0</v>
      </c>
      <c r="AK53" s="55" t="n">
        <f aca="false">MIN($F$11,AI53+AJ53)</f>
        <v>0</v>
      </c>
      <c r="AL53" s="55" t="n">
        <f aca="false">MAX(0,MIN(AI53+AJ53-AK53,$D53-(H53+M53+R53+W53+AB53+AG53)))</f>
        <v>0</v>
      </c>
      <c r="AM53" s="55" t="n">
        <f aca="false">AK53+AL53</f>
        <v>0</v>
      </c>
      <c r="AN53" s="55" t="n">
        <f aca="false">ROUND(MAX(0,AN52+AO52-AR52),2)</f>
        <v>0</v>
      </c>
      <c r="AO53" s="55" t="n">
        <f aca="false">ROUND(AN53*$E$12/12,2)</f>
        <v>0</v>
      </c>
      <c r="AP53" s="55" t="n">
        <f aca="false">MIN($F$12,AN53+AO53)</f>
        <v>0</v>
      </c>
      <c r="AQ53" s="55" t="n">
        <f aca="false">MAX(0,MIN(AN53+AO53-AP53,$D53-(H53+M53+R53+W53+AB53+AG53+AL53)))</f>
        <v>0</v>
      </c>
      <c r="AR53" s="55" t="n">
        <f aca="false">AP53+AQ53</f>
        <v>0</v>
      </c>
      <c r="AS53" s="55" t="n">
        <f aca="false">ROUND(MAX(0,AS52+AT52-AW52),2)</f>
        <v>0</v>
      </c>
      <c r="AT53" s="55" t="n">
        <f aca="false">ROUND(AS53*$E$13/12,2)</f>
        <v>0</v>
      </c>
      <c r="AU53" s="55" t="n">
        <f aca="false">MIN($F$13,AS53+AT53)</f>
        <v>0</v>
      </c>
      <c r="AV53" s="55" t="n">
        <f aca="false">MAX(0,MIN(AS53+AT53-AU53,$D53-(H53+M53+R53+W53+AB53+AG53+AL53+AQ53)))</f>
        <v>0</v>
      </c>
      <c r="AW53" s="55" t="n">
        <f aca="false">AU53+AV53</f>
        <v>0</v>
      </c>
      <c r="AX53" s="55" t="n">
        <f aca="false">ROUND(MAX(0,AX52+AY52-BB52),2)</f>
        <v>0</v>
      </c>
      <c r="AY53" s="55" t="n">
        <f aca="false">ROUND(AX53*$E$14/12,2)</f>
        <v>0</v>
      </c>
      <c r="AZ53" s="55" t="n">
        <f aca="false">MIN($F$14,AX53+AY53)</f>
        <v>0</v>
      </c>
      <c r="BA53" s="55" t="n">
        <f aca="false">MAX(0,MIN(AX53+AY53-AZ53,$D53-(H53+M53+R53+W53+AB53+AG53+AL53+AQ53+AV53)))</f>
        <v>0</v>
      </c>
      <c r="BB53" s="55" t="n">
        <f aca="false">AZ53+BA53</f>
        <v>0</v>
      </c>
      <c r="BC53" s="55" t="n">
        <f aca="false">I53+N53+S53+X53+AC53+AH53+AM53+AR53+AW53+BB53</f>
        <v>0</v>
      </c>
      <c r="BD53" s="55" t="n">
        <f aca="false">ROUND((E53+F53-I53)+(J53+K53-N53)+(O53+P53-S53)+(T53+U53-X53)+(Y53+Z53-AC53)+(AD53+AE53-AH53)+(AI53+AJ53-AM53)+(AN53+AO53-AR53)+(AS53+AT53-AW53)+(AX53+AY53-BB53),2)</f>
        <v>0</v>
      </c>
      <c r="BE53" s="25" t="str">
        <f aca="false">IF(H53&gt;0.005,$C$5,IF(M53&gt;0.005,$C$6,IF(R53&gt;0.005,$C$7,IF(W53&gt;0.005,$C$8,IF(AB53&gt;0.005,$C$9,IF(AG53&gt;0.005,$C$10,IF(AL53&gt;0.005,$C$11,IF(AQ53&gt;0.005,$C$12,IF(AV53&gt;0.005,$C$13,IF(BA53&gt;0.005,$C$14,""))))))))))</f>
        <v/>
      </c>
    </row>
    <row r="54" customFormat="false" ht="15" hidden="false" customHeight="false" outlineLevel="0" collapsed="false">
      <c r="A54" s="24" t="n">
        <v>31</v>
      </c>
      <c r="B54" s="54" t="n">
        <f aca="false">EDATE($C$17,A54-1)</f>
        <v>47239</v>
      </c>
      <c r="C54" s="55" t="n">
        <f aca="false">G54+L54+Q54+V54+AA54+AF54+AK54+AP54+AU54+AZ54</f>
        <v>0</v>
      </c>
      <c r="D54" s="55" t="n">
        <f aca="false">MAX(0,$C$16-C54)</f>
        <v>5822</v>
      </c>
      <c r="E54" s="55" t="n">
        <f aca="false">ROUND(MAX(0,E53+F53-I53),2)</f>
        <v>0</v>
      </c>
      <c r="F54" s="55" t="n">
        <f aca="false">ROUND(E54*$E$5/12,2)</f>
        <v>0</v>
      </c>
      <c r="G54" s="55" t="n">
        <f aca="false">MIN($F$5,E54+F54)</f>
        <v>0</v>
      </c>
      <c r="H54" s="55" t="n">
        <f aca="false">MAX(0,MIN(E54+F54-G54,$D54))</f>
        <v>0</v>
      </c>
      <c r="I54" s="55" t="n">
        <f aca="false">G54+H54</f>
        <v>0</v>
      </c>
      <c r="J54" s="55" t="n">
        <f aca="false">ROUND(MAX(0,J53+K53-N53),2)</f>
        <v>0</v>
      </c>
      <c r="K54" s="55" t="n">
        <f aca="false">ROUND(J54*$E$6/12,2)</f>
        <v>0</v>
      </c>
      <c r="L54" s="55" t="n">
        <f aca="false">MIN($F$6,J54+K54)</f>
        <v>0</v>
      </c>
      <c r="M54" s="55" t="n">
        <f aca="false">MAX(0,MIN(J54+K54-L54,$D54-(H54)))</f>
        <v>0</v>
      </c>
      <c r="N54" s="55" t="n">
        <f aca="false">L54+M54</f>
        <v>0</v>
      </c>
      <c r="O54" s="55" t="n">
        <f aca="false">ROUND(MAX(0,O53+P53-S53),2)</f>
        <v>0</v>
      </c>
      <c r="P54" s="55" t="n">
        <f aca="false">ROUND(O54*$E$7/12,2)</f>
        <v>0</v>
      </c>
      <c r="Q54" s="55" t="n">
        <f aca="false">MIN($F$7,O54+P54)</f>
        <v>0</v>
      </c>
      <c r="R54" s="55" t="n">
        <f aca="false">MAX(0,MIN(O54+P54-Q54,$D54-(H54+M54)))</f>
        <v>0</v>
      </c>
      <c r="S54" s="55" t="n">
        <f aca="false">Q54+R54</f>
        <v>0</v>
      </c>
      <c r="T54" s="55" t="n">
        <f aca="false">ROUND(MAX(0,T53+U53-X53),2)</f>
        <v>0</v>
      </c>
      <c r="U54" s="55" t="n">
        <f aca="false">ROUND(T54*$E$8/12,2)</f>
        <v>0</v>
      </c>
      <c r="V54" s="55" t="n">
        <f aca="false">MIN($F$8,T54+U54)</f>
        <v>0</v>
      </c>
      <c r="W54" s="55" t="n">
        <f aca="false">MAX(0,MIN(T54+U54-V54,$D54-(H54+M54+R54)))</f>
        <v>0</v>
      </c>
      <c r="X54" s="55" t="n">
        <f aca="false">V54+W54</f>
        <v>0</v>
      </c>
      <c r="Y54" s="55" t="n">
        <f aca="false">ROUND(MAX(0,Y53+Z53-AC53),2)</f>
        <v>0</v>
      </c>
      <c r="Z54" s="55" t="n">
        <f aca="false">ROUND(Y54*$E$9/12,2)</f>
        <v>0</v>
      </c>
      <c r="AA54" s="55" t="n">
        <f aca="false">MIN($F$9,Y54+Z54)</f>
        <v>0</v>
      </c>
      <c r="AB54" s="55" t="n">
        <f aca="false">MAX(0,MIN(Y54+Z54-AA54,$D54-(H54+M54+R54+W54)))</f>
        <v>0</v>
      </c>
      <c r="AC54" s="55" t="n">
        <f aca="false">AA54+AB54</f>
        <v>0</v>
      </c>
      <c r="AD54" s="55" t="n">
        <f aca="false">ROUND(MAX(0,AD53+AE53-AH53),2)</f>
        <v>0</v>
      </c>
      <c r="AE54" s="55" t="n">
        <f aca="false">ROUND(AD54*$E$10/12,2)</f>
        <v>0</v>
      </c>
      <c r="AF54" s="55" t="n">
        <f aca="false">MIN($F$10,AD54+AE54)</f>
        <v>0</v>
      </c>
      <c r="AG54" s="55" t="n">
        <f aca="false">MAX(0,MIN(AD54+AE54-AF54,$D54-(H54+M54+R54+W54+AB54)))</f>
        <v>0</v>
      </c>
      <c r="AH54" s="55" t="n">
        <f aca="false">AF54+AG54</f>
        <v>0</v>
      </c>
      <c r="AI54" s="55" t="n">
        <f aca="false">ROUND(MAX(0,AI53+AJ53-AM53),2)</f>
        <v>0</v>
      </c>
      <c r="AJ54" s="55" t="n">
        <f aca="false">ROUND(AI54*$E$11/12,2)</f>
        <v>0</v>
      </c>
      <c r="AK54" s="55" t="n">
        <f aca="false">MIN($F$11,AI54+AJ54)</f>
        <v>0</v>
      </c>
      <c r="AL54" s="55" t="n">
        <f aca="false">MAX(0,MIN(AI54+AJ54-AK54,$D54-(H54+M54+R54+W54+AB54+AG54)))</f>
        <v>0</v>
      </c>
      <c r="AM54" s="55" t="n">
        <f aca="false">AK54+AL54</f>
        <v>0</v>
      </c>
      <c r="AN54" s="55" t="n">
        <f aca="false">ROUND(MAX(0,AN53+AO53-AR53),2)</f>
        <v>0</v>
      </c>
      <c r="AO54" s="55" t="n">
        <f aca="false">ROUND(AN54*$E$12/12,2)</f>
        <v>0</v>
      </c>
      <c r="AP54" s="55" t="n">
        <f aca="false">MIN($F$12,AN54+AO54)</f>
        <v>0</v>
      </c>
      <c r="AQ54" s="55" t="n">
        <f aca="false">MAX(0,MIN(AN54+AO54-AP54,$D54-(H54+M54+R54+W54+AB54+AG54+AL54)))</f>
        <v>0</v>
      </c>
      <c r="AR54" s="55" t="n">
        <f aca="false">AP54+AQ54</f>
        <v>0</v>
      </c>
      <c r="AS54" s="55" t="n">
        <f aca="false">ROUND(MAX(0,AS53+AT53-AW53),2)</f>
        <v>0</v>
      </c>
      <c r="AT54" s="55" t="n">
        <f aca="false">ROUND(AS54*$E$13/12,2)</f>
        <v>0</v>
      </c>
      <c r="AU54" s="55" t="n">
        <f aca="false">MIN($F$13,AS54+AT54)</f>
        <v>0</v>
      </c>
      <c r="AV54" s="55" t="n">
        <f aca="false">MAX(0,MIN(AS54+AT54-AU54,$D54-(H54+M54+R54+W54+AB54+AG54+AL54+AQ54)))</f>
        <v>0</v>
      </c>
      <c r="AW54" s="55" t="n">
        <f aca="false">AU54+AV54</f>
        <v>0</v>
      </c>
      <c r="AX54" s="55" t="n">
        <f aca="false">ROUND(MAX(0,AX53+AY53-BB53),2)</f>
        <v>0</v>
      </c>
      <c r="AY54" s="55" t="n">
        <f aca="false">ROUND(AX54*$E$14/12,2)</f>
        <v>0</v>
      </c>
      <c r="AZ54" s="55" t="n">
        <f aca="false">MIN($F$14,AX54+AY54)</f>
        <v>0</v>
      </c>
      <c r="BA54" s="55" t="n">
        <f aca="false">MAX(0,MIN(AX54+AY54-AZ54,$D54-(H54+M54+R54+W54+AB54+AG54+AL54+AQ54+AV54)))</f>
        <v>0</v>
      </c>
      <c r="BB54" s="55" t="n">
        <f aca="false">AZ54+BA54</f>
        <v>0</v>
      </c>
      <c r="BC54" s="55" t="n">
        <f aca="false">I54+N54+S54+X54+AC54+AH54+AM54+AR54+AW54+BB54</f>
        <v>0</v>
      </c>
      <c r="BD54" s="55" t="n">
        <f aca="false">ROUND((E54+F54-I54)+(J54+K54-N54)+(O54+P54-S54)+(T54+U54-X54)+(Y54+Z54-AC54)+(AD54+AE54-AH54)+(AI54+AJ54-AM54)+(AN54+AO54-AR54)+(AS54+AT54-AW54)+(AX54+AY54-BB54),2)</f>
        <v>0</v>
      </c>
      <c r="BE54" s="25" t="str">
        <f aca="false">IF(H54&gt;0.005,$C$5,IF(M54&gt;0.005,$C$6,IF(R54&gt;0.005,$C$7,IF(W54&gt;0.005,$C$8,IF(AB54&gt;0.005,$C$9,IF(AG54&gt;0.005,$C$10,IF(AL54&gt;0.005,$C$11,IF(AQ54&gt;0.005,$C$12,IF(AV54&gt;0.005,$C$13,IF(BA54&gt;0.005,$C$14,""))))))))))</f>
        <v/>
      </c>
    </row>
    <row r="55" customFormat="false" ht="15" hidden="false" customHeight="false" outlineLevel="0" collapsed="false">
      <c r="A55" s="24" t="n">
        <v>32</v>
      </c>
      <c r="B55" s="54" t="n">
        <f aca="false">EDATE($C$17,A55-1)</f>
        <v>47270</v>
      </c>
      <c r="C55" s="55" t="n">
        <f aca="false">G55+L55+Q55+V55+AA55+AF55+AK55+AP55+AU55+AZ55</f>
        <v>0</v>
      </c>
      <c r="D55" s="55" t="n">
        <f aca="false">MAX(0,$C$16-C55)</f>
        <v>5822</v>
      </c>
      <c r="E55" s="55" t="n">
        <f aca="false">ROUND(MAX(0,E54+F54-I54),2)</f>
        <v>0</v>
      </c>
      <c r="F55" s="55" t="n">
        <f aca="false">ROUND(E55*$E$5/12,2)</f>
        <v>0</v>
      </c>
      <c r="G55" s="55" t="n">
        <f aca="false">MIN($F$5,E55+F55)</f>
        <v>0</v>
      </c>
      <c r="H55" s="55" t="n">
        <f aca="false">MAX(0,MIN(E55+F55-G55,$D55))</f>
        <v>0</v>
      </c>
      <c r="I55" s="55" t="n">
        <f aca="false">G55+H55</f>
        <v>0</v>
      </c>
      <c r="J55" s="55" t="n">
        <f aca="false">ROUND(MAX(0,J54+K54-N54),2)</f>
        <v>0</v>
      </c>
      <c r="K55" s="55" t="n">
        <f aca="false">ROUND(J55*$E$6/12,2)</f>
        <v>0</v>
      </c>
      <c r="L55" s="55" t="n">
        <f aca="false">MIN($F$6,J55+K55)</f>
        <v>0</v>
      </c>
      <c r="M55" s="55" t="n">
        <f aca="false">MAX(0,MIN(J55+K55-L55,$D55-(H55)))</f>
        <v>0</v>
      </c>
      <c r="N55" s="55" t="n">
        <f aca="false">L55+M55</f>
        <v>0</v>
      </c>
      <c r="O55" s="55" t="n">
        <f aca="false">ROUND(MAX(0,O54+P54-S54),2)</f>
        <v>0</v>
      </c>
      <c r="P55" s="55" t="n">
        <f aca="false">ROUND(O55*$E$7/12,2)</f>
        <v>0</v>
      </c>
      <c r="Q55" s="55" t="n">
        <f aca="false">MIN($F$7,O55+P55)</f>
        <v>0</v>
      </c>
      <c r="R55" s="55" t="n">
        <f aca="false">MAX(0,MIN(O55+P55-Q55,$D55-(H55+M55)))</f>
        <v>0</v>
      </c>
      <c r="S55" s="55" t="n">
        <f aca="false">Q55+R55</f>
        <v>0</v>
      </c>
      <c r="T55" s="55" t="n">
        <f aca="false">ROUND(MAX(0,T54+U54-X54),2)</f>
        <v>0</v>
      </c>
      <c r="U55" s="55" t="n">
        <f aca="false">ROUND(T55*$E$8/12,2)</f>
        <v>0</v>
      </c>
      <c r="V55" s="55" t="n">
        <f aca="false">MIN($F$8,T55+U55)</f>
        <v>0</v>
      </c>
      <c r="W55" s="55" t="n">
        <f aca="false">MAX(0,MIN(T55+U55-V55,$D55-(H55+M55+R55)))</f>
        <v>0</v>
      </c>
      <c r="X55" s="55" t="n">
        <f aca="false">V55+W55</f>
        <v>0</v>
      </c>
      <c r="Y55" s="55" t="n">
        <f aca="false">ROUND(MAX(0,Y54+Z54-AC54),2)</f>
        <v>0</v>
      </c>
      <c r="Z55" s="55" t="n">
        <f aca="false">ROUND(Y55*$E$9/12,2)</f>
        <v>0</v>
      </c>
      <c r="AA55" s="55" t="n">
        <f aca="false">MIN($F$9,Y55+Z55)</f>
        <v>0</v>
      </c>
      <c r="AB55" s="55" t="n">
        <f aca="false">MAX(0,MIN(Y55+Z55-AA55,$D55-(H55+M55+R55+W55)))</f>
        <v>0</v>
      </c>
      <c r="AC55" s="55" t="n">
        <f aca="false">AA55+AB55</f>
        <v>0</v>
      </c>
      <c r="AD55" s="55" t="n">
        <f aca="false">ROUND(MAX(0,AD54+AE54-AH54),2)</f>
        <v>0</v>
      </c>
      <c r="AE55" s="55" t="n">
        <f aca="false">ROUND(AD55*$E$10/12,2)</f>
        <v>0</v>
      </c>
      <c r="AF55" s="55" t="n">
        <f aca="false">MIN($F$10,AD55+AE55)</f>
        <v>0</v>
      </c>
      <c r="AG55" s="55" t="n">
        <f aca="false">MAX(0,MIN(AD55+AE55-AF55,$D55-(H55+M55+R55+W55+AB55)))</f>
        <v>0</v>
      </c>
      <c r="AH55" s="55" t="n">
        <f aca="false">AF55+AG55</f>
        <v>0</v>
      </c>
      <c r="AI55" s="55" t="n">
        <f aca="false">ROUND(MAX(0,AI54+AJ54-AM54),2)</f>
        <v>0</v>
      </c>
      <c r="AJ55" s="55" t="n">
        <f aca="false">ROUND(AI55*$E$11/12,2)</f>
        <v>0</v>
      </c>
      <c r="AK55" s="55" t="n">
        <f aca="false">MIN($F$11,AI55+AJ55)</f>
        <v>0</v>
      </c>
      <c r="AL55" s="55" t="n">
        <f aca="false">MAX(0,MIN(AI55+AJ55-AK55,$D55-(H55+M55+R55+W55+AB55+AG55)))</f>
        <v>0</v>
      </c>
      <c r="AM55" s="55" t="n">
        <f aca="false">AK55+AL55</f>
        <v>0</v>
      </c>
      <c r="AN55" s="55" t="n">
        <f aca="false">ROUND(MAX(0,AN54+AO54-AR54),2)</f>
        <v>0</v>
      </c>
      <c r="AO55" s="55" t="n">
        <f aca="false">ROUND(AN55*$E$12/12,2)</f>
        <v>0</v>
      </c>
      <c r="AP55" s="55" t="n">
        <f aca="false">MIN($F$12,AN55+AO55)</f>
        <v>0</v>
      </c>
      <c r="AQ55" s="55" t="n">
        <f aca="false">MAX(0,MIN(AN55+AO55-AP55,$D55-(H55+M55+R55+W55+AB55+AG55+AL55)))</f>
        <v>0</v>
      </c>
      <c r="AR55" s="55" t="n">
        <f aca="false">AP55+AQ55</f>
        <v>0</v>
      </c>
      <c r="AS55" s="55" t="n">
        <f aca="false">ROUND(MAX(0,AS54+AT54-AW54),2)</f>
        <v>0</v>
      </c>
      <c r="AT55" s="55" t="n">
        <f aca="false">ROUND(AS55*$E$13/12,2)</f>
        <v>0</v>
      </c>
      <c r="AU55" s="55" t="n">
        <f aca="false">MIN($F$13,AS55+AT55)</f>
        <v>0</v>
      </c>
      <c r="AV55" s="55" t="n">
        <f aca="false">MAX(0,MIN(AS55+AT55-AU55,$D55-(H55+M55+R55+W55+AB55+AG55+AL55+AQ55)))</f>
        <v>0</v>
      </c>
      <c r="AW55" s="55" t="n">
        <f aca="false">AU55+AV55</f>
        <v>0</v>
      </c>
      <c r="AX55" s="55" t="n">
        <f aca="false">ROUND(MAX(0,AX54+AY54-BB54),2)</f>
        <v>0</v>
      </c>
      <c r="AY55" s="55" t="n">
        <f aca="false">ROUND(AX55*$E$14/12,2)</f>
        <v>0</v>
      </c>
      <c r="AZ55" s="55" t="n">
        <f aca="false">MIN($F$14,AX55+AY55)</f>
        <v>0</v>
      </c>
      <c r="BA55" s="55" t="n">
        <f aca="false">MAX(0,MIN(AX55+AY55-AZ55,$D55-(H55+M55+R55+W55+AB55+AG55+AL55+AQ55+AV55)))</f>
        <v>0</v>
      </c>
      <c r="BB55" s="55" t="n">
        <f aca="false">AZ55+BA55</f>
        <v>0</v>
      </c>
      <c r="BC55" s="55" t="n">
        <f aca="false">I55+N55+S55+X55+AC55+AH55+AM55+AR55+AW55+BB55</f>
        <v>0</v>
      </c>
      <c r="BD55" s="55" t="n">
        <f aca="false">ROUND((E55+F55-I55)+(J55+K55-N55)+(O55+P55-S55)+(T55+U55-X55)+(Y55+Z55-AC55)+(AD55+AE55-AH55)+(AI55+AJ55-AM55)+(AN55+AO55-AR55)+(AS55+AT55-AW55)+(AX55+AY55-BB55),2)</f>
        <v>0</v>
      </c>
      <c r="BE55" s="25" t="str">
        <f aca="false">IF(H55&gt;0.005,$C$5,IF(M55&gt;0.005,$C$6,IF(R55&gt;0.005,$C$7,IF(W55&gt;0.005,$C$8,IF(AB55&gt;0.005,$C$9,IF(AG55&gt;0.005,$C$10,IF(AL55&gt;0.005,$C$11,IF(AQ55&gt;0.005,$C$12,IF(AV55&gt;0.005,$C$13,IF(BA55&gt;0.005,$C$14,""))))))))))</f>
        <v/>
      </c>
    </row>
    <row r="56" customFormat="false" ht="15" hidden="false" customHeight="false" outlineLevel="0" collapsed="false">
      <c r="A56" s="24" t="n">
        <v>33</v>
      </c>
      <c r="B56" s="54" t="n">
        <f aca="false">EDATE($C$17,A56-1)</f>
        <v>47300</v>
      </c>
      <c r="C56" s="55" t="n">
        <f aca="false">G56+L56+Q56+V56+AA56+AF56+AK56+AP56+AU56+AZ56</f>
        <v>0</v>
      </c>
      <c r="D56" s="55" t="n">
        <f aca="false">MAX(0,$C$16-C56)</f>
        <v>5822</v>
      </c>
      <c r="E56" s="55" t="n">
        <f aca="false">ROUND(MAX(0,E55+F55-I55),2)</f>
        <v>0</v>
      </c>
      <c r="F56" s="55" t="n">
        <f aca="false">ROUND(E56*$E$5/12,2)</f>
        <v>0</v>
      </c>
      <c r="G56" s="55" t="n">
        <f aca="false">MIN($F$5,E56+F56)</f>
        <v>0</v>
      </c>
      <c r="H56" s="55" t="n">
        <f aca="false">MAX(0,MIN(E56+F56-G56,$D56))</f>
        <v>0</v>
      </c>
      <c r="I56" s="55" t="n">
        <f aca="false">G56+H56</f>
        <v>0</v>
      </c>
      <c r="J56" s="55" t="n">
        <f aca="false">ROUND(MAX(0,J55+K55-N55),2)</f>
        <v>0</v>
      </c>
      <c r="K56" s="55" t="n">
        <f aca="false">ROUND(J56*$E$6/12,2)</f>
        <v>0</v>
      </c>
      <c r="L56" s="55" t="n">
        <f aca="false">MIN($F$6,J56+K56)</f>
        <v>0</v>
      </c>
      <c r="M56" s="55" t="n">
        <f aca="false">MAX(0,MIN(J56+K56-L56,$D56-(H56)))</f>
        <v>0</v>
      </c>
      <c r="N56" s="55" t="n">
        <f aca="false">L56+M56</f>
        <v>0</v>
      </c>
      <c r="O56" s="55" t="n">
        <f aca="false">ROUND(MAX(0,O55+P55-S55),2)</f>
        <v>0</v>
      </c>
      <c r="P56" s="55" t="n">
        <f aca="false">ROUND(O56*$E$7/12,2)</f>
        <v>0</v>
      </c>
      <c r="Q56" s="55" t="n">
        <f aca="false">MIN($F$7,O56+P56)</f>
        <v>0</v>
      </c>
      <c r="R56" s="55" t="n">
        <f aca="false">MAX(0,MIN(O56+P56-Q56,$D56-(H56+M56)))</f>
        <v>0</v>
      </c>
      <c r="S56" s="55" t="n">
        <f aca="false">Q56+R56</f>
        <v>0</v>
      </c>
      <c r="T56" s="55" t="n">
        <f aca="false">ROUND(MAX(0,T55+U55-X55),2)</f>
        <v>0</v>
      </c>
      <c r="U56" s="55" t="n">
        <f aca="false">ROUND(T56*$E$8/12,2)</f>
        <v>0</v>
      </c>
      <c r="V56" s="55" t="n">
        <f aca="false">MIN($F$8,T56+U56)</f>
        <v>0</v>
      </c>
      <c r="W56" s="55" t="n">
        <f aca="false">MAX(0,MIN(T56+U56-V56,$D56-(H56+M56+R56)))</f>
        <v>0</v>
      </c>
      <c r="X56" s="55" t="n">
        <f aca="false">V56+W56</f>
        <v>0</v>
      </c>
      <c r="Y56" s="55" t="n">
        <f aca="false">ROUND(MAX(0,Y55+Z55-AC55),2)</f>
        <v>0</v>
      </c>
      <c r="Z56" s="55" t="n">
        <f aca="false">ROUND(Y56*$E$9/12,2)</f>
        <v>0</v>
      </c>
      <c r="AA56" s="55" t="n">
        <f aca="false">MIN($F$9,Y56+Z56)</f>
        <v>0</v>
      </c>
      <c r="AB56" s="55" t="n">
        <f aca="false">MAX(0,MIN(Y56+Z56-AA56,$D56-(H56+M56+R56+W56)))</f>
        <v>0</v>
      </c>
      <c r="AC56" s="55" t="n">
        <f aca="false">AA56+AB56</f>
        <v>0</v>
      </c>
      <c r="AD56" s="55" t="n">
        <f aca="false">ROUND(MAX(0,AD55+AE55-AH55),2)</f>
        <v>0</v>
      </c>
      <c r="AE56" s="55" t="n">
        <f aca="false">ROUND(AD56*$E$10/12,2)</f>
        <v>0</v>
      </c>
      <c r="AF56" s="55" t="n">
        <f aca="false">MIN($F$10,AD56+AE56)</f>
        <v>0</v>
      </c>
      <c r="AG56" s="55" t="n">
        <f aca="false">MAX(0,MIN(AD56+AE56-AF56,$D56-(H56+M56+R56+W56+AB56)))</f>
        <v>0</v>
      </c>
      <c r="AH56" s="55" t="n">
        <f aca="false">AF56+AG56</f>
        <v>0</v>
      </c>
      <c r="AI56" s="55" t="n">
        <f aca="false">ROUND(MAX(0,AI55+AJ55-AM55),2)</f>
        <v>0</v>
      </c>
      <c r="AJ56" s="55" t="n">
        <f aca="false">ROUND(AI56*$E$11/12,2)</f>
        <v>0</v>
      </c>
      <c r="AK56" s="55" t="n">
        <f aca="false">MIN($F$11,AI56+AJ56)</f>
        <v>0</v>
      </c>
      <c r="AL56" s="55" t="n">
        <f aca="false">MAX(0,MIN(AI56+AJ56-AK56,$D56-(H56+M56+R56+W56+AB56+AG56)))</f>
        <v>0</v>
      </c>
      <c r="AM56" s="55" t="n">
        <f aca="false">AK56+AL56</f>
        <v>0</v>
      </c>
      <c r="AN56" s="55" t="n">
        <f aca="false">ROUND(MAX(0,AN55+AO55-AR55),2)</f>
        <v>0</v>
      </c>
      <c r="AO56" s="55" t="n">
        <f aca="false">ROUND(AN56*$E$12/12,2)</f>
        <v>0</v>
      </c>
      <c r="AP56" s="55" t="n">
        <f aca="false">MIN($F$12,AN56+AO56)</f>
        <v>0</v>
      </c>
      <c r="AQ56" s="55" t="n">
        <f aca="false">MAX(0,MIN(AN56+AO56-AP56,$D56-(H56+M56+R56+W56+AB56+AG56+AL56)))</f>
        <v>0</v>
      </c>
      <c r="AR56" s="55" t="n">
        <f aca="false">AP56+AQ56</f>
        <v>0</v>
      </c>
      <c r="AS56" s="55" t="n">
        <f aca="false">ROUND(MAX(0,AS55+AT55-AW55),2)</f>
        <v>0</v>
      </c>
      <c r="AT56" s="55" t="n">
        <f aca="false">ROUND(AS56*$E$13/12,2)</f>
        <v>0</v>
      </c>
      <c r="AU56" s="55" t="n">
        <f aca="false">MIN($F$13,AS56+AT56)</f>
        <v>0</v>
      </c>
      <c r="AV56" s="55" t="n">
        <f aca="false">MAX(0,MIN(AS56+AT56-AU56,$D56-(H56+M56+R56+W56+AB56+AG56+AL56+AQ56)))</f>
        <v>0</v>
      </c>
      <c r="AW56" s="55" t="n">
        <f aca="false">AU56+AV56</f>
        <v>0</v>
      </c>
      <c r="AX56" s="55" t="n">
        <f aca="false">ROUND(MAX(0,AX55+AY55-BB55),2)</f>
        <v>0</v>
      </c>
      <c r="AY56" s="55" t="n">
        <f aca="false">ROUND(AX56*$E$14/12,2)</f>
        <v>0</v>
      </c>
      <c r="AZ56" s="55" t="n">
        <f aca="false">MIN($F$14,AX56+AY56)</f>
        <v>0</v>
      </c>
      <c r="BA56" s="55" t="n">
        <f aca="false">MAX(0,MIN(AX56+AY56-AZ56,$D56-(H56+M56+R56+W56+AB56+AG56+AL56+AQ56+AV56)))</f>
        <v>0</v>
      </c>
      <c r="BB56" s="55" t="n">
        <f aca="false">AZ56+BA56</f>
        <v>0</v>
      </c>
      <c r="BC56" s="55" t="n">
        <f aca="false">I56+N56+S56+X56+AC56+AH56+AM56+AR56+AW56+BB56</f>
        <v>0</v>
      </c>
      <c r="BD56" s="55" t="n">
        <f aca="false">ROUND((E56+F56-I56)+(J56+K56-N56)+(O56+P56-S56)+(T56+U56-X56)+(Y56+Z56-AC56)+(AD56+AE56-AH56)+(AI56+AJ56-AM56)+(AN56+AO56-AR56)+(AS56+AT56-AW56)+(AX56+AY56-BB56),2)</f>
        <v>0</v>
      </c>
      <c r="BE56" s="25" t="str">
        <f aca="false">IF(H56&gt;0.005,$C$5,IF(M56&gt;0.005,$C$6,IF(R56&gt;0.005,$C$7,IF(W56&gt;0.005,$C$8,IF(AB56&gt;0.005,$C$9,IF(AG56&gt;0.005,$C$10,IF(AL56&gt;0.005,$C$11,IF(AQ56&gt;0.005,$C$12,IF(AV56&gt;0.005,$C$13,IF(BA56&gt;0.005,$C$14,""))))))))))</f>
        <v/>
      </c>
    </row>
    <row r="57" customFormat="false" ht="15" hidden="false" customHeight="false" outlineLevel="0" collapsed="false">
      <c r="A57" s="24" t="n">
        <v>34</v>
      </c>
      <c r="B57" s="54" t="n">
        <f aca="false">EDATE($C$17,A57-1)</f>
        <v>47331</v>
      </c>
      <c r="C57" s="55" t="n">
        <f aca="false">G57+L57+Q57+V57+AA57+AF57+AK57+AP57+AU57+AZ57</f>
        <v>0</v>
      </c>
      <c r="D57" s="55" t="n">
        <f aca="false">MAX(0,$C$16-C57)</f>
        <v>5822</v>
      </c>
      <c r="E57" s="55" t="n">
        <f aca="false">ROUND(MAX(0,E56+F56-I56),2)</f>
        <v>0</v>
      </c>
      <c r="F57" s="55" t="n">
        <f aca="false">ROUND(E57*$E$5/12,2)</f>
        <v>0</v>
      </c>
      <c r="G57" s="55" t="n">
        <f aca="false">MIN($F$5,E57+F57)</f>
        <v>0</v>
      </c>
      <c r="H57" s="55" t="n">
        <f aca="false">MAX(0,MIN(E57+F57-G57,$D57))</f>
        <v>0</v>
      </c>
      <c r="I57" s="55" t="n">
        <f aca="false">G57+H57</f>
        <v>0</v>
      </c>
      <c r="J57" s="55" t="n">
        <f aca="false">ROUND(MAX(0,J56+K56-N56),2)</f>
        <v>0</v>
      </c>
      <c r="K57" s="55" t="n">
        <f aca="false">ROUND(J57*$E$6/12,2)</f>
        <v>0</v>
      </c>
      <c r="L57" s="55" t="n">
        <f aca="false">MIN($F$6,J57+K57)</f>
        <v>0</v>
      </c>
      <c r="M57" s="55" t="n">
        <f aca="false">MAX(0,MIN(J57+K57-L57,$D57-(H57)))</f>
        <v>0</v>
      </c>
      <c r="N57" s="55" t="n">
        <f aca="false">L57+M57</f>
        <v>0</v>
      </c>
      <c r="O57" s="55" t="n">
        <f aca="false">ROUND(MAX(0,O56+P56-S56),2)</f>
        <v>0</v>
      </c>
      <c r="P57" s="55" t="n">
        <f aca="false">ROUND(O57*$E$7/12,2)</f>
        <v>0</v>
      </c>
      <c r="Q57" s="55" t="n">
        <f aca="false">MIN($F$7,O57+P57)</f>
        <v>0</v>
      </c>
      <c r="R57" s="55" t="n">
        <f aca="false">MAX(0,MIN(O57+P57-Q57,$D57-(H57+M57)))</f>
        <v>0</v>
      </c>
      <c r="S57" s="55" t="n">
        <f aca="false">Q57+R57</f>
        <v>0</v>
      </c>
      <c r="T57" s="55" t="n">
        <f aca="false">ROUND(MAX(0,T56+U56-X56),2)</f>
        <v>0</v>
      </c>
      <c r="U57" s="55" t="n">
        <f aca="false">ROUND(T57*$E$8/12,2)</f>
        <v>0</v>
      </c>
      <c r="V57" s="55" t="n">
        <f aca="false">MIN($F$8,T57+U57)</f>
        <v>0</v>
      </c>
      <c r="W57" s="55" t="n">
        <f aca="false">MAX(0,MIN(T57+U57-V57,$D57-(H57+M57+R57)))</f>
        <v>0</v>
      </c>
      <c r="X57" s="55" t="n">
        <f aca="false">V57+W57</f>
        <v>0</v>
      </c>
      <c r="Y57" s="55" t="n">
        <f aca="false">ROUND(MAX(0,Y56+Z56-AC56),2)</f>
        <v>0</v>
      </c>
      <c r="Z57" s="55" t="n">
        <f aca="false">ROUND(Y57*$E$9/12,2)</f>
        <v>0</v>
      </c>
      <c r="AA57" s="55" t="n">
        <f aca="false">MIN($F$9,Y57+Z57)</f>
        <v>0</v>
      </c>
      <c r="AB57" s="55" t="n">
        <f aca="false">MAX(0,MIN(Y57+Z57-AA57,$D57-(H57+M57+R57+W57)))</f>
        <v>0</v>
      </c>
      <c r="AC57" s="55" t="n">
        <f aca="false">AA57+AB57</f>
        <v>0</v>
      </c>
      <c r="AD57" s="55" t="n">
        <f aca="false">ROUND(MAX(0,AD56+AE56-AH56),2)</f>
        <v>0</v>
      </c>
      <c r="AE57" s="55" t="n">
        <f aca="false">ROUND(AD57*$E$10/12,2)</f>
        <v>0</v>
      </c>
      <c r="AF57" s="55" t="n">
        <f aca="false">MIN($F$10,AD57+AE57)</f>
        <v>0</v>
      </c>
      <c r="AG57" s="55" t="n">
        <f aca="false">MAX(0,MIN(AD57+AE57-AF57,$D57-(H57+M57+R57+W57+AB57)))</f>
        <v>0</v>
      </c>
      <c r="AH57" s="55" t="n">
        <f aca="false">AF57+AG57</f>
        <v>0</v>
      </c>
      <c r="AI57" s="55" t="n">
        <f aca="false">ROUND(MAX(0,AI56+AJ56-AM56),2)</f>
        <v>0</v>
      </c>
      <c r="AJ57" s="55" t="n">
        <f aca="false">ROUND(AI57*$E$11/12,2)</f>
        <v>0</v>
      </c>
      <c r="AK57" s="55" t="n">
        <f aca="false">MIN($F$11,AI57+AJ57)</f>
        <v>0</v>
      </c>
      <c r="AL57" s="55" t="n">
        <f aca="false">MAX(0,MIN(AI57+AJ57-AK57,$D57-(H57+M57+R57+W57+AB57+AG57)))</f>
        <v>0</v>
      </c>
      <c r="AM57" s="55" t="n">
        <f aca="false">AK57+AL57</f>
        <v>0</v>
      </c>
      <c r="AN57" s="55" t="n">
        <f aca="false">ROUND(MAX(0,AN56+AO56-AR56),2)</f>
        <v>0</v>
      </c>
      <c r="AO57" s="55" t="n">
        <f aca="false">ROUND(AN57*$E$12/12,2)</f>
        <v>0</v>
      </c>
      <c r="AP57" s="55" t="n">
        <f aca="false">MIN($F$12,AN57+AO57)</f>
        <v>0</v>
      </c>
      <c r="AQ57" s="55" t="n">
        <f aca="false">MAX(0,MIN(AN57+AO57-AP57,$D57-(H57+M57+R57+W57+AB57+AG57+AL57)))</f>
        <v>0</v>
      </c>
      <c r="AR57" s="55" t="n">
        <f aca="false">AP57+AQ57</f>
        <v>0</v>
      </c>
      <c r="AS57" s="55" t="n">
        <f aca="false">ROUND(MAX(0,AS56+AT56-AW56),2)</f>
        <v>0</v>
      </c>
      <c r="AT57" s="55" t="n">
        <f aca="false">ROUND(AS57*$E$13/12,2)</f>
        <v>0</v>
      </c>
      <c r="AU57" s="55" t="n">
        <f aca="false">MIN($F$13,AS57+AT57)</f>
        <v>0</v>
      </c>
      <c r="AV57" s="55" t="n">
        <f aca="false">MAX(0,MIN(AS57+AT57-AU57,$D57-(H57+M57+R57+W57+AB57+AG57+AL57+AQ57)))</f>
        <v>0</v>
      </c>
      <c r="AW57" s="55" t="n">
        <f aca="false">AU57+AV57</f>
        <v>0</v>
      </c>
      <c r="AX57" s="55" t="n">
        <f aca="false">ROUND(MAX(0,AX56+AY56-BB56),2)</f>
        <v>0</v>
      </c>
      <c r="AY57" s="55" t="n">
        <f aca="false">ROUND(AX57*$E$14/12,2)</f>
        <v>0</v>
      </c>
      <c r="AZ57" s="55" t="n">
        <f aca="false">MIN($F$14,AX57+AY57)</f>
        <v>0</v>
      </c>
      <c r="BA57" s="55" t="n">
        <f aca="false">MAX(0,MIN(AX57+AY57-AZ57,$D57-(H57+M57+R57+W57+AB57+AG57+AL57+AQ57+AV57)))</f>
        <v>0</v>
      </c>
      <c r="BB57" s="55" t="n">
        <f aca="false">AZ57+BA57</f>
        <v>0</v>
      </c>
      <c r="BC57" s="55" t="n">
        <f aca="false">I57+N57+S57+X57+AC57+AH57+AM57+AR57+AW57+BB57</f>
        <v>0</v>
      </c>
      <c r="BD57" s="55" t="n">
        <f aca="false">ROUND((E57+F57-I57)+(J57+K57-N57)+(O57+P57-S57)+(T57+U57-X57)+(Y57+Z57-AC57)+(AD57+AE57-AH57)+(AI57+AJ57-AM57)+(AN57+AO57-AR57)+(AS57+AT57-AW57)+(AX57+AY57-BB57),2)</f>
        <v>0</v>
      </c>
      <c r="BE57" s="25" t="str">
        <f aca="false">IF(H57&gt;0.005,$C$5,IF(M57&gt;0.005,$C$6,IF(R57&gt;0.005,$C$7,IF(W57&gt;0.005,$C$8,IF(AB57&gt;0.005,$C$9,IF(AG57&gt;0.005,$C$10,IF(AL57&gt;0.005,$C$11,IF(AQ57&gt;0.005,$C$12,IF(AV57&gt;0.005,$C$13,IF(BA57&gt;0.005,$C$14,""))))))))))</f>
        <v/>
      </c>
    </row>
    <row r="58" customFormat="false" ht="15" hidden="false" customHeight="false" outlineLevel="0" collapsed="false">
      <c r="A58" s="24" t="n">
        <v>35</v>
      </c>
      <c r="B58" s="54" t="n">
        <f aca="false">EDATE($C$17,A58-1)</f>
        <v>47362</v>
      </c>
      <c r="C58" s="55" t="n">
        <f aca="false">G58+L58+Q58+V58+AA58+AF58+AK58+AP58+AU58+AZ58</f>
        <v>0</v>
      </c>
      <c r="D58" s="55" t="n">
        <f aca="false">MAX(0,$C$16-C58)</f>
        <v>5822</v>
      </c>
      <c r="E58" s="55" t="n">
        <f aca="false">ROUND(MAX(0,E57+F57-I57),2)</f>
        <v>0</v>
      </c>
      <c r="F58" s="55" t="n">
        <f aca="false">ROUND(E58*$E$5/12,2)</f>
        <v>0</v>
      </c>
      <c r="G58" s="55" t="n">
        <f aca="false">MIN($F$5,E58+F58)</f>
        <v>0</v>
      </c>
      <c r="H58" s="55" t="n">
        <f aca="false">MAX(0,MIN(E58+F58-G58,$D58))</f>
        <v>0</v>
      </c>
      <c r="I58" s="55" t="n">
        <f aca="false">G58+H58</f>
        <v>0</v>
      </c>
      <c r="J58" s="55" t="n">
        <f aca="false">ROUND(MAX(0,J57+K57-N57),2)</f>
        <v>0</v>
      </c>
      <c r="K58" s="55" t="n">
        <f aca="false">ROUND(J58*$E$6/12,2)</f>
        <v>0</v>
      </c>
      <c r="L58" s="55" t="n">
        <f aca="false">MIN($F$6,J58+K58)</f>
        <v>0</v>
      </c>
      <c r="M58" s="55" t="n">
        <f aca="false">MAX(0,MIN(J58+K58-L58,$D58-(H58)))</f>
        <v>0</v>
      </c>
      <c r="N58" s="55" t="n">
        <f aca="false">L58+M58</f>
        <v>0</v>
      </c>
      <c r="O58" s="55" t="n">
        <f aca="false">ROUND(MAX(0,O57+P57-S57),2)</f>
        <v>0</v>
      </c>
      <c r="P58" s="55" t="n">
        <f aca="false">ROUND(O58*$E$7/12,2)</f>
        <v>0</v>
      </c>
      <c r="Q58" s="55" t="n">
        <f aca="false">MIN($F$7,O58+P58)</f>
        <v>0</v>
      </c>
      <c r="R58" s="55" t="n">
        <f aca="false">MAX(0,MIN(O58+P58-Q58,$D58-(H58+M58)))</f>
        <v>0</v>
      </c>
      <c r="S58" s="55" t="n">
        <f aca="false">Q58+R58</f>
        <v>0</v>
      </c>
      <c r="T58" s="55" t="n">
        <f aca="false">ROUND(MAX(0,T57+U57-X57),2)</f>
        <v>0</v>
      </c>
      <c r="U58" s="55" t="n">
        <f aca="false">ROUND(T58*$E$8/12,2)</f>
        <v>0</v>
      </c>
      <c r="V58" s="55" t="n">
        <f aca="false">MIN($F$8,T58+U58)</f>
        <v>0</v>
      </c>
      <c r="W58" s="55" t="n">
        <f aca="false">MAX(0,MIN(T58+U58-V58,$D58-(H58+M58+R58)))</f>
        <v>0</v>
      </c>
      <c r="X58" s="55" t="n">
        <f aca="false">V58+W58</f>
        <v>0</v>
      </c>
      <c r="Y58" s="55" t="n">
        <f aca="false">ROUND(MAX(0,Y57+Z57-AC57),2)</f>
        <v>0</v>
      </c>
      <c r="Z58" s="55" t="n">
        <f aca="false">ROUND(Y58*$E$9/12,2)</f>
        <v>0</v>
      </c>
      <c r="AA58" s="55" t="n">
        <f aca="false">MIN($F$9,Y58+Z58)</f>
        <v>0</v>
      </c>
      <c r="AB58" s="55" t="n">
        <f aca="false">MAX(0,MIN(Y58+Z58-AA58,$D58-(H58+M58+R58+W58)))</f>
        <v>0</v>
      </c>
      <c r="AC58" s="55" t="n">
        <f aca="false">AA58+AB58</f>
        <v>0</v>
      </c>
      <c r="AD58" s="55" t="n">
        <f aca="false">ROUND(MAX(0,AD57+AE57-AH57),2)</f>
        <v>0</v>
      </c>
      <c r="AE58" s="55" t="n">
        <f aca="false">ROUND(AD58*$E$10/12,2)</f>
        <v>0</v>
      </c>
      <c r="AF58" s="55" t="n">
        <f aca="false">MIN($F$10,AD58+AE58)</f>
        <v>0</v>
      </c>
      <c r="AG58" s="55" t="n">
        <f aca="false">MAX(0,MIN(AD58+AE58-AF58,$D58-(H58+M58+R58+W58+AB58)))</f>
        <v>0</v>
      </c>
      <c r="AH58" s="55" t="n">
        <f aca="false">AF58+AG58</f>
        <v>0</v>
      </c>
      <c r="AI58" s="55" t="n">
        <f aca="false">ROUND(MAX(0,AI57+AJ57-AM57),2)</f>
        <v>0</v>
      </c>
      <c r="AJ58" s="55" t="n">
        <f aca="false">ROUND(AI58*$E$11/12,2)</f>
        <v>0</v>
      </c>
      <c r="AK58" s="55" t="n">
        <f aca="false">MIN($F$11,AI58+AJ58)</f>
        <v>0</v>
      </c>
      <c r="AL58" s="55" t="n">
        <f aca="false">MAX(0,MIN(AI58+AJ58-AK58,$D58-(H58+M58+R58+W58+AB58+AG58)))</f>
        <v>0</v>
      </c>
      <c r="AM58" s="55" t="n">
        <f aca="false">AK58+AL58</f>
        <v>0</v>
      </c>
      <c r="AN58" s="55" t="n">
        <f aca="false">ROUND(MAX(0,AN57+AO57-AR57),2)</f>
        <v>0</v>
      </c>
      <c r="AO58" s="55" t="n">
        <f aca="false">ROUND(AN58*$E$12/12,2)</f>
        <v>0</v>
      </c>
      <c r="AP58" s="55" t="n">
        <f aca="false">MIN($F$12,AN58+AO58)</f>
        <v>0</v>
      </c>
      <c r="AQ58" s="55" t="n">
        <f aca="false">MAX(0,MIN(AN58+AO58-AP58,$D58-(H58+M58+R58+W58+AB58+AG58+AL58)))</f>
        <v>0</v>
      </c>
      <c r="AR58" s="55" t="n">
        <f aca="false">AP58+AQ58</f>
        <v>0</v>
      </c>
      <c r="AS58" s="55" t="n">
        <f aca="false">ROUND(MAX(0,AS57+AT57-AW57),2)</f>
        <v>0</v>
      </c>
      <c r="AT58" s="55" t="n">
        <f aca="false">ROUND(AS58*$E$13/12,2)</f>
        <v>0</v>
      </c>
      <c r="AU58" s="55" t="n">
        <f aca="false">MIN($F$13,AS58+AT58)</f>
        <v>0</v>
      </c>
      <c r="AV58" s="55" t="n">
        <f aca="false">MAX(0,MIN(AS58+AT58-AU58,$D58-(H58+M58+R58+W58+AB58+AG58+AL58+AQ58)))</f>
        <v>0</v>
      </c>
      <c r="AW58" s="55" t="n">
        <f aca="false">AU58+AV58</f>
        <v>0</v>
      </c>
      <c r="AX58" s="55" t="n">
        <f aca="false">ROUND(MAX(0,AX57+AY57-BB57),2)</f>
        <v>0</v>
      </c>
      <c r="AY58" s="55" t="n">
        <f aca="false">ROUND(AX58*$E$14/12,2)</f>
        <v>0</v>
      </c>
      <c r="AZ58" s="55" t="n">
        <f aca="false">MIN($F$14,AX58+AY58)</f>
        <v>0</v>
      </c>
      <c r="BA58" s="55" t="n">
        <f aca="false">MAX(0,MIN(AX58+AY58-AZ58,$D58-(H58+M58+R58+W58+AB58+AG58+AL58+AQ58+AV58)))</f>
        <v>0</v>
      </c>
      <c r="BB58" s="55" t="n">
        <f aca="false">AZ58+BA58</f>
        <v>0</v>
      </c>
      <c r="BC58" s="55" t="n">
        <f aca="false">I58+N58+S58+X58+AC58+AH58+AM58+AR58+AW58+BB58</f>
        <v>0</v>
      </c>
      <c r="BD58" s="55" t="n">
        <f aca="false">ROUND((E58+F58-I58)+(J58+K58-N58)+(O58+P58-S58)+(T58+U58-X58)+(Y58+Z58-AC58)+(AD58+AE58-AH58)+(AI58+AJ58-AM58)+(AN58+AO58-AR58)+(AS58+AT58-AW58)+(AX58+AY58-BB58),2)</f>
        <v>0</v>
      </c>
      <c r="BE58" s="25" t="str">
        <f aca="false">IF(H58&gt;0.005,$C$5,IF(M58&gt;0.005,$C$6,IF(R58&gt;0.005,$C$7,IF(W58&gt;0.005,$C$8,IF(AB58&gt;0.005,$C$9,IF(AG58&gt;0.005,$C$10,IF(AL58&gt;0.005,$C$11,IF(AQ58&gt;0.005,$C$12,IF(AV58&gt;0.005,$C$13,IF(BA58&gt;0.005,$C$14,""))))))))))</f>
        <v/>
      </c>
    </row>
    <row r="59" customFormat="false" ht="15" hidden="false" customHeight="false" outlineLevel="0" collapsed="false">
      <c r="A59" s="24" t="n">
        <v>36</v>
      </c>
      <c r="B59" s="54" t="n">
        <f aca="false">EDATE($C$17,A59-1)</f>
        <v>47392</v>
      </c>
      <c r="C59" s="55" t="n">
        <f aca="false">G59+L59+Q59+V59+AA59+AF59+AK59+AP59+AU59+AZ59</f>
        <v>0</v>
      </c>
      <c r="D59" s="55" t="n">
        <f aca="false">MAX(0,$C$16-C59)</f>
        <v>5822</v>
      </c>
      <c r="E59" s="55" t="n">
        <f aca="false">ROUND(MAX(0,E58+F58-I58),2)</f>
        <v>0</v>
      </c>
      <c r="F59" s="55" t="n">
        <f aca="false">ROUND(E59*$E$5/12,2)</f>
        <v>0</v>
      </c>
      <c r="G59" s="55" t="n">
        <f aca="false">MIN($F$5,E59+F59)</f>
        <v>0</v>
      </c>
      <c r="H59" s="55" t="n">
        <f aca="false">MAX(0,MIN(E59+F59-G59,$D59))</f>
        <v>0</v>
      </c>
      <c r="I59" s="55" t="n">
        <f aca="false">G59+H59</f>
        <v>0</v>
      </c>
      <c r="J59" s="55" t="n">
        <f aca="false">ROUND(MAX(0,J58+K58-N58),2)</f>
        <v>0</v>
      </c>
      <c r="K59" s="55" t="n">
        <f aca="false">ROUND(J59*$E$6/12,2)</f>
        <v>0</v>
      </c>
      <c r="L59" s="55" t="n">
        <f aca="false">MIN($F$6,J59+K59)</f>
        <v>0</v>
      </c>
      <c r="M59" s="55" t="n">
        <f aca="false">MAX(0,MIN(J59+K59-L59,$D59-(H59)))</f>
        <v>0</v>
      </c>
      <c r="N59" s="55" t="n">
        <f aca="false">L59+M59</f>
        <v>0</v>
      </c>
      <c r="O59" s="55" t="n">
        <f aca="false">ROUND(MAX(0,O58+P58-S58),2)</f>
        <v>0</v>
      </c>
      <c r="P59" s="55" t="n">
        <f aca="false">ROUND(O59*$E$7/12,2)</f>
        <v>0</v>
      </c>
      <c r="Q59" s="55" t="n">
        <f aca="false">MIN($F$7,O59+P59)</f>
        <v>0</v>
      </c>
      <c r="R59" s="55" t="n">
        <f aca="false">MAX(0,MIN(O59+P59-Q59,$D59-(H59+M59)))</f>
        <v>0</v>
      </c>
      <c r="S59" s="55" t="n">
        <f aca="false">Q59+R59</f>
        <v>0</v>
      </c>
      <c r="T59" s="55" t="n">
        <f aca="false">ROUND(MAX(0,T58+U58-X58),2)</f>
        <v>0</v>
      </c>
      <c r="U59" s="55" t="n">
        <f aca="false">ROUND(T59*$E$8/12,2)</f>
        <v>0</v>
      </c>
      <c r="V59" s="55" t="n">
        <f aca="false">MIN($F$8,T59+U59)</f>
        <v>0</v>
      </c>
      <c r="W59" s="55" t="n">
        <f aca="false">MAX(0,MIN(T59+U59-V59,$D59-(H59+M59+R59)))</f>
        <v>0</v>
      </c>
      <c r="X59" s="55" t="n">
        <f aca="false">V59+W59</f>
        <v>0</v>
      </c>
      <c r="Y59" s="55" t="n">
        <f aca="false">ROUND(MAX(0,Y58+Z58-AC58),2)</f>
        <v>0</v>
      </c>
      <c r="Z59" s="55" t="n">
        <f aca="false">ROUND(Y59*$E$9/12,2)</f>
        <v>0</v>
      </c>
      <c r="AA59" s="55" t="n">
        <f aca="false">MIN($F$9,Y59+Z59)</f>
        <v>0</v>
      </c>
      <c r="AB59" s="55" t="n">
        <f aca="false">MAX(0,MIN(Y59+Z59-AA59,$D59-(H59+M59+R59+W59)))</f>
        <v>0</v>
      </c>
      <c r="AC59" s="55" t="n">
        <f aca="false">AA59+AB59</f>
        <v>0</v>
      </c>
      <c r="AD59" s="55" t="n">
        <f aca="false">ROUND(MAX(0,AD58+AE58-AH58),2)</f>
        <v>0</v>
      </c>
      <c r="AE59" s="55" t="n">
        <f aca="false">ROUND(AD59*$E$10/12,2)</f>
        <v>0</v>
      </c>
      <c r="AF59" s="55" t="n">
        <f aca="false">MIN($F$10,AD59+AE59)</f>
        <v>0</v>
      </c>
      <c r="AG59" s="55" t="n">
        <f aca="false">MAX(0,MIN(AD59+AE59-AF59,$D59-(H59+M59+R59+W59+AB59)))</f>
        <v>0</v>
      </c>
      <c r="AH59" s="55" t="n">
        <f aca="false">AF59+AG59</f>
        <v>0</v>
      </c>
      <c r="AI59" s="55" t="n">
        <f aca="false">ROUND(MAX(0,AI58+AJ58-AM58),2)</f>
        <v>0</v>
      </c>
      <c r="AJ59" s="55" t="n">
        <f aca="false">ROUND(AI59*$E$11/12,2)</f>
        <v>0</v>
      </c>
      <c r="AK59" s="55" t="n">
        <f aca="false">MIN($F$11,AI59+AJ59)</f>
        <v>0</v>
      </c>
      <c r="AL59" s="55" t="n">
        <f aca="false">MAX(0,MIN(AI59+AJ59-AK59,$D59-(H59+M59+R59+W59+AB59+AG59)))</f>
        <v>0</v>
      </c>
      <c r="AM59" s="55" t="n">
        <f aca="false">AK59+AL59</f>
        <v>0</v>
      </c>
      <c r="AN59" s="55" t="n">
        <f aca="false">ROUND(MAX(0,AN58+AO58-AR58),2)</f>
        <v>0</v>
      </c>
      <c r="AO59" s="55" t="n">
        <f aca="false">ROUND(AN59*$E$12/12,2)</f>
        <v>0</v>
      </c>
      <c r="AP59" s="55" t="n">
        <f aca="false">MIN($F$12,AN59+AO59)</f>
        <v>0</v>
      </c>
      <c r="AQ59" s="55" t="n">
        <f aca="false">MAX(0,MIN(AN59+AO59-AP59,$D59-(H59+M59+R59+W59+AB59+AG59+AL59)))</f>
        <v>0</v>
      </c>
      <c r="AR59" s="55" t="n">
        <f aca="false">AP59+AQ59</f>
        <v>0</v>
      </c>
      <c r="AS59" s="55" t="n">
        <f aca="false">ROUND(MAX(0,AS58+AT58-AW58),2)</f>
        <v>0</v>
      </c>
      <c r="AT59" s="55" t="n">
        <f aca="false">ROUND(AS59*$E$13/12,2)</f>
        <v>0</v>
      </c>
      <c r="AU59" s="55" t="n">
        <f aca="false">MIN($F$13,AS59+AT59)</f>
        <v>0</v>
      </c>
      <c r="AV59" s="55" t="n">
        <f aca="false">MAX(0,MIN(AS59+AT59-AU59,$D59-(H59+M59+R59+W59+AB59+AG59+AL59+AQ59)))</f>
        <v>0</v>
      </c>
      <c r="AW59" s="55" t="n">
        <f aca="false">AU59+AV59</f>
        <v>0</v>
      </c>
      <c r="AX59" s="55" t="n">
        <f aca="false">ROUND(MAX(0,AX58+AY58-BB58),2)</f>
        <v>0</v>
      </c>
      <c r="AY59" s="55" t="n">
        <f aca="false">ROUND(AX59*$E$14/12,2)</f>
        <v>0</v>
      </c>
      <c r="AZ59" s="55" t="n">
        <f aca="false">MIN($F$14,AX59+AY59)</f>
        <v>0</v>
      </c>
      <c r="BA59" s="55" t="n">
        <f aca="false">MAX(0,MIN(AX59+AY59-AZ59,$D59-(H59+M59+R59+W59+AB59+AG59+AL59+AQ59+AV59)))</f>
        <v>0</v>
      </c>
      <c r="BB59" s="55" t="n">
        <f aca="false">AZ59+BA59</f>
        <v>0</v>
      </c>
      <c r="BC59" s="55" t="n">
        <f aca="false">I59+N59+S59+X59+AC59+AH59+AM59+AR59+AW59+BB59</f>
        <v>0</v>
      </c>
      <c r="BD59" s="55" t="n">
        <f aca="false">ROUND((E59+F59-I59)+(J59+K59-N59)+(O59+P59-S59)+(T59+U59-X59)+(Y59+Z59-AC59)+(AD59+AE59-AH59)+(AI59+AJ59-AM59)+(AN59+AO59-AR59)+(AS59+AT59-AW59)+(AX59+AY59-BB59),2)</f>
        <v>0</v>
      </c>
      <c r="BE59" s="25" t="str">
        <f aca="false">IF(H59&gt;0.005,$C$5,IF(M59&gt;0.005,$C$6,IF(R59&gt;0.005,$C$7,IF(W59&gt;0.005,$C$8,IF(AB59&gt;0.005,$C$9,IF(AG59&gt;0.005,$C$10,IF(AL59&gt;0.005,$C$11,IF(AQ59&gt;0.005,$C$12,IF(AV59&gt;0.005,$C$13,IF(BA59&gt;0.005,$C$14,""))))))))))</f>
        <v/>
      </c>
    </row>
    <row r="60" customFormat="false" ht="15" hidden="false" customHeight="false" outlineLevel="0" collapsed="false">
      <c r="A60" s="24" t="n">
        <v>37</v>
      </c>
      <c r="B60" s="54" t="n">
        <f aca="false">EDATE($C$17,A60-1)</f>
        <v>47423</v>
      </c>
      <c r="C60" s="55" t="n">
        <f aca="false">G60+L60+Q60+V60+AA60+AF60+AK60+AP60+AU60+AZ60</f>
        <v>0</v>
      </c>
      <c r="D60" s="55" t="n">
        <f aca="false">MAX(0,$C$16-C60)</f>
        <v>5822</v>
      </c>
      <c r="E60" s="55" t="n">
        <f aca="false">ROUND(MAX(0,E59+F59-I59),2)</f>
        <v>0</v>
      </c>
      <c r="F60" s="55" t="n">
        <f aca="false">ROUND(E60*$E$5/12,2)</f>
        <v>0</v>
      </c>
      <c r="G60" s="55" t="n">
        <f aca="false">MIN($F$5,E60+F60)</f>
        <v>0</v>
      </c>
      <c r="H60" s="55" t="n">
        <f aca="false">MAX(0,MIN(E60+F60-G60,$D60))</f>
        <v>0</v>
      </c>
      <c r="I60" s="55" t="n">
        <f aca="false">G60+H60</f>
        <v>0</v>
      </c>
      <c r="J60" s="55" t="n">
        <f aca="false">ROUND(MAX(0,J59+K59-N59),2)</f>
        <v>0</v>
      </c>
      <c r="K60" s="55" t="n">
        <f aca="false">ROUND(J60*$E$6/12,2)</f>
        <v>0</v>
      </c>
      <c r="L60" s="55" t="n">
        <f aca="false">MIN($F$6,J60+K60)</f>
        <v>0</v>
      </c>
      <c r="M60" s="55" t="n">
        <f aca="false">MAX(0,MIN(J60+K60-L60,$D60-(H60)))</f>
        <v>0</v>
      </c>
      <c r="N60" s="55" t="n">
        <f aca="false">L60+M60</f>
        <v>0</v>
      </c>
      <c r="O60" s="55" t="n">
        <f aca="false">ROUND(MAX(0,O59+P59-S59),2)</f>
        <v>0</v>
      </c>
      <c r="P60" s="55" t="n">
        <f aca="false">ROUND(O60*$E$7/12,2)</f>
        <v>0</v>
      </c>
      <c r="Q60" s="55" t="n">
        <f aca="false">MIN($F$7,O60+P60)</f>
        <v>0</v>
      </c>
      <c r="R60" s="55" t="n">
        <f aca="false">MAX(0,MIN(O60+P60-Q60,$D60-(H60+M60)))</f>
        <v>0</v>
      </c>
      <c r="S60" s="55" t="n">
        <f aca="false">Q60+R60</f>
        <v>0</v>
      </c>
      <c r="T60" s="55" t="n">
        <f aca="false">ROUND(MAX(0,T59+U59-X59),2)</f>
        <v>0</v>
      </c>
      <c r="U60" s="55" t="n">
        <f aca="false">ROUND(T60*$E$8/12,2)</f>
        <v>0</v>
      </c>
      <c r="V60" s="55" t="n">
        <f aca="false">MIN($F$8,T60+U60)</f>
        <v>0</v>
      </c>
      <c r="W60" s="55" t="n">
        <f aca="false">MAX(0,MIN(T60+U60-V60,$D60-(H60+M60+R60)))</f>
        <v>0</v>
      </c>
      <c r="X60" s="55" t="n">
        <f aca="false">V60+W60</f>
        <v>0</v>
      </c>
      <c r="Y60" s="55" t="n">
        <f aca="false">ROUND(MAX(0,Y59+Z59-AC59),2)</f>
        <v>0</v>
      </c>
      <c r="Z60" s="55" t="n">
        <f aca="false">ROUND(Y60*$E$9/12,2)</f>
        <v>0</v>
      </c>
      <c r="AA60" s="55" t="n">
        <f aca="false">MIN($F$9,Y60+Z60)</f>
        <v>0</v>
      </c>
      <c r="AB60" s="55" t="n">
        <f aca="false">MAX(0,MIN(Y60+Z60-AA60,$D60-(H60+M60+R60+W60)))</f>
        <v>0</v>
      </c>
      <c r="AC60" s="55" t="n">
        <f aca="false">AA60+AB60</f>
        <v>0</v>
      </c>
      <c r="AD60" s="55" t="n">
        <f aca="false">ROUND(MAX(0,AD59+AE59-AH59),2)</f>
        <v>0</v>
      </c>
      <c r="AE60" s="55" t="n">
        <f aca="false">ROUND(AD60*$E$10/12,2)</f>
        <v>0</v>
      </c>
      <c r="AF60" s="55" t="n">
        <f aca="false">MIN($F$10,AD60+AE60)</f>
        <v>0</v>
      </c>
      <c r="AG60" s="55" t="n">
        <f aca="false">MAX(0,MIN(AD60+AE60-AF60,$D60-(H60+M60+R60+W60+AB60)))</f>
        <v>0</v>
      </c>
      <c r="AH60" s="55" t="n">
        <f aca="false">AF60+AG60</f>
        <v>0</v>
      </c>
      <c r="AI60" s="55" t="n">
        <f aca="false">ROUND(MAX(0,AI59+AJ59-AM59),2)</f>
        <v>0</v>
      </c>
      <c r="AJ60" s="55" t="n">
        <f aca="false">ROUND(AI60*$E$11/12,2)</f>
        <v>0</v>
      </c>
      <c r="AK60" s="55" t="n">
        <f aca="false">MIN($F$11,AI60+AJ60)</f>
        <v>0</v>
      </c>
      <c r="AL60" s="55" t="n">
        <f aca="false">MAX(0,MIN(AI60+AJ60-AK60,$D60-(H60+M60+R60+W60+AB60+AG60)))</f>
        <v>0</v>
      </c>
      <c r="AM60" s="55" t="n">
        <f aca="false">AK60+AL60</f>
        <v>0</v>
      </c>
      <c r="AN60" s="55" t="n">
        <f aca="false">ROUND(MAX(0,AN59+AO59-AR59),2)</f>
        <v>0</v>
      </c>
      <c r="AO60" s="55" t="n">
        <f aca="false">ROUND(AN60*$E$12/12,2)</f>
        <v>0</v>
      </c>
      <c r="AP60" s="55" t="n">
        <f aca="false">MIN($F$12,AN60+AO60)</f>
        <v>0</v>
      </c>
      <c r="AQ60" s="55" t="n">
        <f aca="false">MAX(0,MIN(AN60+AO60-AP60,$D60-(H60+M60+R60+W60+AB60+AG60+AL60)))</f>
        <v>0</v>
      </c>
      <c r="AR60" s="55" t="n">
        <f aca="false">AP60+AQ60</f>
        <v>0</v>
      </c>
      <c r="AS60" s="55" t="n">
        <f aca="false">ROUND(MAX(0,AS59+AT59-AW59),2)</f>
        <v>0</v>
      </c>
      <c r="AT60" s="55" t="n">
        <f aca="false">ROUND(AS60*$E$13/12,2)</f>
        <v>0</v>
      </c>
      <c r="AU60" s="55" t="n">
        <f aca="false">MIN($F$13,AS60+AT60)</f>
        <v>0</v>
      </c>
      <c r="AV60" s="55" t="n">
        <f aca="false">MAX(0,MIN(AS60+AT60-AU60,$D60-(H60+M60+R60+W60+AB60+AG60+AL60+AQ60)))</f>
        <v>0</v>
      </c>
      <c r="AW60" s="55" t="n">
        <f aca="false">AU60+AV60</f>
        <v>0</v>
      </c>
      <c r="AX60" s="55" t="n">
        <f aca="false">ROUND(MAX(0,AX59+AY59-BB59),2)</f>
        <v>0</v>
      </c>
      <c r="AY60" s="55" t="n">
        <f aca="false">ROUND(AX60*$E$14/12,2)</f>
        <v>0</v>
      </c>
      <c r="AZ60" s="55" t="n">
        <f aca="false">MIN($F$14,AX60+AY60)</f>
        <v>0</v>
      </c>
      <c r="BA60" s="55" t="n">
        <f aca="false">MAX(0,MIN(AX60+AY60-AZ60,$D60-(H60+M60+R60+W60+AB60+AG60+AL60+AQ60+AV60)))</f>
        <v>0</v>
      </c>
      <c r="BB60" s="55" t="n">
        <f aca="false">AZ60+BA60</f>
        <v>0</v>
      </c>
      <c r="BC60" s="55" t="n">
        <f aca="false">I60+N60+S60+X60+AC60+AH60+AM60+AR60+AW60+BB60</f>
        <v>0</v>
      </c>
      <c r="BD60" s="55" t="n">
        <f aca="false">ROUND((E60+F60-I60)+(J60+K60-N60)+(O60+P60-S60)+(T60+U60-X60)+(Y60+Z60-AC60)+(AD60+AE60-AH60)+(AI60+AJ60-AM60)+(AN60+AO60-AR60)+(AS60+AT60-AW60)+(AX60+AY60-BB60),2)</f>
        <v>0</v>
      </c>
      <c r="BE60" s="25" t="str">
        <f aca="false">IF(H60&gt;0.005,$C$5,IF(M60&gt;0.005,$C$6,IF(R60&gt;0.005,$C$7,IF(W60&gt;0.005,$C$8,IF(AB60&gt;0.005,$C$9,IF(AG60&gt;0.005,$C$10,IF(AL60&gt;0.005,$C$11,IF(AQ60&gt;0.005,$C$12,IF(AV60&gt;0.005,$C$13,IF(BA60&gt;0.005,$C$14,""))))))))))</f>
        <v/>
      </c>
    </row>
    <row r="61" customFormat="false" ht="15" hidden="false" customHeight="false" outlineLevel="0" collapsed="false">
      <c r="A61" s="24" t="n">
        <v>38</v>
      </c>
      <c r="B61" s="54" t="n">
        <f aca="false">EDATE($C$17,A61-1)</f>
        <v>47453</v>
      </c>
      <c r="C61" s="55" t="n">
        <f aca="false">G61+L61+Q61+V61+AA61+AF61+AK61+AP61+AU61+AZ61</f>
        <v>0</v>
      </c>
      <c r="D61" s="55" t="n">
        <f aca="false">MAX(0,$C$16-C61)</f>
        <v>5822</v>
      </c>
      <c r="E61" s="55" t="n">
        <f aca="false">ROUND(MAX(0,E60+F60-I60),2)</f>
        <v>0</v>
      </c>
      <c r="F61" s="55" t="n">
        <f aca="false">ROUND(E61*$E$5/12,2)</f>
        <v>0</v>
      </c>
      <c r="G61" s="55" t="n">
        <f aca="false">MIN($F$5,E61+F61)</f>
        <v>0</v>
      </c>
      <c r="H61" s="55" t="n">
        <f aca="false">MAX(0,MIN(E61+F61-G61,$D61))</f>
        <v>0</v>
      </c>
      <c r="I61" s="55" t="n">
        <f aca="false">G61+H61</f>
        <v>0</v>
      </c>
      <c r="J61" s="55" t="n">
        <f aca="false">ROUND(MAX(0,J60+K60-N60),2)</f>
        <v>0</v>
      </c>
      <c r="K61" s="55" t="n">
        <f aca="false">ROUND(J61*$E$6/12,2)</f>
        <v>0</v>
      </c>
      <c r="L61" s="55" t="n">
        <f aca="false">MIN($F$6,J61+K61)</f>
        <v>0</v>
      </c>
      <c r="M61" s="55" t="n">
        <f aca="false">MAX(0,MIN(J61+K61-L61,$D61-(H61)))</f>
        <v>0</v>
      </c>
      <c r="N61" s="55" t="n">
        <f aca="false">L61+M61</f>
        <v>0</v>
      </c>
      <c r="O61" s="55" t="n">
        <f aca="false">ROUND(MAX(0,O60+P60-S60),2)</f>
        <v>0</v>
      </c>
      <c r="P61" s="55" t="n">
        <f aca="false">ROUND(O61*$E$7/12,2)</f>
        <v>0</v>
      </c>
      <c r="Q61" s="55" t="n">
        <f aca="false">MIN($F$7,O61+P61)</f>
        <v>0</v>
      </c>
      <c r="R61" s="55" t="n">
        <f aca="false">MAX(0,MIN(O61+P61-Q61,$D61-(H61+M61)))</f>
        <v>0</v>
      </c>
      <c r="S61" s="55" t="n">
        <f aca="false">Q61+R61</f>
        <v>0</v>
      </c>
      <c r="T61" s="55" t="n">
        <f aca="false">ROUND(MAX(0,T60+U60-X60),2)</f>
        <v>0</v>
      </c>
      <c r="U61" s="55" t="n">
        <f aca="false">ROUND(T61*$E$8/12,2)</f>
        <v>0</v>
      </c>
      <c r="V61" s="55" t="n">
        <f aca="false">MIN($F$8,T61+U61)</f>
        <v>0</v>
      </c>
      <c r="W61" s="55" t="n">
        <f aca="false">MAX(0,MIN(T61+U61-V61,$D61-(H61+M61+R61)))</f>
        <v>0</v>
      </c>
      <c r="X61" s="55" t="n">
        <f aca="false">V61+W61</f>
        <v>0</v>
      </c>
      <c r="Y61" s="55" t="n">
        <f aca="false">ROUND(MAX(0,Y60+Z60-AC60),2)</f>
        <v>0</v>
      </c>
      <c r="Z61" s="55" t="n">
        <f aca="false">ROUND(Y61*$E$9/12,2)</f>
        <v>0</v>
      </c>
      <c r="AA61" s="55" t="n">
        <f aca="false">MIN($F$9,Y61+Z61)</f>
        <v>0</v>
      </c>
      <c r="AB61" s="55" t="n">
        <f aca="false">MAX(0,MIN(Y61+Z61-AA61,$D61-(H61+M61+R61+W61)))</f>
        <v>0</v>
      </c>
      <c r="AC61" s="55" t="n">
        <f aca="false">AA61+AB61</f>
        <v>0</v>
      </c>
      <c r="AD61" s="55" t="n">
        <f aca="false">ROUND(MAX(0,AD60+AE60-AH60),2)</f>
        <v>0</v>
      </c>
      <c r="AE61" s="55" t="n">
        <f aca="false">ROUND(AD61*$E$10/12,2)</f>
        <v>0</v>
      </c>
      <c r="AF61" s="55" t="n">
        <f aca="false">MIN($F$10,AD61+AE61)</f>
        <v>0</v>
      </c>
      <c r="AG61" s="55" t="n">
        <f aca="false">MAX(0,MIN(AD61+AE61-AF61,$D61-(H61+M61+R61+W61+AB61)))</f>
        <v>0</v>
      </c>
      <c r="AH61" s="55" t="n">
        <f aca="false">AF61+AG61</f>
        <v>0</v>
      </c>
      <c r="AI61" s="55" t="n">
        <f aca="false">ROUND(MAX(0,AI60+AJ60-AM60),2)</f>
        <v>0</v>
      </c>
      <c r="AJ61" s="55" t="n">
        <f aca="false">ROUND(AI61*$E$11/12,2)</f>
        <v>0</v>
      </c>
      <c r="AK61" s="55" t="n">
        <f aca="false">MIN($F$11,AI61+AJ61)</f>
        <v>0</v>
      </c>
      <c r="AL61" s="55" t="n">
        <f aca="false">MAX(0,MIN(AI61+AJ61-AK61,$D61-(H61+M61+R61+W61+AB61+AG61)))</f>
        <v>0</v>
      </c>
      <c r="AM61" s="55" t="n">
        <f aca="false">AK61+AL61</f>
        <v>0</v>
      </c>
      <c r="AN61" s="55" t="n">
        <f aca="false">ROUND(MAX(0,AN60+AO60-AR60),2)</f>
        <v>0</v>
      </c>
      <c r="AO61" s="55" t="n">
        <f aca="false">ROUND(AN61*$E$12/12,2)</f>
        <v>0</v>
      </c>
      <c r="AP61" s="55" t="n">
        <f aca="false">MIN($F$12,AN61+AO61)</f>
        <v>0</v>
      </c>
      <c r="AQ61" s="55" t="n">
        <f aca="false">MAX(0,MIN(AN61+AO61-AP61,$D61-(H61+M61+R61+W61+AB61+AG61+AL61)))</f>
        <v>0</v>
      </c>
      <c r="AR61" s="55" t="n">
        <f aca="false">AP61+AQ61</f>
        <v>0</v>
      </c>
      <c r="AS61" s="55" t="n">
        <f aca="false">ROUND(MAX(0,AS60+AT60-AW60),2)</f>
        <v>0</v>
      </c>
      <c r="AT61" s="55" t="n">
        <f aca="false">ROUND(AS61*$E$13/12,2)</f>
        <v>0</v>
      </c>
      <c r="AU61" s="55" t="n">
        <f aca="false">MIN($F$13,AS61+AT61)</f>
        <v>0</v>
      </c>
      <c r="AV61" s="55" t="n">
        <f aca="false">MAX(0,MIN(AS61+AT61-AU61,$D61-(H61+M61+R61+W61+AB61+AG61+AL61+AQ61)))</f>
        <v>0</v>
      </c>
      <c r="AW61" s="55" t="n">
        <f aca="false">AU61+AV61</f>
        <v>0</v>
      </c>
      <c r="AX61" s="55" t="n">
        <f aca="false">ROUND(MAX(0,AX60+AY60-BB60),2)</f>
        <v>0</v>
      </c>
      <c r="AY61" s="55" t="n">
        <f aca="false">ROUND(AX61*$E$14/12,2)</f>
        <v>0</v>
      </c>
      <c r="AZ61" s="55" t="n">
        <f aca="false">MIN($F$14,AX61+AY61)</f>
        <v>0</v>
      </c>
      <c r="BA61" s="55" t="n">
        <f aca="false">MAX(0,MIN(AX61+AY61-AZ61,$D61-(H61+M61+R61+W61+AB61+AG61+AL61+AQ61+AV61)))</f>
        <v>0</v>
      </c>
      <c r="BB61" s="55" t="n">
        <f aca="false">AZ61+BA61</f>
        <v>0</v>
      </c>
      <c r="BC61" s="55" t="n">
        <f aca="false">I61+N61+S61+X61+AC61+AH61+AM61+AR61+AW61+BB61</f>
        <v>0</v>
      </c>
      <c r="BD61" s="55" t="n">
        <f aca="false">ROUND((E61+F61-I61)+(J61+K61-N61)+(O61+P61-S61)+(T61+U61-X61)+(Y61+Z61-AC61)+(AD61+AE61-AH61)+(AI61+AJ61-AM61)+(AN61+AO61-AR61)+(AS61+AT61-AW61)+(AX61+AY61-BB61),2)</f>
        <v>0</v>
      </c>
      <c r="BE61" s="25" t="str">
        <f aca="false">IF(H61&gt;0.005,$C$5,IF(M61&gt;0.005,$C$6,IF(R61&gt;0.005,$C$7,IF(W61&gt;0.005,$C$8,IF(AB61&gt;0.005,$C$9,IF(AG61&gt;0.005,$C$10,IF(AL61&gt;0.005,$C$11,IF(AQ61&gt;0.005,$C$12,IF(AV61&gt;0.005,$C$13,IF(BA61&gt;0.005,$C$14,""))))))))))</f>
        <v/>
      </c>
    </row>
    <row r="62" customFormat="false" ht="15" hidden="false" customHeight="false" outlineLevel="0" collapsed="false">
      <c r="A62" s="24" t="n">
        <v>39</v>
      </c>
      <c r="B62" s="54" t="n">
        <f aca="false">EDATE($C$17,A62-1)</f>
        <v>47484</v>
      </c>
      <c r="C62" s="55" t="n">
        <f aca="false">G62+L62+Q62+V62+AA62+AF62+AK62+AP62+AU62+AZ62</f>
        <v>0</v>
      </c>
      <c r="D62" s="55" t="n">
        <f aca="false">MAX(0,$C$16-C62)</f>
        <v>5822</v>
      </c>
      <c r="E62" s="55" t="n">
        <f aca="false">ROUND(MAX(0,E61+F61-I61),2)</f>
        <v>0</v>
      </c>
      <c r="F62" s="55" t="n">
        <f aca="false">ROUND(E62*$E$5/12,2)</f>
        <v>0</v>
      </c>
      <c r="G62" s="55" t="n">
        <f aca="false">MIN($F$5,E62+F62)</f>
        <v>0</v>
      </c>
      <c r="H62" s="55" t="n">
        <f aca="false">MAX(0,MIN(E62+F62-G62,$D62))</f>
        <v>0</v>
      </c>
      <c r="I62" s="55" t="n">
        <f aca="false">G62+H62</f>
        <v>0</v>
      </c>
      <c r="J62" s="55" t="n">
        <f aca="false">ROUND(MAX(0,J61+K61-N61),2)</f>
        <v>0</v>
      </c>
      <c r="K62" s="55" t="n">
        <f aca="false">ROUND(J62*$E$6/12,2)</f>
        <v>0</v>
      </c>
      <c r="L62" s="55" t="n">
        <f aca="false">MIN($F$6,J62+K62)</f>
        <v>0</v>
      </c>
      <c r="M62" s="55" t="n">
        <f aca="false">MAX(0,MIN(J62+K62-L62,$D62-(H62)))</f>
        <v>0</v>
      </c>
      <c r="N62" s="55" t="n">
        <f aca="false">L62+M62</f>
        <v>0</v>
      </c>
      <c r="O62" s="55" t="n">
        <f aca="false">ROUND(MAX(0,O61+P61-S61),2)</f>
        <v>0</v>
      </c>
      <c r="P62" s="55" t="n">
        <f aca="false">ROUND(O62*$E$7/12,2)</f>
        <v>0</v>
      </c>
      <c r="Q62" s="55" t="n">
        <f aca="false">MIN($F$7,O62+P62)</f>
        <v>0</v>
      </c>
      <c r="R62" s="55" t="n">
        <f aca="false">MAX(0,MIN(O62+P62-Q62,$D62-(H62+M62)))</f>
        <v>0</v>
      </c>
      <c r="S62" s="55" t="n">
        <f aca="false">Q62+R62</f>
        <v>0</v>
      </c>
      <c r="T62" s="55" t="n">
        <f aca="false">ROUND(MAX(0,T61+U61-X61),2)</f>
        <v>0</v>
      </c>
      <c r="U62" s="55" t="n">
        <f aca="false">ROUND(T62*$E$8/12,2)</f>
        <v>0</v>
      </c>
      <c r="V62" s="55" t="n">
        <f aca="false">MIN($F$8,T62+U62)</f>
        <v>0</v>
      </c>
      <c r="W62" s="55" t="n">
        <f aca="false">MAX(0,MIN(T62+U62-V62,$D62-(H62+M62+R62)))</f>
        <v>0</v>
      </c>
      <c r="X62" s="55" t="n">
        <f aca="false">V62+W62</f>
        <v>0</v>
      </c>
      <c r="Y62" s="55" t="n">
        <f aca="false">ROUND(MAX(0,Y61+Z61-AC61),2)</f>
        <v>0</v>
      </c>
      <c r="Z62" s="55" t="n">
        <f aca="false">ROUND(Y62*$E$9/12,2)</f>
        <v>0</v>
      </c>
      <c r="AA62" s="55" t="n">
        <f aca="false">MIN($F$9,Y62+Z62)</f>
        <v>0</v>
      </c>
      <c r="AB62" s="55" t="n">
        <f aca="false">MAX(0,MIN(Y62+Z62-AA62,$D62-(H62+M62+R62+W62)))</f>
        <v>0</v>
      </c>
      <c r="AC62" s="55" t="n">
        <f aca="false">AA62+AB62</f>
        <v>0</v>
      </c>
      <c r="AD62" s="55" t="n">
        <f aca="false">ROUND(MAX(0,AD61+AE61-AH61),2)</f>
        <v>0</v>
      </c>
      <c r="AE62" s="55" t="n">
        <f aca="false">ROUND(AD62*$E$10/12,2)</f>
        <v>0</v>
      </c>
      <c r="AF62" s="55" t="n">
        <f aca="false">MIN($F$10,AD62+AE62)</f>
        <v>0</v>
      </c>
      <c r="AG62" s="55" t="n">
        <f aca="false">MAX(0,MIN(AD62+AE62-AF62,$D62-(H62+M62+R62+W62+AB62)))</f>
        <v>0</v>
      </c>
      <c r="AH62" s="55" t="n">
        <f aca="false">AF62+AG62</f>
        <v>0</v>
      </c>
      <c r="AI62" s="55" t="n">
        <f aca="false">ROUND(MAX(0,AI61+AJ61-AM61),2)</f>
        <v>0</v>
      </c>
      <c r="AJ62" s="55" t="n">
        <f aca="false">ROUND(AI62*$E$11/12,2)</f>
        <v>0</v>
      </c>
      <c r="AK62" s="55" t="n">
        <f aca="false">MIN($F$11,AI62+AJ62)</f>
        <v>0</v>
      </c>
      <c r="AL62" s="55" t="n">
        <f aca="false">MAX(0,MIN(AI62+AJ62-AK62,$D62-(H62+M62+R62+W62+AB62+AG62)))</f>
        <v>0</v>
      </c>
      <c r="AM62" s="55" t="n">
        <f aca="false">AK62+AL62</f>
        <v>0</v>
      </c>
      <c r="AN62" s="55" t="n">
        <f aca="false">ROUND(MAX(0,AN61+AO61-AR61),2)</f>
        <v>0</v>
      </c>
      <c r="AO62" s="55" t="n">
        <f aca="false">ROUND(AN62*$E$12/12,2)</f>
        <v>0</v>
      </c>
      <c r="AP62" s="55" t="n">
        <f aca="false">MIN($F$12,AN62+AO62)</f>
        <v>0</v>
      </c>
      <c r="AQ62" s="55" t="n">
        <f aca="false">MAX(0,MIN(AN62+AO62-AP62,$D62-(H62+M62+R62+W62+AB62+AG62+AL62)))</f>
        <v>0</v>
      </c>
      <c r="AR62" s="55" t="n">
        <f aca="false">AP62+AQ62</f>
        <v>0</v>
      </c>
      <c r="AS62" s="55" t="n">
        <f aca="false">ROUND(MAX(0,AS61+AT61-AW61),2)</f>
        <v>0</v>
      </c>
      <c r="AT62" s="55" t="n">
        <f aca="false">ROUND(AS62*$E$13/12,2)</f>
        <v>0</v>
      </c>
      <c r="AU62" s="55" t="n">
        <f aca="false">MIN($F$13,AS62+AT62)</f>
        <v>0</v>
      </c>
      <c r="AV62" s="55" t="n">
        <f aca="false">MAX(0,MIN(AS62+AT62-AU62,$D62-(H62+M62+R62+W62+AB62+AG62+AL62+AQ62)))</f>
        <v>0</v>
      </c>
      <c r="AW62" s="55" t="n">
        <f aca="false">AU62+AV62</f>
        <v>0</v>
      </c>
      <c r="AX62" s="55" t="n">
        <f aca="false">ROUND(MAX(0,AX61+AY61-BB61),2)</f>
        <v>0</v>
      </c>
      <c r="AY62" s="55" t="n">
        <f aca="false">ROUND(AX62*$E$14/12,2)</f>
        <v>0</v>
      </c>
      <c r="AZ62" s="55" t="n">
        <f aca="false">MIN($F$14,AX62+AY62)</f>
        <v>0</v>
      </c>
      <c r="BA62" s="55" t="n">
        <f aca="false">MAX(0,MIN(AX62+AY62-AZ62,$D62-(H62+M62+R62+W62+AB62+AG62+AL62+AQ62+AV62)))</f>
        <v>0</v>
      </c>
      <c r="BB62" s="55" t="n">
        <f aca="false">AZ62+BA62</f>
        <v>0</v>
      </c>
      <c r="BC62" s="55" t="n">
        <f aca="false">I62+N62+S62+X62+AC62+AH62+AM62+AR62+AW62+BB62</f>
        <v>0</v>
      </c>
      <c r="BD62" s="55" t="n">
        <f aca="false">ROUND((E62+F62-I62)+(J62+K62-N62)+(O62+P62-S62)+(T62+U62-X62)+(Y62+Z62-AC62)+(AD62+AE62-AH62)+(AI62+AJ62-AM62)+(AN62+AO62-AR62)+(AS62+AT62-AW62)+(AX62+AY62-BB62),2)</f>
        <v>0</v>
      </c>
      <c r="BE62" s="25" t="str">
        <f aca="false">IF(H62&gt;0.005,$C$5,IF(M62&gt;0.005,$C$6,IF(R62&gt;0.005,$C$7,IF(W62&gt;0.005,$C$8,IF(AB62&gt;0.005,$C$9,IF(AG62&gt;0.005,$C$10,IF(AL62&gt;0.005,$C$11,IF(AQ62&gt;0.005,$C$12,IF(AV62&gt;0.005,$C$13,IF(BA62&gt;0.005,$C$14,""))))))))))</f>
        <v/>
      </c>
    </row>
    <row r="63" customFormat="false" ht="15" hidden="false" customHeight="false" outlineLevel="0" collapsed="false">
      <c r="A63" s="24" t="n">
        <v>40</v>
      </c>
      <c r="B63" s="54" t="n">
        <f aca="false">EDATE($C$17,A63-1)</f>
        <v>47515</v>
      </c>
      <c r="C63" s="55" t="n">
        <f aca="false">G63+L63+Q63+V63+AA63+AF63+AK63+AP63+AU63+AZ63</f>
        <v>0</v>
      </c>
      <c r="D63" s="55" t="n">
        <f aca="false">MAX(0,$C$16-C63)</f>
        <v>5822</v>
      </c>
      <c r="E63" s="55" t="n">
        <f aca="false">ROUND(MAX(0,E62+F62-I62),2)</f>
        <v>0</v>
      </c>
      <c r="F63" s="55" t="n">
        <f aca="false">ROUND(E63*$E$5/12,2)</f>
        <v>0</v>
      </c>
      <c r="G63" s="55" t="n">
        <f aca="false">MIN($F$5,E63+F63)</f>
        <v>0</v>
      </c>
      <c r="H63" s="55" t="n">
        <f aca="false">MAX(0,MIN(E63+F63-G63,$D63))</f>
        <v>0</v>
      </c>
      <c r="I63" s="55" t="n">
        <f aca="false">G63+H63</f>
        <v>0</v>
      </c>
      <c r="J63" s="55" t="n">
        <f aca="false">ROUND(MAX(0,J62+K62-N62),2)</f>
        <v>0</v>
      </c>
      <c r="K63" s="55" t="n">
        <f aca="false">ROUND(J63*$E$6/12,2)</f>
        <v>0</v>
      </c>
      <c r="L63" s="55" t="n">
        <f aca="false">MIN($F$6,J63+K63)</f>
        <v>0</v>
      </c>
      <c r="M63" s="55" t="n">
        <f aca="false">MAX(0,MIN(J63+K63-L63,$D63-(H63)))</f>
        <v>0</v>
      </c>
      <c r="N63" s="55" t="n">
        <f aca="false">L63+M63</f>
        <v>0</v>
      </c>
      <c r="O63" s="55" t="n">
        <f aca="false">ROUND(MAX(0,O62+P62-S62),2)</f>
        <v>0</v>
      </c>
      <c r="P63" s="55" t="n">
        <f aca="false">ROUND(O63*$E$7/12,2)</f>
        <v>0</v>
      </c>
      <c r="Q63" s="55" t="n">
        <f aca="false">MIN($F$7,O63+P63)</f>
        <v>0</v>
      </c>
      <c r="R63" s="55" t="n">
        <f aca="false">MAX(0,MIN(O63+P63-Q63,$D63-(H63+M63)))</f>
        <v>0</v>
      </c>
      <c r="S63" s="55" t="n">
        <f aca="false">Q63+R63</f>
        <v>0</v>
      </c>
      <c r="T63" s="55" t="n">
        <f aca="false">ROUND(MAX(0,T62+U62-X62),2)</f>
        <v>0</v>
      </c>
      <c r="U63" s="55" t="n">
        <f aca="false">ROUND(T63*$E$8/12,2)</f>
        <v>0</v>
      </c>
      <c r="V63" s="55" t="n">
        <f aca="false">MIN($F$8,T63+U63)</f>
        <v>0</v>
      </c>
      <c r="W63" s="55" t="n">
        <f aca="false">MAX(0,MIN(T63+U63-V63,$D63-(H63+M63+R63)))</f>
        <v>0</v>
      </c>
      <c r="X63" s="55" t="n">
        <f aca="false">V63+W63</f>
        <v>0</v>
      </c>
      <c r="Y63" s="55" t="n">
        <f aca="false">ROUND(MAX(0,Y62+Z62-AC62),2)</f>
        <v>0</v>
      </c>
      <c r="Z63" s="55" t="n">
        <f aca="false">ROUND(Y63*$E$9/12,2)</f>
        <v>0</v>
      </c>
      <c r="AA63" s="55" t="n">
        <f aca="false">MIN($F$9,Y63+Z63)</f>
        <v>0</v>
      </c>
      <c r="AB63" s="55" t="n">
        <f aca="false">MAX(0,MIN(Y63+Z63-AA63,$D63-(H63+M63+R63+W63)))</f>
        <v>0</v>
      </c>
      <c r="AC63" s="55" t="n">
        <f aca="false">AA63+AB63</f>
        <v>0</v>
      </c>
      <c r="AD63" s="55" t="n">
        <f aca="false">ROUND(MAX(0,AD62+AE62-AH62),2)</f>
        <v>0</v>
      </c>
      <c r="AE63" s="55" t="n">
        <f aca="false">ROUND(AD63*$E$10/12,2)</f>
        <v>0</v>
      </c>
      <c r="AF63" s="55" t="n">
        <f aca="false">MIN($F$10,AD63+AE63)</f>
        <v>0</v>
      </c>
      <c r="AG63" s="55" t="n">
        <f aca="false">MAX(0,MIN(AD63+AE63-AF63,$D63-(H63+M63+R63+W63+AB63)))</f>
        <v>0</v>
      </c>
      <c r="AH63" s="55" t="n">
        <f aca="false">AF63+AG63</f>
        <v>0</v>
      </c>
      <c r="AI63" s="55" t="n">
        <f aca="false">ROUND(MAX(0,AI62+AJ62-AM62),2)</f>
        <v>0</v>
      </c>
      <c r="AJ63" s="55" t="n">
        <f aca="false">ROUND(AI63*$E$11/12,2)</f>
        <v>0</v>
      </c>
      <c r="AK63" s="55" t="n">
        <f aca="false">MIN($F$11,AI63+AJ63)</f>
        <v>0</v>
      </c>
      <c r="AL63" s="55" t="n">
        <f aca="false">MAX(0,MIN(AI63+AJ63-AK63,$D63-(H63+M63+R63+W63+AB63+AG63)))</f>
        <v>0</v>
      </c>
      <c r="AM63" s="55" t="n">
        <f aca="false">AK63+AL63</f>
        <v>0</v>
      </c>
      <c r="AN63" s="55" t="n">
        <f aca="false">ROUND(MAX(0,AN62+AO62-AR62),2)</f>
        <v>0</v>
      </c>
      <c r="AO63" s="55" t="n">
        <f aca="false">ROUND(AN63*$E$12/12,2)</f>
        <v>0</v>
      </c>
      <c r="AP63" s="55" t="n">
        <f aca="false">MIN($F$12,AN63+AO63)</f>
        <v>0</v>
      </c>
      <c r="AQ63" s="55" t="n">
        <f aca="false">MAX(0,MIN(AN63+AO63-AP63,$D63-(H63+M63+R63+W63+AB63+AG63+AL63)))</f>
        <v>0</v>
      </c>
      <c r="AR63" s="55" t="n">
        <f aca="false">AP63+AQ63</f>
        <v>0</v>
      </c>
      <c r="AS63" s="55" t="n">
        <f aca="false">ROUND(MAX(0,AS62+AT62-AW62),2)</f>
        <v>0</v>
      </c>
      <c r="AT63" s="55" t="n">
        <f aca="false">ROUND(AS63*$E$13/12,2)</f>
        <v>0</v>
      </c>
      <c r="AU63" s="55" t="n">
        <f aca="false">MIN($F$13,AS63+AT63)</f>
        <v>0</v>
      </c>
      <c r="AV63" s="55" t="n">
        <f aca="false">MAX(0,MIN(AS63+AT63-AU63,$D63-(H63+M63+R63+W63+AB63+AG63+AL63+AQ63)))</f>
        <v>0</v>
      </c>
      <c r="AW63" s="55" t="n">
        <f aca="false">AU63+AV63</f>
        <v>0</v>
      </c>
      <c r="AX63" s="55" t="n">
        <f aca="false">ROUND(MAX(0,AX62+AY62-BB62),2)</f>
        <v>0</v>
      </c>
      <c r="AY63" s="55" t="n">
        <f aca="false">ROUND(AX63*$E$14/12,2)</f>
        <v>0</v>
      </c>
      <c r="AZ63" s="55" t="n">
        <f aca="false">MIN($F$14,AX63+AY63)</f>
        <v>0</v>
      </c>
      <c r="BA63" s="55" t="n">
        <f aca="false">MAX(0,MIN(AX63+AY63-AZ63,$D63-(H63+M63+R63+W63+AB63+AG63+AL63+AQ63+AV63)))</f>
        <v>0</v>
      </c>
      <c r="BB63" s="55" t="n">
        <f aca="false">AZ63+BA63</f>
        <v>0</v>
      </c>
      <c r="BC63" s="55" t="n">
        <f aca="false">I63+N63+S63+X63+AC63+AH63+AM63+AR63+AW63+BB63</f>
        <v>0</v>
      </c>
      <c r="BD63" s="55" t="n">
        <f aca="false">ROUND((E63+F63-I63)+(J63+K63-N63)+(O63+P63-S63)+(T63+U63-X63)+(Y63+Z63-AC63)+(AD63+AE63-AH63)+(AI63+AJ63-AM63)+(AN63+AO63-AR63)+(AS63+AT63-AW63)+(AX63+AY63-BB63),2)</f>
        <v>0</v>
      </c>
      <c r="BE63" s="25" t="str">
        <f aca="false">IF(H63&gt;0.005,$C$5,IF(M63&gt;0.005,$C$6,IF(R63&gt;0.005,$C$7,IF(W63&gt;0.005,$C$8,IF(AB63&gt;0.005,$C$9,IF(AG63&gt;0.005,$C$10,IF(AL63&gt;0.005,$C$11,IF(AQ63&gt;0.005,$C$12,IF(AV63&gt;0.005,$C$13,IF(BA63&gt;0.005,$C$14,""))))))))))</f>
        <v/>
      </c>
    </row>
    <row r="64" customFormat="false" ht="15" hidden="false" customHeight="false" outlineLevel="0" collapsed="false">
      <c r="A64" s="24" t="n">
        <v>41</v>
      </c>
      <c r="B64" s="54" t="n">
        <f aca="false">EDATE($C$17,A64-1)</f>
        <v>47543</v>
      </c>
      <c r="C64" s="55" t="n">
        <f aca="false">G64+L64+Q64+V64+AA64+AF64+AK64+AP64+AU64+AZ64</f>
        <v>0</v>
      </c>
      <c r="D64" s="55" t="n">
        <f aca="false">MAX(0,$C$16-C64)</f>
        <v>5822</v>
      </c>
      <c r="E64" s="55" t="n">
        <f aca="false">ROUND(MAX(0,E63+F63-I63),2)</f>
        <v>0</v>
      </c>
      <c r="F64" s="55" t="n">
        <f aca="false">ROUND(E64*$E$5/12,2)</f>
        <v>0</v>
      </c>
      <c r="G64" s="55" t="n">
        <f aca="false">MIN($F$5,E64+F64)</f>
        <v>0</v>
      </c>
      <c r="H64" s="55" t="n">
        <f aca="false">MAX(0,MIN(E64+F64-G64,$D64))</f>
        <v>0</v>
      </c>
      <c r="I64" s="55" t="n">
        <f aca="false">G64+H64</f>
        <v>0</v>
      </c>
      <c r="J64" s="55" t="n">
        <f aca="false">ROUND(MAX(0,J63+K63-N63),2)</f>
        <v>0</v>
      </c>
      <c r="K64" s="55" t="n">
        <f aca="false">ROUND(J64*$E$6/12,2)</f>
        <v>0</v>
      </c>
      <c r="L64" s="55" t="n">
        <f aca="false">MIN($F$6,J64+K64)</f>
        <v>0</v>
      </c>
      <c r="M64" s="55" t="n">
        <f aca="false">MAX(0,MIN(J64+K64-L64,$D64-(H64)))</f>
        <v>0</v>
      </c>
      <c r="N64" s="55" t="n">
        <f aca="false">L64+M64</f>
        <v>0</v>
      </c>
      <c r="O64" s="55" t="n">
        <f aca="false">ROUND(MAX(0,O63+P63-S63),2)</f>
        <v>0</v>
      </c>
      <c r="P64" s="55" t="n">
        <f aca="false">ROUND(O64*$E$7/12,2)</f>
        <v>0</v>
      </c>
      <c r="Q64" s="55" t="n">
        <f aca="false">MIN($F$7,O64+P64)</f>
        <v>0</v>
      </c>
      <c r="R64" s="55" t="n">
        <f aca="false">MAX(0,MIN(O64+P64-Q64,$D64-(H64+M64)))</f>
        <v>0</v>
      </c>
      <c r="S64" s="55" t="n">
        <f aca="false">Q64+R64</f>
        <v>0</v>
      </c>
      <c r="T64" s="55" t="n">
        <f aca="false">ROUND(MAX(0,T63+U63-X63),2)</f>
        <v>0</v>
      </c>
      <c r="U64" s="55" t="n">
        <f aca="false">ROUND(T64*$E$8/12,2)</f>
        <v>0</v>
      </c>
      <c r="V64" s="55" t="n">
        <f aca="false">MIN($F$8,T64+U64)</f>
        <v>0</v>
      </c>
      <c r="W64" s="55" t="n">
        <f aca="false">MAX(0,MIN(T64+U64-V64,$D64-(H64+M64+R64)))</f>
        <v>0</v>
      </c>
      <c r="X64" s="55" t="n">
        <f aca="false">V64+W64</f>
        <v>0</v>
      </c>
      <c r="Y64" s="55" t="n">
        <f aca="false">ROUND(MAX(0,Y63+Z63-AC63),2)</f>
        <v>0</v>
      </c>
      <c r="Z64" s="55" t="n">
        <f aca="false">ROUND(Y64*$E$9/12,2)</f>
        <v>0</v>
      </c>
      <c r="AA64" s="55" t="n">
        <f aca="false">MIN($F$9,Y64+Z64)</f>
        <v>0</v>
      </c>
      <c r="AB64" s="55" t="n">
        <f aca="false">MAX(0,MIN(Y64+Z64-AA64,$D64-(H64+M64+R64+W64)))</f>
        <v>0</v>
      </c>
      <c r="AC64" s="55" t="n">
        <f aca="false">AA64+AB64</f>
        <v>0</v>
      </c>
      <c r="AD64" s="55" t="n">
        <f aca="false">ROUND(MAX(0,AD63+AE63-AH63),2)</f>
        <v>0</v>
      </c>
      <c r="AE64" s="55" t="n">
        <f aca="false">ROUND(AD64*$E$10/12,2)</f>
        <v>0</v>
      </c>
      <c r="AF64" s="55" t="n">
        <f aca="false">MIN($F$10,AD64+AE64)</f>
        <v>0</v>
      </c>
      <c r="AG64" s="55" t="n">
        <f aca="false">MAX(0,MIN(AD64+AE64-AF64,$D64-(H64+M64+R64+W64+AB64)))</f>
        <v>0</v>
      </c>
      <c r="AH64" s="55" t="n">
        <f aca="false">AF64+AG64</f>
        <v>0</v>
      </c>
      <c r="AI64" s="55" t="n">
        <f aca="false">ROUND(MAX(0,AI63+AJ63-AM63),2)</f>
        <v>0</v>
      </c>
      <c r="AJ64" s="55" t="n">
        <f aca="false">ROUND(AI64*$E$11/12,2)</f>
        <v>0</v>
      </c>
      <c r="AK64" s="55" t="n">
        <f aca="false">MIN($F$11,AI64+AJ64)</f>
        <v>0</v>
      </c>
      <c r="AL64" s="55" t="n">
        <f aca="false">MAX(0,MIN(AI64+AJ64-AK64,$D64-(H64+M64+R64+W64+AB64+AG64)))</f>
        <v>0</v>
      </c>
      <c r="AM64" s="55" t="n">
        <f aca="false">AK64+AL64</f>
        <v>0</v>
      </c>
      <c r="AN64" s="55" t="n">
        <f aca="false">ROUND(MAX(0,AN63+AO63-AR63),2)</f>
        <v>0</v>
      </c>
      <c r="AO64" s="55" t="n">
        <f aca="false">ROUND(AN64*$E$12/12,2)</f>
        <v>0</v>
      </c>
      <c r="AP64" s="55" t="n">
        <f aca="false">MIN($F$12,AN64+AO64)</f>
        <v>0</v>
      </c>
      <c r="AQ64" s="55" t="n">
        <f aca="false">MAX(0,MIN(AN64+AO64-AP64,$D64-(H64+M64+R64+W64+AB64+AG64+AL64)))</f>
        <v>0</v>
      </c>
      <c r="AR64" s="55" t="n">
        <f aca="false">AP64+AQ64</f>
        <v>0</v>
      </c>
      <c r="AS64" s="55" t="n">
        <f aca="false">ROUND(MAX(0,AS63+AT63-AW63),2)</f>
        <v>0</v>
      </c>
      <c r="AT64" s="55" t="n">
        <f aca="false">ROUND(AS64*$E$13/12,2)</f>
        <v>0</v>
      </c>
      <c r="AU64" s="55" t="n">
        <f aca="false">MIN($F$13,AS64+AT64)</f>
        <v>0</v>
      </c>
      <c r="AV64" s="55" t="n">
        <f aca="false">MAX(0,MIN(AS64+AT64-AU64,$D64-(H64+M64+R64+W64+AB64+AG64+AL64+AQ64)))</f>
        <v>0</v>
      </c>
      <c r="AW64" s="55" t="n">
        <f aca="false">AU64+AV64</f>
        <v>0</v>
      </c>
      <c r="AX64" s="55" t="n">
        <f aca="false">ROUND(MAX(0,AX63+AY63-BB63),2)</f>
        <v>0</v>
      </c>
      <c r="AY64" s="55" t="n">
        <f aca="false">ROUND(AX64*$E$14/12,2)</f>
        <v>0</v>
      </c>
      <c r="AZ64" s="55" t="n">
        <f aca="false">MIN($F$14,AX64+AY64)</f>
        <v>0</v>
      </c>
      <c r="BA64" s="55" t="n">
        <f aca="false">MAX(0,MIN(AX64+AY64-AZ64,$D64-(H64+M64+R64+W64+AB64+AG64+AL64+AQ64+AV64)))</f>
        <v>0</v>
      </c>
      <c r="BB64" s="55" t="n">
        <f aca="false">AZ64+BA64</f>
        <v>0</v>
      </c>
      <c r="BC64" s="55" t="n">
        <f aca="false">I64+N64+S64+X64+AC64+AH64+AM64+AR64+AW64+BB64</f>
        <v>0</v>
      </c>
      <c r="BD64" s="55" t="n">
        <f aca="false">ROUND((E64+F64-I64)+(J64+K64-N64)+(O64+P64-S64)+(T64+U64-X64)+(Y64+Z64-AC64)+(AD64+AE64-AH64)+(AI64+AJ64-AM64)+(AN64+AO64-AR64)+(AS64+AT64-AW64)+(AX64+AY64-BB64),2)</f>
        <v>0</v>
      </c>
      <c r="BE64" s="25" t="str">
        <f aca="false">IF(H64&gt;0.005,$C$5,IF(M64&gt;0.005,$C$6,IF(R64&gt;0.005,$C$7,IF(W64&gt;0.005,$C$8,IF(AB64&gt;0.005,$C$9,IF(AG64&gt;0.005,$C$10,IF(AL64&gt;0.005,$C$11,IF(AQ64&gt;0.005,$C$12,IF(AV64&gt;0.005,$C$13,IF(BA64&gt;0.005,$C$14,""))))))))))</f>
        <v/>
      </c>
    </row>
    <row r="65" customFormat="false" ht="15" hidden="false" customHeight="false" outlineLevel="0" collapsed="false">
      <c r="A65" s="24" t="n">
        <v>42</v>
      </c>
      <c r="B65" s="54" t="n">
        <f aca="false">EDATE($C$17,A65-1)</f>
        <v>47574</v>
      </c>
      <c r="C65" s="55" t="n">
        <f aca="false">G65+L65+Q65+V65+AA65+AF65+AK65+AP65+AU65+AZ65</f>
        <v>0</v>
      </c>
      <c r="D65" s="55" t="n">
        <f aca="false">MAX(0,$C$16-C65)</f>
        <v>5822</v>
      </c>
      <c r="E65" s="55" t="n">
        <f aca="false">ROUND(MAX(0,E64+F64-I64),2)</f>
        <v>0</v>
      </c>
      <c r="F65" s="55" t="n">
        <f aca="false">ROUND(E65*$E$5/12,2)</f>
        <v>0</v>
      </c>
      <c r="G65" s="55" t="n">
        <f aca="false">MIN($F$5,E65+F65)</f>
        <v>0</v>
      </c>
      <c r="H65" s="55" t="n">
        <f aca="false">MAX(0,MIN(E65+F65-G65,$D65))</f>
        <v>0</v>
      </c>
      <c r="I65" s="55" t="n">
        <f aca="false">G65+H65</f>
        <v>0</v>
      </c>
      <c r="J65" s="55" t="n">
        <f aca="false">ROUND(MAX(0,J64+K64-N64),2)</f>
        <v>0</v>
      </c>
      <c r="K65" s="55" t="n">
        <f aca="false">ROUND(J65*$E$6/12,2)</f>
        <v>0</v>
      </c>
      <c r="L65" s="55" t="n">
        <f aca="false">MIN($F$6,J65+K65)</f>
        <v>0</v>
      </c>
      <c r="M65" s="55" t="n">
        <f aca="false">MAX(0,MIN(J65+K65-L65,$D65-(H65)))</f>
        <v>0</v>
      </c>
      <c r="N65" s="55" t="n">
        <f aca="false">L65+M65</f>
        <v>0</v>
      </c>
      <c r="O65" s="55" t="n">
        <f aca="false">ROUND(MAX(0,O64+P64-S64),2)</f>
        <v>0</v>
      </c>
      <c r="P65" s="55" t="n">
        <f aca="false">ROUND(O65*$E$7/12,2)</f>
        <v>0</v>
      </c>
      <c r="Q65" s="55" t="n">
        <f aca="false">MIN($F$7,O65+P65)</f>
        <v>0</v>
      </c>
      <c r="R65" s="55" t="n">
        <f aca="false">MAX(0,MIN(O65+P65-Q65,$D65-(H65+M65)))</f>
        <v>0</v>
      </c>
      <c r="S65" s="55" t="n">
        <f aca="false">Q65+R65</f>
        <v>0</v>
      </c>
      <c r="T65" s="55" t="n">
        <f aca="false">ROUND(MAX(0,T64+U64-X64),2)</f>
        <v>0</v>
      </c>
      <c r="U65" s="55" t="n">
        <f aca="false">ROUND(T65*$E$8/12,2)</f>
        <v>0</v>
      </c>
      <c r="V65" s="55" t="n">
        <f aca="false">MIN($F$8,T65+U65)</f>
        <v>0</v>
      </c>
      <c r="W65" s="55" t="n">
        <f aca="false">MAX(0,MIN(T65+U65-V65,$D65-(H65+M65+R65)))</f>
        <v>0</v>
      </c>
      <c r="X65" s="55" t="n">
        <f aca="false">V65+W65</f>
        <v>0</v>
      </c>
      <c r="Y65" s="55" t="n">
        <f aca="false">ROUND(MAX(0,Y64+Z64-AC64),2)</f>
        <v>0</v>
      </c>
      <c r="Z65" s="55" t="n">
        <f aca="false">ROUND(Y65*$E$9/12,2)</f>
        <v>0</v>
      </c>
      <c r="AA65" s="55" t="n">
        <f aca="false">MIN($F$9,Y65+Z65)</f>
        <v>0</v>
      </c>
      <c r="AB65" s="55" t="n">
        <f aca="false">MAX(0,MIN(Y65+Z65-AA65,$D65-(H65+M65+R65+W65)))</f>
        <v>0</v>
      </c>
      <c r="AC65" s="55" t="n">
        <f aca="false">AA65+AB65</f>
        <v>0</v>
      </c>
      <c r="AD65" s="55" t="n">
        <f aca="false">ROUND(MAX(0,AD64+AE64-AH64),2)</f>
        <v>0</v>
      </c>
      <c r="AE65" s="55" t="n">
        <f aca="false">ROUND(AD65*$E$10/12,2)</f>
        <v>0</v>
      </c>
      <c r="AF65" s="55" t="n">
        <f aca="false">MIN($F$10,AD65+AE65)</f>
        <v>0</v>
      </c>
      <c r="AG65" s="55" t="n">
        <f aca="false">MAX(0,MIN(AD65+AE65-AF65,$D65-(H65+M65+R65+W65+AB65)))</f>
        <v>0</v>
      </c>
      <c r="AH65" s="55" t="n">
        <f aca="false">AF65+AG65</f>
        <v>0</v>
      </c>
      <c r="AI65" s="55" t="n">
        <f aca="false">ROUND(MAX(0,AI64+AJ64-AM64),2)</f>
        <v>0</v>
      </c>
      <c r="AJ65" s="55" t="n">
        <f aca="false">ROUND(AI65*$E$11/12,2)</f>
        <v>0</v>
      </c>
      <c r="AK65" s="55" t="n">
        <f aca="false">MIN($F$11,AI65+AJ65)</f>
        <v>0</v>
      </c>
      <c r="AL65" s="55" t="n">
        <f aca="false">MAX(0,MIN(AI65+AJ65-AK65,$D65-(H65+M65+R65+W65+AB65+AG65)))</f>
        <v>0</v>
      </c>
      <c r="AM65" s="55" t="n">
        <f aca="false">AK65+AL65</f>
        <v>0</v>
      </c>
      <c r="AN65" s="55" t="n">
        <f aca="false">ROUND(MAX(0,AN64+AO64-AR64),2)</f>
        <v>0</v>
      </c>
      <c r="AO65" s="55" t="n">
        <f aca="false">ROUND(AN65*$E$12/12,2)</f>
        <v>0</v>
      </c>
      <c r="AP65" s="55" t="n">
        <f aca="false">MIN($F$12,AN65+AO65)</f>
        <v>0</v>
      </c>
      <c r="AQ65" s="55" t="n">
        <f aca="false">MAX(0,MIN(AN65+AO65-AP65,$D65-(H65+M65+R65+W65+AB65+AG65+AL65)))</f>
        <v>0</v>
      </c>
      <c r="AR65" s="55" t="n">
        <f aca="false">AP65+AQ65</f>
        <v>0</v>
      </c>
      <c r="AS65" s="55" t="n">
        <f aca="false">ROUND(MAX(0,AS64+AT64-AW64),2)</f>
        <v>0</v>
      </c>
      <c r="AT65" s="55" t="n">
        <f aca="false">ROUND(AS65*$E$13/12,2)</f>
        <v>0</v>
      </c>
      <c r="AU65" s="55" t="n">
        <f aca="false">MIN($F$13,AS65+AT65)</f>
        <v>0</v>
      </c>
      <c r="AV65" s="55" t="n">
        <f aca="false">MAX(0,MIN(AS65+AT65-AU65,$D65-(H65+M65+R65+W65+AB65+AG65+AL65+AQ65)))</f>
        <v>0</v>
      </c>
      <c r="AW65" s="55" t="n">
        <f aca="false">AU65+AV65</f>
        <v>0</v>
      </c>
      <c r="AX65" s="55" t="n">
        <f aca="false">ROUND(MAX(0,AX64+AY64-BB64),2)</f>
        <v>0</v>
      </c>
      <c r="AY65" s="55" t="n">
        <f aca="false">ROUND(AX65*$E$14/12,2)</f>
        <v>0</v>
      </c>
      <c r="AZ65" s="55" t="n">
        <f aca="false">MIN($F$14,AX65+AY65)</f>
        <v>0</v>
      </c>
      <c r="BA65" s="55" t="n">
        <f aca="false">MAX(0,MIN(AX65+AY65-AZ65,$D65-(H65+M65+R65+W65+AB65+AG65+AL65+AQ65+AV65)))</f>
        <v>0</v>
      </c>
      <c r="BB65" s="55" t="n">
        <f aca="false">AZ65+BA65</f>
        <v>0</v>
      </c>
      <c r="BC65" s="55" t="n">
        <f aca="false">I65+N65+S65+X65+AC65+AH65+AM65+AR65+AW65+BB65</f>
        <v>0</v>
      </c>
      <c r="BD65" s="55" t="n">
        <f aca="false">ROUND((E65+F65-I65)+(J65+K65-N65)+(O65+P65-S65)+(T65+U65-X65)+(Y65+Z65-AC65)+(AD65+AE65-AH65)+(AI65+AJ65-AM65)+(AN65+AO65-AR65)+(AS65+AT65-AW65)+(AX65+AY65-BB65),2)</f>
        <v>0</v>
      </c>
      <c r="BE65" s="25" t="str">
        <f aca="false">IF(H65&gt;0.005,$C$5,IF(M65&gt;0.005,$C$6,IF(R65&gt;0.005,$C$7,IF(W65&gt;0.005,$C$8,IF(AB65&gt;0.005,$C$9,IF(AG65&gt;0.005,$C$10,IF(AL65&gt;0.005,$C$11,IF(AQ65&gt;0.005,$C$12,IF(AV65&gt;0.005,$C$13,IF(BA65&gt;0.005,$C$14,""))))))))))</f>
        <v/>
      </c>
    </row>
    <row r="66" customFormat="false" ht="15" hidden="false" customHeight="false" outlineLevel="0" collapsed="false">
      <c r="A66" s="24" t="n">
        <v>43</v>
      </c>
      <c r="B66" s="54" t="n">
        <f aca="false">EDATE($C$17,A66-1)</f>
        <v>47604</v>
      </c>
      <c r="C66" s="55" t="n">
        <f aca="false">G66+L66+Q66+V66+AA66+AF66+AK66+AP66+AU66+AZ66</f>
        <v>0</v>
      </c>
      <c r="D66" s="55" t="n">
        <f aca="false">MAX(0,$C$16-C66)</f>
        <v>5822</v>
      </c>
      <c r="E66" s="55" t="n">
        <f aca="false">ROUND(MAX(0,E65+F65-I65),2)</f>
        <v>0</v>
      </c>
      <c r="F66" s="55" t="n">
        <f aca="false">ROUND(E66*$E$5/12,2)</f>
        <v>0</v>
      </c>
      <c r="G66" s="55" t="n">
        <f aca="false">MIN($F$5,E66+F66)</f>
        <v>0</v>
      </c>
      <c r="H66" s="55" t="n">
        <f aca="false">MAX(0,MIN(E66+F66-G66,$D66))</f>
        <v>0</v>
      </c>
      <c r="I66" s="55" t="n">
        <f aca="false">G66+H66</f>
        <v>0</v>
      </c>
      <c r="J66" s="55" t="n">
        <f aca="false">ROUND(MAX(0,J65+K65-N65),2)</f>
        <v>0</v>
      </c>
      <c r="K66" s="55" t="n">
        <f aca="false">ROUND(J66*$E$6/12,2)</f>
        <v>0</v>
      </c>
      <c r="L66" s="55" t="n">
        <f aca="false">MIN($F$6,J66+K66)</f>
        <v>0</v>
      </c>
      <c r="M66" s="55" t="n">
        <f aca="false">MAX(0,MIN(J66+K66-L66,$D66-(H66)))</f>
        <v>0</v>
      </c>
      <c r="N66" s="55" t="n">
        <f aca="false">L66+M66</f>
        <v>0</v>
      </c>
      <c r="O66" s="55" t="n">
        <f aca="false">ROUND(MAX(0,O65+P65-S65),2)</f>
        <v>0</v>
      </c>
      <c r="P66" s="55" t="n">
        <f aca="false">ROUND(O66*$E$7/12,2)</f>
        <v>0</v>
      </c>
      <c r="Q66" s="55" t="n">
        <f aca="false">MIN($F$7,O66+P66)</f>
        <v>0</v>
      </c>
      <c r="R66" s="55" t="n">
        <f aca="false">MAX(0,MIN(O66+P66-Q66,$D66-(H66+M66)))</f>
        <v>0</v>
      </c>
      <c r="S66" s="55" t="n">
        <f aca="false">Q66+R66</f>
        <v>0</v>
      </c>
      <c r="T66" s="55" t="n">
        <f aca="false">ROUND(MAX(0,T65+U65-X65),2)</f>
        <v>0</v>
      </c>
      <c r="U66" s="55" t="n">
        <f aca="false">ROUND(T66*$E$8/12,2)</f>
        <v>0</v>
      </c>
      <c r="V66" s="55" t="n">
        <f aca="false">MIN($F$8,T66+U66)</f>
        <v>0</v>
      </c>
      <c r="W66" s="55" t="n">
        <f aca="false">MAX(0,MIN(T66+U66-V66,$D66-(H66+M66+R66)))</f>
        <v>0</v>
      </c>
      <c r="X66" s="55" t="n">
        <f aca="false">V66+W66</f>
        <v>0</v>
      </c>
      <c r="Y66" s="55" t="n">
        <f aca="false">ROUND(MAX(0,Y65+Z65-AC65),2)</f>
        <v>0</v>
      </c>
      <c r="Z66" s="55" t="n">
        <f aca="false">ROUND(Y66*$E$9/12,2)</f>
        <v>0</v>
      </c>
      <c r="AA66" s="55" t="n">
        <f aca="false">MIN($F$9,Y66+Z66)</f>
        <v>0</v>
      </c>
      <c r="AB66" s="55" t="n">
        <f aca="false">MAX(0,MIN(Y66+Z66-AA66,$D66-(H66+M66+R66+W66)))</f>
        <v>0</v>
      </c>
      <c r="AC66" s="55" t="n">
        <f aca="false">AA66+AB66</f>
        <v>0</v>
      </c>
      <c r="AD66" s="55" t="n">
        <f aca="false">ROUND(MAX(0,AD65+AE65-AH65),2)</f>
        <v>0</v>
      </c>
      <c r="AE66" s="55" t="n">
        <f aca="false">ROUND(AD66*$E$10/12,2)</f>
        <v>0</v>
      </c>
      <c r="AF66" s="55" t="n">
        <f aca="false">MIN($F$10,AD66+AE66)</f>
        <v>0</v>
      </c>
      <c r="AG66" s="55" t="n">
        <f aca="false">MAX(0,MIN(AD66+AE66-AF66,$D66-(H66+M66+R66+W66+AB66)))</f>
        <v>0</v>
      </c>
      <c r="AH66" s="55" t="n">
        <f aca="false">AF66+AG66</f>
        <v>0</v>
      </c>
      <c r="AI66" s="55" t="n">
        <f aca="false">ROUND(MAX(0,AI65+AJ65-AM65),2)</f>
        <v>0</v>
      </c>
      <c r="AJ66" s="55" t="n">
        <f aca="false">ROUND(AI66*$E$11/12,2)</f>
        <v>0</v>
      </c>
      <c r="AK66" s="55" t="n">
        <f aca="false">MIN($F$11,AI66+AJ66)</f>
        <v>0</v>
      </c>
      <c r="AL66" s="55" t="n">
        <f aca="false">MAX(0,MIN(AI66+AJ66-AK66,$D66-(H66+M66+R66+W66+AB66+AG66)))</f>
        <v>0</v>
      </c>
      <c r="AM66" s="55" t="n">
        <f aca="false">AK66+AL66</f>
        <v>0</v>
      </c>
      <c r="AN66" s="55" t="n">
        <f aca="false">ROUND(MAX(0,AN65+AO65-AR65),2)</f>
        <v>0</v>
      </c>
      <c r="AO66" s="55" t="n">
        <f aca="false">ROUND(AN66*$E$12/12,2)</f>
        <v>0</v>
      </c>
      <c r="AP66" s="55" t="n">
        <f aca="false">MIN($F$12,AN66+AO66)</f>
        <v>0</v>
      </c>
      <c r="AQ66" s="55" t="n">
        <f aca="false">MAX(0,MIN(AN66+AO66-AP66,$D66-(H66+M66+R66+W66+AB66+AG66+AL66)))</f>
        <v>0</v>
      </c>
      <c r="AR66" s="55" t="n">
        <f aca="false">AP66+AQ66</f>
        <v>0</v>
      </c>
      <c r="AS66" s="55" t="n">
        <f aca="false">ROUND(MAX(0,AS65+AT65-AW65),2)</f>
        <v>0</v>
      </c>
      <c r="AT66" s="55" t="n">
        <f aca="false">ROUND(AS66*$E$13/12,2)</f>
        <v>0</v>
      </c>
      <c r="AU66" s="55" t="n">
        <f aca="false">MIN($F$13,AS66+AT66)</f>
        <v>0</v>
      </c>
      <c r="AV66" s="55" t="n">
        <f aca="false">MAX(0,MIN(AS66+AT66-AU66,$D66-(H66+M66+R66+W66+AB66+AG66+AL66+AQ66)))</f>
        <v>0</v>
      </c>
      <c r="AW66" s="55" t="n">
        <f aca="false">AU66+AV66</f>
        <v>0</v>
      </c>
      <c r="AX66" s="55" t="n">
        <f aca="false">ROUND(MAX(0,AX65+AY65-BB65),2)</f>
        <v>0</v>
      </c>
      <c r="AY66" s="55" t="n">
        <f aca="false">ROUND(AX66*$E$14/12,2)</f>
        <v>0</v>
      </c>
      <c r="AZ66" s="55" t="n">
        <f aca="false">MIN($F$14,AX66+AY66)</f>
        <v>0</v>
      </c>
      <c r="BA66" s="55" t="n">
        <f aca="false">MAX(0,MIN(AX66+AY66-AZ66,$D66-(H66+M66+R66+W66+AB66+AG66+AL66+AQ66+AV66)))</f>
        <v>0</v>
      </c>
      <c r="BB66" s="55" t="n">
        <f aca="false">AZ66+BA66</f>
        <v>0</v>
      </c>
      <c r="BC66" s="55" t="n">
        <f aca="false">I66+N66+S66+X66+AC66+AH66+AM66+AR66+AW66+BB66</f>
        <v>0</v>
      </c>
      <c r="BD66" s="55" t="n">
        <f aca="false">ROUND((E66+F66-I66)+(J66+K66-N66)+(O66+P66-S66)+(T66+U66-X66)+(Y66+Z66-AC66)+(AD66+AE66-AH66)+(AI66+AJ66-AM66)+(AN66+AO66-AR66)+(AS66+AT66-AW66)+(AX66+AY66-BB66),2)</f>
        <v>0</v>
      </c>
      <c r="BE66" s="25" t="str">
        <f aca="false">IF(H66&gt;0.005,$C$5,IF(M66&gt;0.005,$C$6,IF(R66&gt;0.005,$C$7,IF(W66&gt;0.005,$C$8,IF(AB66&gt;0.005,$C$9,IF(AG66&gt;0.005,$C$10,IF(AL66&gt;0.005,$C$11,IF(AQ66&gt;0.005,$C$12,IF(AV66&gt;0.005,$C$13,IF(BA66&gt;0.005,$C$14,""))))))))))</f>
        <v/>
      </c>
    </row>
    <row r="67" customFormat="false" ht="15" hidden="false" customHeight="false" outlineLevel="0" collapsed="false">
      <c r="A67" s="24" t="n">
        <v>44</v>
      </c>
      <c r="B67" s="54" t="n">
        <f aca="false">EDATE($C$17,A67-1)</f>
        <v>47635</v>
      </c>
      <c r="C67" s="55" t="n">
        <f aca="false">G67+L67+Q67+V67+AA67+AF67+AK67+AP67+AU67+AZ67</f>
        <v>0</v>
      </c>
      <c r="D67" s="55" t="n">
        <f aca="false">MAX(0,$C$16-C67)</f>
        <v>5822</v>
      </c>
      <c r="E67" s="55" t="n">
        <f aca="false">ROUND(MAX(0,E66+F66-I66),2)</f>
        <v>0</v>
      </c>
      <c r="F67" s="55" t="n">
        <f aca="false">ROUND(E67*$E$5/12,2)</f>
        <v>0</v>
      </c>
      <c r="G67" s="55" t="n">
        <f aca="false">MIN($F$5,E67+F67)</f>
        <v>0</v>
      </c>
      <c r="H67" s="55" t="n">
        <f aca="false">MAX(0,MIN(E67+F67-G67,$D67))</f>
        <v>0</v>
      </c>
      <c r="I67" s="55" t="n">
        <f aca="false">G67+H67</f>
        <v>0</v>
      </c>
      <c r="J67" s="55" t="n">
        <f aca="false">ROUND(MAX(0,J66+K66-N66),2)</f>
        <v>0</v>
      </c>
      <c r="K67" s="55" t="n">
        <f aca="false">ROUND(J67*$E$6/12,2)</f>
        <v>0</v>
      </c>
      <c r="L67" s="55" t="n">
        <f aca="false">MIN($F$6,J67+K67)</f>
        <v>0</v>
      </c>
      <c r="M67" s="55" t="n">
        <f aca="false">MAX(0,MIN(J67+K67-L67,$D67-(H67)))</f>
        <v>0</v>
      </c>
      <c r="N67" s="55" t="n">
        <f aca="false">L67+M67</f>
        <v>0</v>
      </c>
      <c r="O67" s="55" t="n">
        <f aca="false">ROUND(MAX(0,O66+P66-S66),2)</f>
        <v>0</v>
      </c>
      <c r="P67" s="55" t="n">
        <f aca="false">ROUND(O67*$E$7/12,2)</f>
        <v>0</v>
      </c>
      <c r="Q67" s="55" t="n">
        <f aca="false">MIN($F$7,O67+P67)</f>
        <v>0</v>
      </c>
      <c r="R67" s="55" t="n">
        <f aca="false">MAX(0,MIN(O67+P67-Q67,$D67-(H67+M67)))</f>
        <v>0</v>
      </c>
      <c r="S67" s="55" t="n">
        <f aca="false">Q67+R67</f>
        <v>0</v>
      </c>
      <c r="T67" s="55" t="n">
        <f aca="false">ROUND(MAX(0,T66+U66-X66),2)</f>
        <v>0</v>
      </c>
      <c r="U67" s="55" t="n">
        <f aca="false">ROUND(T67*$E$8/12,2)</f>
        <v>0</v>
      </c>
      <c r="V67" s="55" t="n">
        <f aca="false">MIN($F$8,T67+U67)</f>
        <v>0</v>
      </c>
      <c r="W67" s="55" t="n">
        <f aca="false">MAX(0,MIN(T67+U67-V67,$D67-(H67+M67+R67)))</f>
        <v>0</v>
      </c>
      <c r="X67" s="55" t="n">
        <f aca="false">V67+W67</f>
        <v>0</v>
      </c>
      <c r="Y67" s="55" t="n">
        <f aca="false">ROUND(MAX(0,Y66+Z66-AC66),2)</f>
        <v>0</v>
      </c>
      <c r="Z67" s="55" t="n">
        <f aca="false">ROUND(Y67*$E$9/12,2)</f>
        <v>0</v>
      </c>
      <c r="AA67" s="55" t="n">
        <f aca="false">MIN($F$9,Y67+Z67)</f>
        <v>0</v>
      </c>
      <c r="AB67" s="55" t="n">
        <f aca="false">MAX(0,MIN(Y67+Z67-AA67,$D67-(H67+M67+R67+W67)))</f>
        <v>0</v>
      </c>
      <c r="AC67" s="55" t="n">
        <f aca="false">AA67+AB67</f>
        <v>0</v>
      </c>
      <c r="AD67" s="55" t="n">
        <f aca="false">ROUND(MAX(0,AD66+AE66-AH66),2)</f>
        <v>0</v>
      </c>
      <c r="AE67" s="55" t="n">
        <f aca="false">ROUND(AD67*$E$10/12,2)</f>
        <v>0</v>
      </c>
      <c r="AF67" s="55" t="n">
        <f aca="false">MIN($F$10,AD67+AE67)</f>
        <v>0</v>
      </c>
      <c r="AG67" s="55" t="n">
        <f aca="false">MAX(0,MIN(AD67+AE67-AF67,$D67-(H67+M67+R67+W67+AB67)))</f>
        <v>0</v>
      </c>
      <c r="AH67" s="55" t="n">
        <f aca="false">AF67+AG67</f>
        <v>0</v>
      </c>
      <c r="AI67" s="55" t="n">
        <f aca="false">ROUND(MAX(0,AI66+AJ66-AM66),2)</f>
        <v>0</v>
      </c>
      <c r="AJ67" s="55" t="n">
        <f aca="false">ROUND(AI67*$E$11/12,2)</f>
        <v>0</v>
      </c>
      <c r="AK67" s="55" t="n">
        <f aca="false">MIN($F$11,AI67+AJ67)</f>
        <v>0</v>
      </c>
      <c r="AL67" s="55" t="n">
        <f aca="false">MAX(0,MIN(AI67+AJ67-AK67,$D67-(H67+M67+R67+W67+AB67+AG67)))</f>
        <v>0</v>
      </c>
      <c r="AM67" s="55" t="n">
        <f aca="false">AK67+AL67</f>
        <v>0</v>
      </c>
      <c r="AN67" s="55" t="n">
        <f aca="false">ROUND(MAX(0,AN66+AO66-AR66),2)</f>
        <v>0</v>
      </c>
      <c r="AO67" s="55" t="n">
        <f aca="false">ROUND(AN67*$E$12/12,2)</f>
        <v>0</v>
      </c>
      <c r="AP67" s="55" t="n">
        <f aca="false">MIN($F$12,AN67+AO67)</f>
        <v>0</v>
      </c>
      <c r="AQ67" s="55" t="n">
        <f aca="false">MAX(0,MIN(AN67+AO67-AP67,$D67-(H67+M67+R67+W67+AB67+AG67+AL67)))</f>
        <v>0</v>
      </c>
      <c r="AR67" s="55" t="n">
        <f aca="false">AP67+AQ67</f>
        <v>0</v>
      </c>
      <c r="AS67" s="55" t="n">
        <f aca="false">ROUND(MAX(0,AS66+AT66-AW66),2)</f>
        <v>0</v>
      </c>
      <c r="AT67" s="55" t="n">
        <f aca="false">ROUND(AS67*$E$13/12,2)</f>
        <v>0</v>
      </c>
      <c r="AU67" s="55" t="n">
        <f aca="false">MIN($F$13,AS67+AT67)</f>
        <v>0</v>
      </c>
      <c r="AV67" s="55" t="n">
        <f aca="false">MAX(0,MIN(AS67+AT67-AU67,$D67-(H67+M67+R67+W67+AB67+AG67+AL67+AQ67)))</f>
        <v>0</v>
      </c>
      <c r="AW67" s="55" t="n">
        <f aca="false">AU67+AV67</f>
        <v>0</v>
      </c>
      <c r="AX67" s="55" t="n">
        <f aca="false">ROUND(MAX(0,AX66+AY66-BB66),2)</f>
        <v>0</v>
      </c>
      <c r="AY67" s="55" t="n">
        <f aca="false">ROUND(AX67*$E$14/12,2)</f>
        <v>0</v>
      </c>
      <c r="AZ67" s="55" t="n">
        <f aca="false">MIN($F$14,AX67+AY67)</f>
        <v>0</v>
      </c>
      <c r="BA67" s="55" t="n">
        <f aca="false">MAX(0,MIN(AX67+AY67-AZ67,$D67-(H67+M67+R67+W67+AB67+AG67+AL67+AQ67+AV67)))</f>
        <v>0</v>
      </c>
      <c r="BB67" s="55" t="n">
        <f aca="false">AZ67+BA67</f>
        <v>0</v>
      </c>
      <c r="BC67" s="55" t="n">
        <f aca="false">I67+N67+S67+X67+AC67+AH67+AM67+AR67+AW67+BB67</f>
        <v>0</v>
      </c>
      <c r="BD67" s="55" t="n">
        <f aca="false">ROUND((E67+F67-I67)+(J67+K67-N67)+(O67+P67-S67)+(T67+U67-X67)+(Y67+Z67-AC67)+(AD67+AE67-AH67)+(AI67+AJ67-AM67)+(AN67+AO67-AR67)+(AS67+AT67-AW67)+(AX67+AY67-BB67),2)</f>
        <v>0</v>
      </c>
      <c r="BE67" s="25" t="str">
        <f aca="false">IF(H67&gt;0.005,$C$5,IF(M67&gt;0.005,$C$6,IF(R67&gt;0.005,$C$7,IF(W67&gt;0.005,$C$8,IF(AB67&gt;0.005,$C$9,IF(AG67&gt;0.005,$C$10,IF(AL67&gt;0.005,$C$11,IF(AQ67&gt;0.005,$C$12,IF(AV67&gt;0.005,$C$13,IF(BA67&gt;0.005,$C$14,""))))))))))</f>
        <v/>
      </c>
    </row>
    <row r="68" customFormat="false" ht="15" hidden="false" customHeight="false" outlineLevel="0" collapsed="false">
      <c r="A68" s="24" t="n">
        <v>45</v>
      </c>
      <c r="B68" s="54" t="n">
        <f aca="false">EDATE($C$17,A68-1)</f>
        <v>47665</v>
      </c>
      <c r="C68" s="55" t="n">
        <f aca="false">G68+L68+Q68+V68+AA68+AF68+AK68+AP68+AU68+AZ68</f>
        <v>0</v>
      </c>
      <c r="D68" s="55" t="n">
        <f aca="false">MAX(0,$C$16-C68)</f>
        <v>5822</v>
      </c>
      <c r="E68" s="55" t="n">
        <f aca="false">ROUND(MAX(0,E67+F67-I67),2)</f>
        <v>0</v>
      </c>
      <c r="F68" s="55" t="n">
        <f aca="false">ROUND(E68*$E$5/12,2)</f>
        <v>0</v>
      </c>
      <c r="G68" s="55" t="n">
        <f aca="false">MIN($F$5,E68+F68)</f>
        <v>0</v>
      </c>
      <c r="H68" s="55" t="n">
        <f aca="false">MAX(0,MIN(E68+F68-G68,$D68))</f>
        <v>0</v>
      </c>
      <c r="I68" s="55" t="n">
        <f aca="false">G68+H68</f>
        <v>0</v>
      </c>
      <c r="J68" s="55" t="n">
        <f aca="false">ROUND(MAX(0,J67+K67-N67),2)</f>
        <v>0</v>
      </c>
      <c r="K68" s="55" t="n">
        <f aca="false">ROUND(J68*$E$6/12,2)</f>
        <v>0</v>
      </c>
      <c r="L68" s="55" t="n">
        <f aca="false">MIN($F$6,J68+K68)</f>
        <v>0</v>
      </c>
      <c r="M68" s="55" t="n">
        <f aca="false">MAX(0,MIN(J68+K68-L68,$D68-(H68)))</f>
        <v>0</v>
      </c>
      <c r="N68" s="55" t="n">
        <f aca="false">L68+M68</f>
        <v>0</v>
      </c>
      <c r="O68" s="55" t="n">
        <f aca="false">ROUND(MAX(0,O67+P67-S67),2)</f>
        <v>0</v>
      </c>
      <c r="P68" s="55" t="n">
        <f aca="false">ROUND(O68*$E$7/12,2)</f>
        <v>0</v>
      </c>
      <c r="Q68" s="55" t="n">
        <f aca="false">MIN($F$7,O68+P68)</f>
        <v>0</v>
      </c>
      <c r="R68" s="55" t="n">
        <f aca="false">MAX(0,MIN(O68+P68-Q68,$D68-(H68+M68)))</f>
        <v>0</v>
      </c>
      <c r="S68" s="55" t="n">
        <f aca="false">Q68+R68</f>
        <v>0</v>
      </c>
      <c r="T68" s="55" t="n">
        <f aca="false">ROUND(MAX(0,T67+U67-X67),2)</f>
        <v>0</v>
      </c>
      <c r="U68" s="55" t="n">
        <f aca="false">ROUND(T68*$E$8/12,2)</f>
        <v>0</v>
      </c>
      <c r="V68" s="55" t="n">
        <f aca="false">MIN($F$8,T68+U68)</f>
        <v>0</v>
      </c>
      <c r="W68" s="55" t="n">
        <f aca="false">MAX(0,MIN(T68+U68-V68,$D68-(H68+M68+R68)))</f>
        <v>0</v>
      </c>
      <c r="X68" s="55" t="n">
        <f aca="false">V68+W68</f>
        <v>0</v>
      </c>
      <c r="Y68" s="55" t="n">
        <f aca="false">ROUND(MAX(0,Y67+Z67-AC67),2)</f>
        <v>0</v>
      </c>
      <c r="Z68" s="55" t="n">
        <f aca="false">ROUND(Y68*$E$9/12,2)</f>
        <v>0</v>
      </c>
      <c r="AA68" s="55" t="n">
        <f aca="false">MIN($F$9,Y68+Z68)</f>
        <v>0</v>
      </c>
      <c r="AB68" s="55" t="n">
        <f aca="false">MAX(0,MIN(Y68+Z68-AA68,$D68-(H68+M68+R68+W68)))</f>
        <v>0</v>
      </c>
      <c r="AC68" s="55" t="n">
        <f aca="false">AA68+AB68</f>
        <v>0</v>
      </c>
      <c r="AD68" s="55" t="n">
        <f aca="false">ROUND(MAX(0,AD67+AE67-AH67),2)</f>
        <v>0</v>
      </c>
      <c r="AE68" s="55" t="n">
        <f aca="false">ROUND(AD68*$E$10/12,2)</f>
        <v>0</v>
      </c>
      <c r="AF68" s="55" t="n">
        <f aca="false">MIN($F$10,AD68+AE68)</f>
        <v>0</v>
      </c>
      <c r="AG68" s="55" t="n">
        <f aca="false">MAX(0,MIN(AD68+AE68-AF68,$D68-(H68+M68+R68+W68+AB68)))</f>
        <v>0</v>
      </c>
      <c r="AH68" s="55" t="n">
        <f aca="false">AF68+AG68</f>
        <v>0</v>
      </c>
      <c r="AI68" s="55" t="n">
        <f aca="false">ROUND(MAX(0,AI67+AJ67-AM67),2)</f>
        <v>0</v>
      </c>
      <c r="AJ68" s="55" t="n">
        <f aca="false">ROUND(AI68*$E$11/12,2)</f>
        <v>0</v>
      </c>
      <c r="AK68" s="55" t="n">
        <f aca="false">MIN($F$11,AI68+AJ68)</f>
        <v>0</v>
      </c>
      <c r="AL68" s="55" t="n">
        <f aca="false">MAX(0,MIN(AI68+AJ68-AK68,$D68-(H68+M68+R68+W68+AB68+AG68)))</f>
        <v>0</v>
      </c>
      <c r="AM68" s="55" t="n">
        <f aca="false">AK68+AL68</f>
        <v>0</v>
      </c>
      <c r="AN68" s="55" t="n">
        <f aca="false">ROUND(MAX(0,AN67+AO67-AR67),2)</f>
        <v>0</v>
      </c>
      <c r="AO68" s="55" t="n">
        <f aca="false">ROUND(AN68*$E$12/12,2)</f>
        <v>0</v>
      </c>
      <c r="AP68" s="55" t="n">
        <f aca="false">MIN($F$12,AN68+AO68)</f>
        <v>0</v>
      </c>
      <c r="AQ68" s="55" t="n">
        <f aca="false">MAX(0,MIN(AN68+AO68-AP68,$D68-(H68+M68+R68+W68+AB68+AG68+AL68)))</f>
        <v>0</v>
      </c>
      <c r="AR68" s="55" t="n">
        <f aca="false">AP68+AQ68</f>
        <v>0</v>
      </c>
      <c r="AS68" s="55" t="n">
        <f aca="false">ROUND(MAX(0,AS67+AT67-AW67),2)</f>
        <v>0</v>
      </c>
      <c r="AT68" s="55" t="n">
        <f aca="false">ROUND(AS68*$E$13/12,2)</f>
        <v>0</v>
      </c>
      <c r="AU68" s="55" t="n">
        <f aca="false">MIN($F$13,AS68+AT68)</f>
        <v>0</v>
      </c>
      <c r="AV68" s="55" t="n">
        <f aca="false">MAX(0,MIN(AS68+AT68-AU68,$D68-(H68+M68+R68+W68+AB68+AG68+AL68+AQ68)))</f>
        <v>0</v>
      </c>
      <c r="AW68" s="55" t="n">
        <f aca="false">AU68+AV68</f>
        <v>0</v>
      </c>
      <c r="AX68" s="55" t="n">
        <f aca="false">ROUND(MAX(0,AX67+AY67-BB67),2)</f>
        <v>0</v>
      </c>
      <c r="AY68" s="55" t="n">
        <f aca="false">ROUND(AX68*$E$14/12,2)</f>
        <v>0</v>
      </c>
      <c r="AZ68" s="55" t="n">
        <f aca="false">MIN($F$14,AX68+AY68)</f>
        <v>0</v>
      </c>
      <c r="BA68" s="55" t="n">
        <f aca="false">MAX(0,MIN(AX68+AY68-AZ68,$D68-(H68+M68+R68+W68+AB68+AG68+AL68+AQ68+AV68)))</f>
        <v>0</v>
      </c>
      <c r="BB68" s="55" t="n">
        <f aca="false">AZ68+BA68</f>
        <v>0</v>
      </c>
      <c r="BC68" s="55" t="n">
        <f aca="false">I68+N68+S68+X68+AC68+AH68+AM68+AR68+AW68+BB68</f>
        <v>0</v>
      </c>
      <c r="BD68" s="55" t="n">
        <f aca="false">ROUND((E68+F68-I68)+(J68+K68-N68)+(O68+P68-S68)+(T68+U68-X68)+(Y68+Z68-AC68)+(AD68+AE68-AH68)+(AI68+AJ68-AM68)+(AN68+AO68-AR68)+(AS68+AT68-AW68)+(AX68+AY68-BB68),2)</f>
        <v>0</v>
      </c>
      <c r="BE68" s="25" t="str">
        <f aca="false">IF(H68&gt;0.005,$C$5,IF(M68&gt;0.005,$C$6,IF(R68&gt;0.005,$C$7,IF(W68&gt;0.005,$C$8,IF(AB68&gt;0.005,$C$9,IF(AG68&gt;0.005,$C$10,IF(AL68&gt;0.005,$C$11,IF(AQ68&gt;0.005,$C$12,IF(AV68&gt;0.005,$C$13,IF(BA68&gt;0.005,$C$14,""))))))))))</f>
        <v/>
      </c>
    </row>
    <row r="69" customFormat="false" ht="15" hidden="false" customHeight="false" outlineLevel="0" collapsed="false">
      <c r="A69" s="24" t="n">
        <v>46</v>
      </c>
      <c r="B69" s="54" t="n">
        <f aca="false">EDATE($C$17,A69-1)</f>
        <v>47696</v>
      </c>
      <c r="C69" s="55" t="n">
        <f aca="false">G69+L69+Q69+V69+AA69+AF69+AK69+AP69+AU69+AZ69</f>
        <v>0</v>
      </c>
      <c r="D69" s="55" t="n">
        <f aca="false">MAX(0,$C$16-C69)</f>
        <v>5822</v>
      </c>
      <c r="E69" s="55" t="n">
        <f aca="false">ROUND(MAX(0,E68+F68-I68),2)</f>
        <v>0</v>
      </c>
      <c r="F69" s="55" t="n">
        <f aca="false">ROUND(E69*$E$5/12,2)</f>
        <v>0</v>
      </c>
      <c r="G69" s="55" t="n">
        <f aca="false">MIN($F$5,E69+F69)</f>
        <v>0</v>
      </c>
      <c r="H69" s="55" t="n">
        <f aca="false">MAX(0,MIN(E69+F69-G69,$D69))</f>
        <v>0</v>
      </c>
      <c r="I69" s="55" t="n">
        <f aca="false">G69+H69</f>
        <v>0</v>
      </c>
      <c r="J69" s="55" t="n">
        <f aca="false">ROUND(MAX(0,J68+K68-N68),2)</f>
        <v>0</v>
      </c>
      <c r="K69" s="55" t="n">
        <f aca="false">ROUND(J69*$E$6/12,2)</f>
        <v>0</v>
      </c>
      <c r="L69" s="55" t="n">
        <f aca="false">MIN($F$6,J69+K69)</f>
        <v>0</v>
      </c>
      <c r="M69" s="55" t="n">
        <f aca="false">MAX(0,MIN(J69+K69-L69,$D69-(H69)))</f>
        <v>0</v>
      </c>
      <c r="N69" s="55" t="n">
        <f aca="false">L69+M69</f>
        <v>0</v>
      </c>
      <c r="O69" s="55" t="n">
        <f aca="false">ROUND(MAX(0,O68+P68-S68),2)</f>
        <v>0</v>
      </c>
      <c r="P69" s="55" t="n">
        <f aca="false">ROUND(O69*$E$7/12,2)</f>
        <v>0</v>
      </c>
      <c r="Q69" s="55" t="n">
        <f aca="false">MIN($F$7,O69+P69)</f>
        <v>0</v>
      </c>
      <c r="R69" s="55" t="n">
        <f aca="false">MAX(0,MIN(O69+P69-Q69,$D69-(H69+M69)))</f>
        <v>0</v>
      </c>
      <c r="S69" s="55" t="n">
        <f aca="false">Q69+R69</f>
        <v>0</v>
      </c>
      <c r="T69" s="55" t="n">
        <f aca="false">ROUND(MAX(0,T68+U68-X68),2)</f>
        <v>0</v>
      </c>
      <c r="U69" s="55" t="n">
        <f aca="false">ROUND(T69*$E$8/12,2)</f>
        <v>0</v>
      </c>
      <c r="V69" s="55" t="n">
        <f aca="false">MIN($F$8,T69+U69)</f>
        <v>0</v>
      </c>
      <c r="W69" s="55" t="n">
        <f aca="false">MAX(0,MIN(T69+U69-V69,$D69-(H69+M69+R69)))</f>
        <v>0</v>
      </c>
      <c r="X69" s="55" t="n">
        <f aca="false">V69+W69</f>
        <v>0</v>
      </c>
      <c r="Y69" s="55" t="n">
        <f aca="false">ROUND(MAX(0,Y68+Z68-AC68),2)</f>
        <v>0</v>
      </c>
      <c r="Z69" s="55" t="n">
        <f aca="false">ROUND(Y69*$E$9/12,2)</f>
        <v>0</v>
      </c>
      <c r="AA69" s="55" t="n">
        <f aca="false">MIN($F$9,Y69+Z69)</f>
        <v>0</v>
      </c>
      <c r="AB69" s="55" t="n">
        <f aca="false">MAX(0,MIN(Y69+Z69-AA69,$D69-(H69+M69+R69+W69)))</f>
        <v>0</v>
      </c>
      <c r="AC69" s="55" t="n">
        <f aca="false">AA69+AB69</f>
        <v>0</v>
      </c>
      <c r="AD69" s="55" t="n">
        <f aca="false">ROUND(MAX(0,AD68+AE68-AH68),2)</f>
        <v>0</v>
      </c>
      <c r="AE69" s="55" t="n">
        <f aca="false">ROUND(AD69*$E$10/12,2)</f>
        <v>0</v>
      </c>
      <c r="AF69" s="55" t="n">
        <f aca="false">MIN($F$10,AD69+AE69)</f>
        <v>0</v>
      </c>
      <c r="AG69" s="55" t="n">
        <f aca="false">MAX(0,MIN(AD69+AE69-AF69,$D69-(H69+M69+R69+W69+AB69)))</f>
        <v>0</v>
      </c>
      <c r="AH69" s="55" t="n">
        <f aca="false">AF69+AG69</f>
        <v>0</v>
      </c>
      <c r="AI69" s="55" t="n">
        <f aca="false">ROUND(MAX(0,AI68+AJ68-AM68),2)</f>
        <v>0</v>
      </c>
      <c r="AJ69" s="55" t="n">
        <f aca="false">ROUND(AI69*$E$11/12,2)</f>
        <v>0</v>
      </c>
      <c r="AK69" s="55" t="n">
        <f aca="false">MIN($F$11,AI69+AJ69)</f>
        <v>0</v>
      </c>
      <c r="AL69" s="55" t="n">
        <f aca="false">MAX(0,MIN(AI69+AJ69-AK69,$D69-(H69+M69+R69+W69+AB69+AG69)))</f>
        <v>0</v>
      </c>
      <c r="AM69" s="55" t="n">
        <f aca="false">AK69+AL69</f>
        <v>0</v>
      </c>
      <c r="AN69" s="55" t="n">
        <f aca="false">ROUND(MAX(0,AN68+AO68-AR68),2)</f>
        <v>0</v>
      </c>
      <c r="AO69" s="55" t="n">
        <f aca="false">ROUND(AN69*$E$12/12,2)</f>
        <v>0</v>
      </c>
      <c r="AP69" s="55" t="n">
        <f aca="false">MIN($F$12,AN69+AO69)</f>
        <v>0</v>
      </c>
      <c r="AQ69" s="55" t="n">
        <f aca="false">MAX(0,MIN(AN69+AO69-AP69,$D69-(H69+M69+R69+W69+AB69+AG69+AL69)))</f>
        <v>0</v>
      </c>
      <c r="AR69" s="55" t="n">
        <f aca="false">AP69+AQ69</f>
        <v>0</v>
      </c>
      <c r="AS69" s="55" t="n">
        <f aca="false">ROUND(MAX(0,AS68+AT68-AW68),2)</f>
        <v>0</v>
      </c>
      <c r="AT69" s="55" t="n">
        <f aca="false">ROUND(AS69*$E$13/12,2)</f>
        <v>0</v>
      </c>
      <c r="AU69" s="55" t="n">
        <f aca="false">MIN($F$13,AS69+AT69)</f>
        <v>0</v>
      </c>
      <c r="AV69" s="55" t="n">
        <f aca="false">MAX(0,MIN(AS69+AT69-AU69,$D69-(H69+M69+R69+W69+AB69+AG69+AL69+AQ69)))</f>
        <v>0</v>
      </c>
      <c r="AW69" s="55" t="n">
        <f aca="false">AU69+AV69</f>
        <v>0</v>
      </c>
      <c r="AX69" s="55" t="n">
        <f aca="false">ROUND(MAX(0,AX68+AY68-BB68),2)</f>
        <v>0</v>
      </c>
      <c r="AY69" s="55" t="n">
        <f aca="false">ROUND(AX69*$E$14/12,2)</f>
        <v>0</v>
      </c>
      <c r="AZ69" s="55" t="n">
        <f aca="false">MIN($F$14,AX69+AY69)</f>
        <v>0</v>
      </c>
      <c r="BA69" s="55" t="n">
        <f aca="false">MAX(0,MIN(AX69+AY69-AZ69,$D69-(H69+M69+R69+W69+AB69+AG69+AL69+AQ69+AV69)))</f>
        <v>0</v>
      </c>
      <c r="BB69" s="55" t="n">
        <f aca="false">AZ69+BA69</f>
        <v>0</v>
      </c>
      <c r="BC69" s="55" t="n">
        <f aca="false">I69+N69+S69+X69+AC69+AH69+AM69+AR69+AW69+BB69</f>
        <v>0</v>
      </c>
      <c r="BD69" s="55" t="n">
        <f aca="false">ROUND((E69+F69-I69)+(J69+K69-N69)+(O69+P69-S69)+(T69+U69-X69)+(Y69+Z69-AC69)+(AD69+AE69-AH69)+(AI69+AJ69-AM69)+(AN69+AO69-AR69)+(AS69+AT69-AW69)+(AX69+AY69-BB69),2)</f>
        <v>0</v>
      </c>
      <c r="BE69" s="25" t="str">
        <f aca="false">IF(H69&gt;0.005,$C$5,IF(M69&gt;0.005,$C$6,IF(R69&gt;0.005,$C$7,IF(W69&gt;0.005,$C$8,IF(AB69&gt;0.005,$C$9,IF(AG69&gt;0.005,$C$10,IF(AL69&gt;0.005,$C$11,IF(AQ69&gt;0.005,$C$12,IF(AV69&gt;0.005,$C$13,IF(BA69&gt;0.005,$C$14,""))))))))))</f>
        <v/>
      </c>
    </row>
    <row r="70" customFormat="false" ht="15" hidden="false" customHeight="false" outlineLevel="0" collapsed="false">
      <c r="A70" s="24" t="n">
        <v>47</v>
      </c>
      <c r="B70" s="54" t="n">
        <f aca="false">EDATE($C$17,A70-1)</f>
        <v>47727</v>
      </c>
      <c r="C70" s="55" t="n">
        <f aca="false">G70+L70+Q70+V70+AA70+AF70+AK70+AP70+AU70+AZ70</f>
        <v>0</v>
      </c>
      <c r="D70" s="55" t="n">
        <f aca="false">MAX(0,$C$16-C70)</f>
        <v>5822</v>
      </c>
      <c r="E70" s="55" t="n">
        <f aca="false">ROUND(MAX(0,E69+F69-I69),2)</f>
        <v>0</v>
      </c>
      <c r="F70" s="55" t="n">
        <f aca="false">ROUND(E70*$E$5/12,2)</f>
        <v>0</v>
      </c>
      <c r="G70" s="55" t="n">
        <f aca="false">MIN($F$5,E70+F70)</f>
        <v>0</v>
      </c>
      <c r="H70" s="55" t="n">
        <f aca="false">MAX(0,MIN(E70+F70-G70,$D70))</f>
        <v>0</v>
      </c>
      <c r="I70" s="55" t="n">
        <f aca="false">G70+H70</f>
        <v>0</v>
      </c>
      <c r="J70" s="55" t="n">
        <f aca="false">ROUND(MAX(0,J69+K69-N69),2)</f>
        <v>0</v>
      </c>
      <c r="K70" s="55" t="n">
        <f aca="false">ROUND(J70*$E$6/12,2)</f>
        <v>0</v>
      </c>
      <c r="L70" s="55" t="n">
        <f aca="false">MIN($F$6,J70+K70)</f>
        <v>0</v>
      </c>
      <c r="M70" s="55" t="n">
        <f aca="false">MAX(0,MIN(J70+K70-L70,$D70-(H70)))</f>
        <v>0</v>
      </c>
      <c r="N70" s="55" t="n">
        <f aca="false">L70+M70</f>
        <v>0</v>
      </c>
      <c r="O70" s="55" t="n">
        <f aca="false">ROUND(MAX(0,O69+P69-S69),2)</f>
        <v>0</v>
      </c>
      <c r="P70" s="55" t="n">
        <f aca="false">ROUND(O70*$E$7/12,2)</f>
        <v>0</v>
      </c>
      <c r="Q70" s="55" t="n">
        <f aca="false">MIN($F$7,O70+P70)</f>
        <v>0</v>
      </c>
      <c r="R70" s="55" t="n">
        <f aca="false">MAX(0,MIN(O70+P70-Q70,$D70-(H70+M70)))</f>
        <v>0</v>
      </c>
      <c r="S70" s="55" t="n">
        <f aca="false">Q70+R70</f>
        <v>0</v>
      </c>
      <c r="T70" s="55" t="n">
        <f aca="false">ROUND(MAX(0,T69+U69-X69),2)</f>
        <v>0</v>
      </c>
      <c r="U70" s="55" t="n">
        <f aca="false">ROUND(T70*$E$8/12,2)</f>
        <v>0</v>
      </c>
      <c r="V70" s="55" t="n">
        <f aca="false">MIN($F$8,T70+U70)</f>
        <v>0</v>
      </c>
      <c r="W70" s="55" t="n">
        <f aca="false">MAX(0,MIN(T70+U70-V70,$D70-(H70+M70+R70)))</f>
        <v>0</v>
      </c>
      <c r="X70" s="55" t="n">
        <f aca="false">V70+W70</f>
        <v>0</v>
      </c>
      <c r="Y70" s="55" t="n">
        <f aca="false">ROUND(MAX(0,Y69+Z69-AC69),2)</f>
        <v>0</v>
      </c>
      <c r="Z70" s="55" t="n">
        <f aca="false">ROUND(Y70*$E$9/12,2)</f>
        <v>0</v>
      </c>
      <c r="AA70" s="55" t="n">
        <f aca="false">MIN($F$9,Y70+Z70)</f>
        <v>0</v>
      </c>
      <c r="AB70" s="55" t="n">
        <f aca="false">MAX(0,MIN(Y70+Z70-AA70,$D70-(H70+M70+R70+W70)))</f>
        <v>0</v>
      </c>
      <c r="AC70" s="55" t="n">
        <f aca="false">AA70+AB70</f>
        <v>0</v>
      </c>
      <c r="AD70" s="55" t="n">
        <f aca="false">ROUND(MAX(0,AD69+AE69-AH69),2)</f>
        <v>0</v>
      </c>
      <c r="AE70" s="55" t="n">
        <f aca="false">ROUND(AD70*$E$10/12,2)</f>
        <v>0</v>
      </c>
      <c r="AF70" s="55" t="n">
        <f aca="false">MIN($F$10,AD70+AE70)</f>
        <v>0</v>
      </c>
      <c r="AG70" s="55" t="n">
        <f aca="false">MAX(0,MIN(AD70+AE70-AF70,$D70-(H70+M70+R70+W70+AB70)))</f>
        <v>0</v>
      </c>
      <c r="AH70" s="55" t="n">
        <f aca="false">AF70+AG70</f>
        <v>0</v>
      </c>
      <c r="AI70" s="55" t="n">
        <f aca="false">ROUND(MAX(0,AI69+AJ69-AM69),2)</f>
        <v>0</v>
      </c>
      <c r="AJ70" s="55" t="n">
        <f aca="false">ROUND(AI70*$E$11/12,2)</f>
        <v>0</v>
      </c>
      <c r="AK70" s="55" t="n">
        <f aca="false">MIN($F$11,AI70+AJ70)</f>
        <v>0</v>
      </c>
      <c r="AL70" s="55" t="n">
        <f aca="false">MAX(0,MIN(AI70+AJ70-AK70,$D70-(H70+M70+R70+W70+AB70+AG70)))</f>
        <v>0</v>
      </c>
      <c r="AM70" s="55" t="n">
        <f aca="false">AK70+AL70</f>
        <v>0</v>
      </c>
      <c r="AN70" s="55" t="n">
        <f aca="false">ROUND(MAX(0,AN69+AO69-AR69),2)</f>
        <v>0</v>
      </c>
      <c r="AO70" s="55" t="n">
        <f aca="false">ROUND(AN70*$E$12/12,2)</f>
        <v>0</v>
      </c>
      <c r="AP70" s="55" t="n">
        <f aca="false">MIN($F$12,AN70+AO70)</f>
        <v>0</v>
      </c>
      <c r="AQ70" s="55" t="n">
        <f aca="false">MAX(0,MIN(AN70+AO70-AP70,$D70-(H70+M70+R70+W70+AB70+AG70+AL70)))</f>
        <v>0</v>
      </c>
      <c r="AR70" s="55" t="n">
        <f aca="false">AP70+AQ70</f>
        <v>0</v>
      </c>
      <c r="AS70" s="55" t="n">
        <f aca="false">ROUND(MAX(0,AS69+AT69-AW69),2)</f>
        <v>0</v>
      </c>
      <c r="AT70" s="55" t="n">
        <f aca="false">ROUND(AS70*$E$13/12,2)</f>
        <v>0</v>
      </c>
      <c r="AU70" s="55" t="n">
        <f aca="false">MIN($F$13,AS70+AT70)</f>
        <v>0</v>
      </c>
      <c r="AV70" s="55" t="n">
        <f aca="false">MAX(0,MIN(AS70+AT70-AU70,$D70-(H70+M70+R70+W70+AB70+AG70+AL70+AQ70)))</f>
        <v>0</v>
      </c>
      <c r="AW70" s="55" t="n">
        <f aca="false">AU70+AV70</f>
        <v>0</v>
      </c>
      <c r="AX70" s="55" t="n">
        <f aca="false">ROUND(MAX(0,AX69+AY69-BB69),2)</f>
        <v>0</v>
      </c>
      <c r="AY70" s="55" t="n">
        <f aca="false">ROUND(AX70*$E$14/12,2)</f>
        <v>0</v>
      </c>
      <c r="AZ70" s="55" t="n">
        <f aca="false">MIN($F$14,AX70+AY70)</f>
        <v>0</v>
      </c>
      <c r="BA70" s="55" t="n">
        <f aca="false">MAX(0,MIN(AX70+AY70-AZ70,$D70-(H70+M70+R70+W70+AB70+AG70+AL70+AQ70+AV70)))</f>
        <v>0</v>
      </c>
      <c r="BB70" s="55" t="n">
        <f aca="false">AZ70+BA70</f>
        <v>0</v>
      </c>
      <c r="BC70" s="55" t="n">
        <f aca="false">I70+N70+S70+X70+AC70+AH70+AM70+AR70+AW70+BB70</f>
        <v>0</v>
      </c>
      <c r="BD70" s="55" t="n">
        <f aca="false">ROUND((E70+F70-I70)+(J70+K70-N70)+(O70+P70-S70)+(T70+U70-X70)+(Y70+Z70-AC70)+(AD70+AE70-AH70)+(AI70+AJ70-AM70)+(AN70+AO70-AR70)+(AS70+AT70-AW70)+(AX70+AY70-BB70),2)</f>
        <v>0</v>
      </c>
      <c r="BE70" s="25" t="str">
        <f aca="false">IF(H70&gt;0.005,$C$5,IF(M70&gt;0.005,$C$6,IF(R70&gt;0.005,$C$7,IF(W70&gt;0.005,$C$8,IF(AB70&gt;0.005,$C$9,IF(AG70&gt;0.005,$C$10,IF(AL70&gt;0.005,$C$11,IF(AQ70&gt;0.005,$C$12,IF(AV70&gt;0.005,$C$13,IF(BA70&gt;0.005,$C$14,""))))))))))</f>
        <v/>
      </c>
    </row>
    <row r="71" customFormat="false" ht="15" hidden="false" customHeight="false" outlineLevel="0" collapsed="false">
      <c r="A71" s="24" t="n">
        <v>48</v>
      </c>
      <c r="B71" s="54" t="n">
        <f aca="false">EDATE($C$17,A71-1)</f>
        <v>47757</v>
      </c>
      <c r="C71" s="55" t="n">
        <f aca="false">G71+L71+Q71+V71+AA71+AF71+AK71+AP71+AU71+AZ71</f>
        <v>0</v>
      </c>
      <c r="D71" s="55" t="n">
        <f aca="false">MAX(0,$C$16-C71)</f>
        <v>5822</v>
      </c>
      <c r="E71" s="55" t="n">
        <f aca="false">ROUND(MAX(0,E70+F70-I70),2)</f>
        <v>0</v>
      </c>
      <c r="F71" s="55" t="n">
        <f aca="false">ROUND(E71*$E$5/12,2)</f>
        <v>0</v>
      </c>
      <c r="G71" s="55" t="n">
        <f aca="false">MIN($F$5,E71+F71)</f>
        <v>0</v>
      </c>
      <c r="H71" s="55" t="n">
        <f aca="false">MAX(0,MIN(E71+F71-G71,$D71))</f>
        <v>0</v>
      </c>
      <c r="I71" s="55" t="n">
        <f aca="false">G71+H71</f>
        <v>0</v>
      </c>
      <c r="J71" s="55" t="n">
        <f aca="false">ROUND(MAX(0,J70+K70-N70),2)</f>
        <v>0</v>
      </c>
      <c r="K71" s="55" t="n">
        <f aca="false">ROUND(J71*$E$6/12,2)</f>
        <v>0</v>
      </c>
      <c r="L71" s="55" t="n">
        <f aca="false">MIN($F$6,J71+K71)</f>
        <v>0</v>
      </c>
      <c r="M71" s="55" t="n">
        <f aca="false">MAX(0,MIN(J71+K71-L71,$D71-(H71)))</f>
        <v>0</v>
      </c>
      <c r="N71" s="55" t="n">
        <f aca="false">L71+M71</f>
        <v>0</v>
      </c>
      <c r="O71" s="55" t="n">
        <f aca="false">ROUND(MAX(0,O70+P70-S70),2)</f>
        <v>0</v>
      </c>
      <c r="P71" s="55" t="n">
        <f aca="false">ROUND(O71*$E$7/12,2)</f>
        <v>0</v>
      </c>
      <c r="Q71" s="55" t="n">
        <f aca="false">MIN($F$7,O71+P71)</f>
        <v>0</v>
      </c>
      <c r="R71" s="55" t="n">
        <f aca="false">MAX(0,MIN(O71+P71-Q71,$D71-(H71+M71)))</f>
        <v>0</v>
      </c>
      <c r="S71" s="55" t="n">
        <f aca="false">Q71+R71</f>
        <v>0</v>
      </c>
      <c r="T71" s="55" t="n">
        <f aca="false">ROUND(MAX(0,T70+U70-X70),2)</f>
        <v>0</v>
      </c>
      <c r="U71" s="55" t="n">
        <f aca="false">ROUND(T71*$E$8/12,2)</f>
        <v>0</v>
      </c>
      <c r="V71" s="55" t="n">
        <f aca="false">MIN($F$8,T71+U71)</f>
        <v>0</v>
      </c>
      <c r="W71" s="55" t="n">
        <f aca="false">MAX(0,MIN(T71+U71-V71,$D71-(H71+M71+R71)))</f>
        <v>0</v>
      </c>
      <c r="X71" s="55" t="n">
        <f aca="false">V71+W71</f>
        <v>0</v>
      </c>
      <c r="Y71" s="55" t="n">
        <f aca="false">ROUND(MAX(0,Y70+Z70-AC70),2)</f>
        <v>0</v>
      </c>
      <c r="Z71" s="55" t="n">
        <f aca="false">ROUND(Y71*$E$9/12,2)</f>
        <v>0</v>
      </c>
      <c r="AA71" s="55" t="n">
        <f aca="false">MIN($F$9,Y71+Z71)</f>
        <v>0</v>
      </c>
      <c r="AB71" s="55" t="n">
        <f aca="false">MAX(0,MIN(Y71+Z71-AA71,$D71-(H71+M71+R71+W71)))</f>
        <v>0</v>
      </c>
      <c r="AC71" s="55" t="n">
        <f aca="false">AA71+AB71</f>
        <v>0</v>
      </c>
      <c r="AD71" s="55" t="n">
        <f aca="false">ROUND(MAX(0,AD70+AE70-AH70),2)</f>
        <v>0</v>
      </c>
      <c r="AE71" s="55" t="n">
        <f aca="false">ROUND(AD71*$E$10/12,2)</f>
        <v>0</v>
      </c>
      <c r="AF71" s="55" t="n">
        <f aca="false">MIN($F$10,AD71+AE71)</f>
        <v>0</v>
      </c>
      <c r="AG71" s="55" t="n">
        <f aca="false">MAX(0,MIN(AD71+AE71-AF71,$D71-(H71+M71+R71+W71+AB71)))</f>
        <v>0</v>
      </c>
      <c r="AH71" s="55" t="n">
        <f aca="false">AF71+AG71</f>
        <v>0</v>
      </c>
      <c r="AI71" s="55" t="n">
        <f aca="false">ROUND(MAX(0,AI70+AJ70-AM70),2)</f>
        <v>0</v>
      </c>
      <c r="AJ71" s="55" t="n">
        <f aca="false">ROUND(AI71*$E$11/12,2)</f>
        <v>0</v>
      </c>
      <c r="AK71" s="55" t="n">
        <f aca="false">MIN($F$11,AI71+AJ71)</f>
        <v>0</v>
      </c>
      <c r="AL71" s="55" t="n">
        <f aca="false">MAX(0,MIN(AI71+AJ71-AK71,$D71-(H71+M71+R71+W71+AB71+AG71)))</f>
        <v>0</v>
      </c>
      <c r="AM71" s="55" t="n">
        <f aca="false">AK71+AL71</f>
        <v>0</v>
      </c>
      <c r="AN71" s="55" t="n">
        <f aca="false">ROUND(MAX(0,AN70+AO70-AR70),2)</f>
        <v>0</v>
      </c>
      <c r="AO71" s="55" t="n">
        <f aca="false">ROUND(AN71*$E$12/12,2)</f>
        <v>0</v>
      </c>
      <c r="AP71" s="55" t="n">
        <f aca="false">MIN($F$12,AN71+AO71)</f>
        <v>0</v>
      </c>
      <c r="AQ71" s="55" t="n">
        <f aca="false">MAX(0,MIN(AN71+AO71-AP71,$D71-(H71+M71+R71+W71+AB71+AG71+AL71)))</f>
        <v>0</v>
      </c>
      <c r="AR71" s="55" t="n">
        <f aca="false">AP71+AQ71</f>
        <v>0</v>
      </c>
      <c r="AS71" s="55" t="n">
        <f aca="false">ROUND(MAX(0,AS70+AT70-AW70),2)</f>
        <v>0</v>
      </c>
      <c r="AT71" s="55" t="n">
        <f aca="false">ROUND(AS71*$E$13/12,2)</f>
        <v>0</v>
      </c>
      <c r="AU71" s="55" t="n">
        <f aca="false">MIN($F$13,AS71+AT71)</f>
        <v>0</v>
      </c>
      <c r="AV71" s="55" t="n">
        <f aca="false">MAX(0,MIN(AS71+AT71-AU71,$D71-(H71+M71+R71+W71+AB71+AG71+AL71+AQ71)))</f>
        <v>0</v>
      </c>
      <c r="AW71" s="55" t="n">
        <f aca="false">AU71+AV71</f>
        <v>0</v>
      </c>
      <c r="AX71" s="55" t="n">
        <f aca="false">ROUND(MAX(0,AX70+AY70-BB70),2)</f>
        <v>0</v>
      </c>
      <c r="AY71" s="55" t="n">
        <f aca="false">ROUND(AX71*$E$14/12,2)</f>
        <v>0</v>
      </c>
      <c r="AZ71" s="55" t="n">
        <f aca="false">MIN($F$14,AX71+AY71)</f>
        <v>0</v>
      </c>
      <c r="BA71" s="55" t="n">
        <f aca="false">MAX(0,MIN(AX71+AY71-AZ71,$D71-(H71+M71+R71+W71+AB71+AG71+AL71+AQ71+AV71)))</f>
        <v>0</v>
      </c>
      <c r="BB71" s="55" t="n">
        <f aca="false">AZ71+BA71</f>
        <v>0</v>
      </c>
      <c r="BC71" s="55" t="n">
        <f aca="false">I71+N71+S71+X71+AC71+AH71+AM71+AR71+AW71+BB71</f>
        <v>0</v>
      </c>
      <c r="BD71" s="55" t="n">
        <f aca="false">ROUND((E71+F71-I71)+(J71+K71-N71)+(O71+P71-S71)+(T71+U71-X71)+(Y71+Z71-AC71)+(AD71+AE71-AH71)+(AI71+AJ71-AM71)+(AN71+AO71-AR71)+(AS71+AT71-AW71)+(AX71+AY71-BB71),2)</f>
        <v>0</v>
      </c>
      <c r="BE71" s="25" t="str">
        <f aca="false">IF(H71&gt;0.005,$C$5,IF(M71&gt;0.005,$C$6,IF(R71&gt;0.005,$C$7,IF(W71&gt;0.005,$C$8,IF(AB71&gt;0.005,$C$9,IF(AG71&gt;0.005,$C$10,IF(AL71&gt;0.005,$C$11,IF(AQ71&gt;0.005,$C$12,IF(AV71&gt;0.005,$C$13,IF(BA71&gt;0.005,$C$14,""))))))))))</f>
        <v/>
      </c>
    </row>
    <row r="72" customFormat="false" ht="15" hidden="false" customHeight="false" outlineLevel="0" collapsed="false">
      <c r="A72" s="24" t="n">
        <v>49</v>
      </c>
      <c r="B72" s="54" t="n">
        <f aca="false">EDATE($C$17,A72-1)</f>
        <v>47788</v>
      </c>
      <c r="C72" s="55" t="n">
        <f aca="false">G72+L72+Q72+V72+AA72+AF72+AK72+AP72+AU72+AZ72</f>
        <v>0</v>
      </c>
      <c r="D72" s="55" t="n">
        <f aca="false">MAX(0,$C$16-C72)</f>
        <v>5822</v>
      </c>
      <c r="E72" s="55" t="n">
        <f aca="false">ROUND(MAX(0,E71+F71-I71),2)</f>
        <v>0</v>
      </c>
      <c r="F72" s="55" t="n">
        <f aca="false">ROUND(E72*$E$5/12,2)</f>
        <v>0</v>
      </c>
      <c r="G72" s="55" t="n">
        <f aca="false">MIN($F$5,E72+F72)</f>
        <v>0</v>
      </c>
      <c r="H72" s="55" t="n">
        <f aca="false">MAX(0,MIN(E72+F72-G72,$D72))</f>
        <v>0</v>
      </c>
      <c r="I72" s="55" t="n">
        <f aca="false">G72+H72</f>
        <v>0</v>
      </c>
      <c r="J72" s="55" t="n">
        <f aca="false">ROUND(MAX(0,J71+K71-N71),2)</f>
        <v>0</v>
      </c>
      <c r="K72" s="55" t="n">
        <f aca="false">ROUND(J72*$E$6/12,2)</f>
        <v>0</v>
      </c>
      <c r="L72" s="55" t="n">
        <f aca="false">MIN($F$6,J72+K72)</f>
        <v>0</v>
      </c>
      <c r="M72" s="55" t="n">
        <f aca="false">MAX(0,MIN(J72+K72-L72,$D72-(H72)))</f>
        <v>0</v>
      </c>
      <c r="N72" s="55" t="n">
        <f aca="false">L72+M72</f>
        <v>0</v>
      </c>
      <c r="O72" s="55" t="n">
        <f aca="false">ROUND(MAX(0,O71+P71-S71),2)</f>
        <v>0</v>
      </c>
      <c r="P72" s="55" t="n">
        <f aca="false">ROUND(O72*$E$7/12,2)</f>
        <v>0</v>
      </c>
      <c r="Q72" s="55" t="n">
        <f aca="false">MIN($F$7,O72+P72)</f>
        <v>0</v>
      </c>
      <c r="R72" s="55" t="n">
        <f aca="false">MAX(0,MIN(O72+P72-Q72,$D72-(H72+M72)))</f>
        <v>0</v>
      </c>
      <c r="S72" s="55" t="n">
        <f aca="false">Q72+R72</f>
        <v>0</v>
      </c>
      <c r="T72" s="55" t="n">
        <f aca="false">ROUND(MAX(0,T71+U71-X71),2)</f>
        <v>0</v>
      </c>
      <c r="U72" s="55" t="n">
        <f aca="false">ROUND(T72*$E$8/12,2)</f>
        <v>0</v>
      </c>
      <c r="V72" s="55" t="n">
        <f aca="false">MIN($F$8,T72+U72)</f>
        <v>0</v>
      </c>
      <c r="W72" s="55" t="n">
        <f aca="false">MAX(0,MIN(T72+U72-V72,$D72-(H72+M72+R72)))</f>
        <v>0</v>
      </c>
      <c r="X72" s="55" t="n">
        <f aca="false">V72+W72</f>
        <v>0</v>
      </c>
      <c r="Y72" s="55" t="n">
        <f aca="false">ROUND(MAX(0,Y71+Z71-AC71),2)</f>
        <v>0</v>
      </c>
      <c r="Z72" s="55" t="n">
        <f aca="false">ROUND(Y72*$E$9/12,2)</f>
        <v>0</v>
      </c>
      <c r="AA72" s="55" t="n">
        <f aca="false">MIN($F$9,Y72+Z72)</f>
        <v>0</v>
      </c>
      <c r="AB72" s="55" t="n">
        <f aca="false">MAX(0,MIN(Y72+Z72-AA72,$D72-(H72+M72+R72+W72)))</f>
        <v>0</v>
      </c>
      <c r="AC72" s="55" t="n">
        <f aca="false">AA72+AB72</f>
        <v>0</v>
      </c>
      <c r="AD72" s="55" t="n">
        <f aca="false">ROUND(MAX(0,AD71+AE71-AH71),2)</f>
        <v>0</v>
      </c>
      <c r="AE72" s="55" t="n">
        <f aca="false">ROUND(AD72*$E$10/12,2)</f>
        <v>0</v>
      </c>
      <c r="AF72" s="55" t="n">
        <f aca="false">MIN($F$10,AD72+AE72)</f>
        <v>0</v>
      </c>
      <c r="AG72" s="55" t="n">
        <f aca="false">MAX(0,MIN(AD72+AE72-AF72,$D72-(H72+M72+R72+W72+AB72)))</f>
        <v>0</v>
      </c>
      <c r="AH72" s="55" t="n">
        <f aca="false">AF72+AG72</f>
        <v>0</v>
      </c>
      <c r="AI72" s="55" t="n">
        <f aca="false">ROUND(MAX(0,AI71+AJ71-AM71),2)</f>
        <v>0</v>
      </c>
      <c r="AJ72" s="55" t="n">
        <f aca="false">ROUND(AI72*$E$11/12,2)</f>
        <v>0</v>
      </c>
      <c r="AK72" s="55" t="n">
        <f aca="false">MIN($F$11,AI72+AJ72)</f>
        <v>0</v>
      </c>
      <c r="AL72" s="55" t="n">
        <f aca="false">MAX(0,MIN(AI72+AJ72-AK72,$D72-(H72+M72+R72+W72+AB72+AG72)))</f>
        <v>0</v>
      </c>
      <c r="AM72" s="55" t="n">
        <f aca="false">AK72+AL72</f>
        <v>0</v>
      </c>
      <c r="AN72" s="55" t="n">
        <f aca="false">ROUND(MAX(0,AN71+AO71-AR71),2)</f>
        <v>0</v>
      </c>
      <c r="AO72" s="55" t="n">
        <f aca="false">ROUND(AN72*$E$12/12,2)</f>
        <v>0</v>
      </c>
      <c r="AP72" s="55" t="n">
        <f aca="false">MIN($F$12,AN72+AO72)</f>
        <v>0</v>
      </c>
      <c r="AQ72" s="55" t="n">
        <f aca="false">MAX(0,MIN(AN72+AO72-AP72,$D72-(H72+M72+R72+W72+AB72+AG72+AL72)))</f>
        <v>0</v>
      </c>
      <c r="AR72" s="55" t="n">
        <f aca="false">AP72+AQ72</f>
        <v>0</v>
      </c>
      <c r="AS72" s="55" t="n">
        <f aca="false">ROUND(MAX(0,AS71+AT71-AW71),2)</f>
        <v>0</v>
      </c>
      <c r="AT72" s="55" t="n">
        <f aca="false">ROUND(AS72*$E$13/12,2)</f>
        <v>0</v>
      </c>
      <c r="AU72" s="55" t="n">
        <f aca="false">MIN($F$13,AS72+AT72)</f>
        <v>0</v>
      </c>
      <c r="AV72" s="55" t="n">
        <f aca="false">MAX(0,MIN(AS72+AT72-AU72,$D72-(H72+M72+R72+W72+AB72+AG72+AL72+AQ72)))</f>
        <v>0</v>
      </c>
      <c r="AW72" s="55" t="n">
        <f aca="false">AU72+AV72</f>
        <v>0</v>
      </c>
      <c r="AX72" s="55" t="n">
        <f aca="false">ROUND(MAX(0,AX71+AY71-BB71),2)</f>
        <v>0</v>
      </c>
      <c r="AY72" s="55" t="n">
        <f aca="false">ROUND(AX72*$E$14/12,2)</f>
        <v>0</v>
      </c>
      <c r="AZ72" s="55" t="n">
        <f aca="false">MIN($F$14,AX72+AY72)</f>
        <v>0</v>
      </c>
      <c r="BA72" s="55" t="n">
        <f aca="false">MAX(0,MIN(AX72+AY72-AZ72,$D72-(H72+M72+R72+W72+AB72+AG72+AL72+AQ72+AV72)))</f>
        <v>0</v>
      </c>
      <c r="BB72" s="55" t="n">
        <f aca="false">AZ72+BA72</f>
        <v>0</v>
      </c>
      <c r="BC72" s="55" t="n">
        <f aca="false">I72+N72+S72+X72+AC72+AH72+AM72+AR72+AW72+BB72</f>
        <v>0</v>
      </c>
      <c r="BD72" s="55" t="n">
        <f aca="false">ROUND((E72+F72-I72)+(J72+K72-N72)+(O72+P72-S72)+(T72+U72-X72)+(Y72+Z72-AC72)+(AD72+AE72-AH72)+(AI72+AJ72-AM72)+(AN72+AO72-AR72)+(AS72+AT72-AW72)+(AX72+AY72-BB72),2)</f>
        <v>0</v>
      </c>
      <c r="BE72" s="25" t="str">
        <f aca="false">IF(H72&gt;0.005,$C$5,IF(M72&gt;0.005,$C$6,IF(R72&gt;0.005,$C$7,IF(W72&gt;0.005,$C$8,IF(AB72&gt;0.005,$C$9,IF(AG72&gt;0.005,$C$10,IF(AL72&gt;0.005,$C$11,IF(AQ72&gt;0.005,$C$12,IF(AV72&gt;0.005,$C$13,IF(BA72&gt;0.005,$C$14,""))))))))))</f>
        <v/>
      </c>
    </row>
    <row r="73" customFormat="false" ht="15" hidden="false" customHeight="false" outlineLevel="0" collapsed="false">
      <c r="A73" s="24" t="n">
        <v>50</v>
      </c>
      <c r="B73" s="54" t="n">
        <f aca="false">EDATE($C$17,A73-1)</f>
        <v>47818</v>
      </c>
      <c r="C73" s="55" t="n">
        <f aca="false">G73+L73+Q73+V73+AA73+AF73+AK73+AP73+AU73+AZ73</f>
        <v>0</v>
      </c>
      <c r="D73" s="55" t="n">
        <f aca="false">MAX(0,$C$16-C73)</f>
        <v>5822</v>
      </c>
      <c r="E73" s="55" t="n">
        <f aca="false">ROUND(MAX(0,E72+F72-I72),2)</f>
        <v>0</v>
      </c>
      <c r="F73" s="55" t="n">
        <f aca="false">ROUND(E73*$E$5/12,2)</f>
        <v>0</v>
      </c>
      <c r="G73" s="55" t="n">
        <f aca="false">MIN($F$5,E73+F73)</f>
        <v>0</v>
      </c>
      <c r="H73" s="55" t="n">
        <f aca="false">MAX(0,MIN(E73+F73-G73,$D73))</f>
        <v>0</v>
      </c>
      <c r="I73" s="55" t="n">
        <f aca="false">G73+H73</f>
        <v>0</v>
      </c>
      <c r="J73" s="55" t="n">
        <f aca="false">ROUND(MAX(0,J72+K72-N72),2)</f>
        <v>0</v>
      </c>
      <c r="K73" s="55" t="n">
        <f aca="false">ROUND(J73*$E$6/12,2)</f>
        <v>0</v>
      </c>
      <c r="L73" s="55" t="n">
        <f aca="false">MIN($F$6,J73+K73)</f>
        <v>0</v>
      </c>
      <c r="M73" s="55" t="n">
        <f aca="false">MAX(0,MIN(J73+K73-L73,$D73-(H73)))</f>
        <v>0</v>
      </c>
      <c r="N73" s="55" t="n">
        <f aca="false">L73+M73</f>
        <v>0</v>
      </c>
      <c r="O73" s="55" t="n">
        <f aca="false">ROUND(MAX(0,O72+P72-S72),2)</f>
        <v>0</v>
      </c>
      <c r="P73" s="55" t="n">
        <f aca="false">ROUND(O73*$E$7/12,2)</f>
        <v>0</v>
      </c>
      <c r="Q73" s="55" t="n">
        <f aca="false">MIN($F$7,O73+P73)</f>
        <v>0</v>
      </c>
      <c r="R73" s="55" t="n">
        <f aca="false">MAX(0,MIN(O73+P73-Q73,$D73-(H73+M73)))</f>
        <v>0</v>
      </c>
      <c r="S73" s="55" t="n">
        <f aca="false">Q73+R73</f>
        <v>0</v>
      </c>
      <c r="T73" s="55" t="n">
        <f aca="false">ROUND(MAX(0,T72+U72-X72),2)</f>
        <v>0</v>
      </c>
      <c r="U73" s="55" t="n">
        <f aca="false">ROUND(T73*$E$8/12,2)</f>
        <v>0</v>
      </c>
      <c r="V73" s="55" t="n">
        <f aca="false">MIN($F$8,T73+U73)</f>
        <v>0</v>
      </c>
      <c r="W73" s="55" t="n">
        <f aca="false">MAX(0,MIN(T73+U73-V73,$D73-(H73+M73+R73)))</f>
        <v>0</v>
      </c>
      <c r="X73" s="55" t="n">
        <f aca="false">V73+W73</f>
        <v>0</v>
      </c>
      <c r="Y73" s="55" t="n">
        <f aca="false">ROUND(MAX(0,Y72+Z72-AC72),2)</f>
        <v>0</v>
      </c>
      <c r="Z73" s="55" t="n">
        <f aca="false">ROUND(Y73*$E$9/12,2)</f>
        <v>0</v>
      </c>
      <c r="AA73" s="55" t="n">
        <f aca="false">MIN($F$9,Y73+Z73)</f>
        <v>0</v>
      </c>
      <c r="AB73" s="55" t="n">
        <f aca="false">MAX(0,MIN(Y73+Z73-AA73,$D73-(H73+M73+R73+W73)))</f>
        <v>0</v>
      </c>
      <c r="AC73" s="55" t="n">
        <f aca="false">AA73+AB73</f>
        <v>0</v>
      </c>
      <c r="AD73" s="55" t="n">
        <f aca="false">ROUND(MAX(0,AD72+AE72-AH72),2)</f>
        <v>0</v>
      </c>
      <c r="AE73" s="55" t="n">
        <f aca="false">ROUND(AD73*$E$10/12,2)</f>
        <v>0</v>
      </c>
      <c r="AF73" s="55" t="n">
        <f aca="false">MIN($F$10,AD73+AE73)</f>
        <v>0</v>
      </c>
      <c r="AG73" s="55" t="n">
        <f aca="false">MAX(0,MIN(AD73+AE73-AF73,$D73-(H73+M73+R73+W73+AB73)))</f>
        <v>0</v>
      </c>
      <c r="AH73" s="55" t="n">
        <f aca="false">AF73+AG73</f>
        <v>0</v>
      </c>
      <c r="AI73" s="55" t="n">
        <f aca="false">ROUND(MAX(0,AI72+AJ72-AM72),2)</f>
        <v>0</v>
      </c>
      <c r="AJ73" s="55" t="n">
        <f aca="false">ROUND(AI73*$E$11/12,2)</f>
        <v>0</v>
      </c>
      <c r="AK73" s="55" t="n">
        <f aca="false">MIN($F$11,AI73+AJ73)</f>
        <v>0</v>
      </c>
      <c r="AL73" s="55" t="n">
        <f aca="false">MAX(0,MIN(AI73+AJ73-AK73,$D73-(H73+M73+R73+W73+AB73+AG73)))</f>
        <v>0</v>
      </c>
      <c r="AM73" s="55" t="n">
        <f aca="false">AK73+AL73</f>
        <v>0</v>
      </c>
      <c r="AN73" s="55" t="n">
        <f aca="false">ROUND(MAX(0,AN72+AO72-AR72),2)</f>
        <v>0</v>
      </c>
      <c r="AO73" s="55" t="n">
        <f aca="false">ROUND(AN73*$E$12/12,2)</f>
        <v>0</v>
      </c>
      <c r="AP73" s="55" t="n">
        <f aca="false">MIN($F$12,AN73+AO73)</f>
        <v>0</v>
      </c>
      <c r="AQ73" s="55" t="n">
        <f aca="false">MAX(0,MIN(AN73+AO73-AP73,$D73-(H73+M73+R73+W73+AB73+AG73+AL73)))</f>
        <v>0</v>
      </c>
      <c r="AR73" s="55" t="n">
        <f aca="false">AP73+AQ73</f>
        <v>0</v>
      </c>
      <c r="AS73" s="55" t="n">
        <f aca="false">ROUND(MAX(0,AS72+AT72-AW72),2)</f>
        <v>0</v>
      </c>
      <c r="AT73" s="55" t="n">
        <f aca="false">ROUND(AS73*$E$13/12,2)</f>
        <v>0</v>
      </c>
      <c r="AU73" s="55" t="n">
        <f aca="false">MIN($F$13,AS73+AT73)</f>
        <v>0</v>
      </c>
      <c r="AV73" s="55" t="n">
        <f aca="false">MAX(0,MIN(AS73+AT73-AU73,$D73-(H73+M73+R73+W73+AB73+AG73+AL73+AQ73)))</f>
        <v>0</v>
      </c>
      <c r="AW73" s="55" t="n">
        <f aca="false">AU73+AV73</f>
        <v>0</v>
      </c>
      <c r="AX73" s="55" t="n">
        <f aca="false">ROUND(MAX(0,AX72+AY72-BB72),2)</f>
        <v>0</v>
      </c>
      <c r="AY73" s="55" t="n">
        <f aca="false">ROUND(AX73*$E$14/12,2)</f>
        <v>0</v>
      </c>
      <c r="AZ73" s="55" t="n">
        <f aca="false">MIN($F$14,AX73+AY73)</f>
        <v>0</v>
      </c>
      <c r="BA73" s="55" t="n">
        <f aca="false">MAX(0,MIN(AX73+AY73-AZ73,$D73-(H73+M73+R73+W73+AB73+AG73+AL73+AQ73+AV73)))</f>
        <v>0</v>
      </c>
      <c r="BB73" s="55" t="n">
        <f aca="false">AZ73+BA73</f>
        <v>0</v>
      </c>
      <c r="BC73" s="55" t="n">
        <f aca="false">I73+N73+S73+X73+AC73+AH73+AM73+AR73+AW73+BB73</f>
        <v>0</v>
      </c>
      <c r="BD73" s="55" t="n">
        <f aca="false">ROUND((E73+F73-I73)+(J73+K73-N73)+(O73+P73-S73)+(T73+U73-X73)+(Y73+Z73-AC73)+(AD73+AE73-AH73)+(AI73+AJ73-AM73)+(AN73+AO73-AR73)+(AS73+AT73-AW73)+(AX73+AY73-BB73),2)</f>
        <v>0</v>
      </c>
      <c r="BE73" s="25" t="str">
        <f aca="false">IF(H73&gt;0.005,$C$5,IF(M73&gt;0.005,$C$6,IF(R73&gt;0.005,$C$7,IF(W73&gt;0.005,$C$8,IF(AB73&gt;0.005,$C$9,IF(AG73&gt;0.005,$C$10,IF(AL73&gt;0.005,$C$11,IF(AQ73&gt;0.005,$C$12,IF(AV73&gt;0.005,$C$13,IF(BA73&gt;0.005,$C$14,""))))))))))</f>
        <v/>
      </c>
    </row>
    <row r="74" customFormat="false" ht="15" hidden="false" customHeight="false" outlineLevel="0" collapsed="false">
      <c r="A74" s="24" t="n">
        <v>51</v>
      </c>
      <c r="B74" s="54" t="n">
        <f aca="false">EDATE($C$17,A74-1)</f>
        <v>47849</v>
      </c>
      <c r="C74" s="55" t="n">
        <f aca="false">G74+L74+Q74+V74+AA74+AF74+AK74+AP74+AU74+AZ74</f>
        <v>0</v>
      </c>
      <c r="D74" s="55" t="n">
        <f aca="false">MAX(0,$C$16-C74)</f>
        <v>5822</v>
      </c>
      <c r="E74" s="55" t="n">
        <f aca="false">ROUND(MAX(0,E73+F73-I73),2)</f>
        <v>0</v>
      </c>
      <c r="F74" s="55" t="n">
        <f aca="false">ROUND(E74*$E$5/12,2)</f>
        <v>0</v>
      </c>
      <c r="G74" s="55" t="n">
        <f aca="false">MIN($F$5,E74+F74)</f>
        <v>0</v>
      </c>
      <c r="H74" s="55" t="n">
        <f aca="false">MAX(0,MIN(E74+F74-G74,$D74))</f>
        <v>0</v>
      </c>
      <c r="I74" s="55" t="n">
        <f aca="false">G74+H74</f>
        <v>0</v>
      </c>
      <c r="J74" s="55" t="n">
        <f aca="false">ROUND(MAX(0,J73+K73-N73),2)</f>
        <v>0</v>
      </c>
      <c r="K74" s="55" t="n">
        <f aca="false">ROUND(J74*$E$6/12,2)</f>
        <v>0</v>
      </c>
      <c r="L74" s="55" t="n">
        <f aca="false">MIN($F$6,J74+K74)</f>
        <v>0</v>
      </c>
      <c r="M74" s="55" t="n">
        <f aca="false">MAX(0,MIN(J74+K74-L74,$D74-(H74)))</f>
        <v>0</v>
      </c>
      <c r="N74" s="55" t="n">
        <f aca="false">L74+M74</f>
        <v>0</v>
      </c>
      <c r="O74" s="55" t="n">
        <f aca="false">ROUND(MAX(0,O73+P73-S73),2)</f>
        <v>0</v>
      </c>
      <c r="P74" s="55" t="n">
        <f aca="false">ROUND(O74*$E$7/12,2)</f>
        <v>0</v>
      </c>
      <c r="Q74" s="55" t="n">
        <f aca="false">MIN($F$7,O74+P74)</f>
        <v>0</v>
      </c>
      <c r="R74" s="55" t="n">
        <f aca="false">MAX(0,MIN(O74+P74-Q74,$D74-(H74+M74)))</f>
        <v>0</v>
      </c>
      <c r="S74" s="55" t="n">
        <f aca="false">Q74+R74</f>
        <v>0</v>
      </c>
      <c r="T74" s="55" t="n">
        <f aca="false">ROUND(MAX(0,T73+U73-X73),2)</f>
        <v>0</v>
      </c>
      <c r="U74" s="55" t="n">
        <f aca="false">ROUND(T74*$E$8/12,2)</f>
        <v>0</v>
      </c>
      <c r="V74" s="55" t="n">
        <f aca="false">MIN($F$8,T74+U74)</f>
        <v>0</v>
      </c>
      <c r="W74" s="55" t="n">
        <f aca="false">MAX(0,MIN(T74+U74-V74,$D74-(H74+M74+R74)))</f>
        <v>0</v>
      </c>
      <c r="X74" s="55" t="n">
        <f aca="false">V74+W74</f>
        <v>0</v>
      </c>
      <c r="Y74" s="55" t="n">
        <f aca="false">ROUND(MAX(0,Y73+Z73-AC73),2)</f>
        <v>0</v>
      </c>
      <c r="Z74" s="55" t="n">
        <f aca="false">ROUND(Y74*$E$9/12,2)</f>
        <v>0</v>
      </c>
      <c r="AA74" s="55" t="n">
        <f aca="false">MIN($F$9,Y74+Z74)</f>
        <v>0</v>
      </c>
      <c r="AB74" s="55" t="n">
        <f aca="false">MAX(0,MIN(Y74+Z74-AA74,$D74-(H74+M74+R74+W74)))</f>
        <v>0</v>
      </c>
      <c r="AC74" s="55" t="n">
        <f aca="false">AA74+AB74</f>
        <v>0</v>
      </c>
      <c r="AD74" s="55" t="n">
        <f aca="false">ROUND(MAX(0,AD73+AE73-AH73),2)</f>
        <v>0</v>
      </c>
      <c r="AE74" s="55" t="n">
        <f aca="false">ROUND(AD74*$E$10/12,2)</f>
        <v>0</v>
      </c>
      <c r="AF74" s="55" t="n">
        <f aca="false">MIN($F$10,AD74+AE74)</f>
        <v>0</v>
      </c>
      <c r="AG74" s="55" t="n">
        <f aca="false">MAX(0,MIN(AD74+AE74-AF74,$D74-(H74+M74+R74+W74+AB74)))</f>
        <v>0</v>
      </c>
      <c r="AH74" s="55" t="n">
        <f aca="false">AF74+AG74</f>
        <v>0</v>
      </c>
      <c r="AI74" s="55" t="n">
        <f aca="false">ROUND(MAX(0,AI73+AJ73-AM73),2)</f>
        <v>0</v>
      </c>
      <c r="AJ74" s="55" t="n">
        <f aca="false">ROUND(AI74*$E$11/12,2)</f>
        <v>0</v>
      </c>
      <c r="AK74" s="55" t="n">
        <f aca="false">MIN($F$11,AI74+AJ74)</f>
        <v>0</v>
      </c>
      <c r="AL74" s="55" t="n">
        <f aca="false">MAX(0,MIN(AI74+AJ74-AK74,$D74-(H74+M74+R74+W74+AB74+AG74)))</f>
        <v>0</v>
      </c>
      <c r="AM74" s="55" t="n">
        <f aca="false">AK74+AL74</f>
        <v>0</v>
      </c>
      <c r="AN74" s="55" t="n">
        <f aca="false">ROUND(MAX(0,AN73+AO73-AR73),2)</f>
        <v>0</v>
      </c>
      <c r="AO74" s="55" t="n">
        <f aca="false">ROUND(AN74*$E$12/12,2)</f>
        <v>0</v>
      </c>
      <c r="AP74" s="55" t="n">
        <f aca="false">MIN($F$12,AN74+AO74)</f>
        <v>0</v>
      </c>
      <c r="AQ74" s="55" t="n">
        <f aca="false">MAX(0,MIN(AN74+AO74-AP74,$D74-(H74+M74+R74+W74+AB74+AG74+AL74)))</f>
        <v>0</v>
      </c>
      <c r="AR74" s="55" t="n">
        <f aca="false">AP74+AQ74</f>
        <v>0</v>
      </c>
      <c r="AS74" s="55" t="n">
        <f aca="false">ROUND(MAX(0,AS73+AT73-AW73),2)</f>
        <v>0</v>
      </c>
      <c r="AT74" s="55" t="n">
        <f aca="false">ROUND(AS74*$E$13/12,2)</f>
        <v>0</v>
      </c>
      <c r="AU74" s="55" t="n">
        <f aca="false">MIN($F$13,AS74+AT74)</f>
        <v>0</v>
      </c>
      <c r="AV74" s="55" t="n">
        <f aca="false">MAX(0,MIN(AS74+AT74-AU74,$D74-(H74+M74+R74+W74+AB74+AG74+AL74+AQ74)))</f>
        <v>0</v>
      </c>
      <c r="AW74" s="55" t="n">
        <f aca="false">AU74+AV74</f>
        <v>0</v>
      </c>
      <c r="AX74" s="55" t="n">
        <f aca="false">ROUND(MAX(0,AX73+AY73-BB73),2)</f>
        <v>0</v>
      </c>
      <c r="AY74" s="55" t="n">
        <f aca="false">ROUND(AX74*$E$14/12,2)</f>
        <v>0</v>
      </c>
      <c r="AZ74" s="55" t="n">
        <f aca="false">MIN($F$14,AX74+AY74)</f>
        <v>0</v>
      </c>
      <c r="BA74" s="55" t="n">
        <f aca="false">MAX(0,MIN(AX74+AY74-AZ74,$D74-(H74+M74+R74+W74+AB74+AG74+AL74+AQ74+AV74)))</f>
        <v>0</v>
      </c>
      <c r="BB74" s="55" t="n">
        <f aca="false">AZ74+BA74</f>
        <v>0</v>
      </c>
      <c r="BC74" s="55" t="n">
        <f aca="false">I74+N74+S74+X74+AC74+AH74+AM74+AR74+AW74+BB74</f>
        <v>0</v>
      </c>
      <c r="BD74" s="55" t="n">
        <f aca="false">ROUND((E74+F74-I74)+(J74+K74-N74)+(O74+P74-S74)+(T74+U74-X74)+(Y74+Z74-AC74)+(AD74+AE74-AH74)+(AI74+AJ74-AM74)+(AN74+AO74-AR74)+(AS74+AT74-AW74)+(AX74+AY74-BB74),2)</f>
        <v>0</v>
      </c>
      <c r="BE74" s="25" t="str">
        <f aca="false">IF(H74&gt;0.005,$C$5,IF(M74&gt;0.005,$C$6,IF(R74&gt;0.005,$C$7,IF(W74&gt;0.005,$C$8,IF(AB74&gt;0.005,$C$9,IF(AG74&gt;0.005,$C$10,IF(AL74&gt;0.005,$C$11,IF(AQ74&gt;0.005,$C$12,IF(AV74&gt;0.005,$C$13,IF(BA74&gt;0.005,$C$14,""))))))))))</f>
        <v/>
      </c>
    </row>
    <row r="75" customFormat="false" ht="15" hidden="false" customHeight="false" outlineLevel="0" collapsed="false">
      <c r="A75" s="24" t="n">
        <v>52</v>
      </c>
      <c r="B75" s="54" t="n">
        <f aca="false">EDATE($C$17,A75-1)</f>
        <v>47880</v>
      </c>
      <c r="C75" s="55" t="n">
        <f aca="false">G75+L75+Q75+V75+AA75+AF75+AK75+AP75+AU75+AZ75</f>
        <v>0</v>
      </c>
      <c r="D75" s="55" t="n">
        <f aca="false">MAX(0,$C$16-C75)</f>
        <v>5822</v>
      </c>
      <c r="E75" s="55" t="n">
        <f aca="false">ROUND(MAX(0,E74+F74-I74),2)</f>
        <v>0</v>
      </c>
      <c r="F75" s="55" t="n">
        <f aca="false">ROUND(E75*$E$5/12,2)</f>
        <v>0</v>
      </c>
      <c r="G75" s="55" t="n">
        <f aca="false">MIN($F$5,E75+F75)</f>
        <v>0</v>
      </c>
      <c r="H75" s="55" t="n">
        <f aca="false">MAX(0,MIN(E75+F75-G75,$D75))</f>
        <v>0</v>
      </c>
      <c r="I75" s="55" t="n">
        <f aca="false">G75+H75</f>
        <v>0</v>
      </c>
      <c r="J75" s="55" t="n">
        <f aca="false">ROUND(MAX(0,J74+K74-N74),2)</f>
        <v>0</v>
      </c>
      <c r="K75" s="55" t="n">
        <f aca="false">ROUND(J75*$E$6/12,2)</f>
        <v>0</v>
      </c>
      <c r="L75" s="55" t="n">
        <f aca="false">MIN($F$6,J75+K75)</f>
        <v>0</v>
      </c>
      <c r="M75" s="55" t="n">
        <f aca="false">MAX(0,MIN(J75+K75-L75,$D75-(H75)))</f>
        <v>0</v>
      </c>
      <c r="N75" s="55" t="n">
        <f aca="false">L75+M75</f>
        <v>0</v>
      </c>
      <c r="O75" s="55" t="n">
        <f aca="false">ROUND(MAX(0,O74+P74-S74),2)</f>
        <v>0</v>
      </c>
      <c r="P75" s="55" t="n">
        <f aca="false">ROUND(O75*$E$7/12,2)</f>
        <v>0</v>
      </c>
      <c r="Q75" s="55" t="n">
        <f aca="false">MIN($F$7,O75+P75)</f>
        <v>0</v>
      </c>
      <c r="R75" s="55" t="n">
        <f aca="false">MAX(0,MIN(O75+P75-Q75,$D75-(H75+M75)))</f>
        <v>0</v>
      </c>
      <c r="S75" s="55" t="n">
        <f aca="false">Q75+R75</f>
        <v>0</v>
      </c>
      <c r="T75" s="55" t="n">
        <f aca="false">ROUND(MAX(0,T74+U74-X74),2)</f>
        <v>0</v>
      </c>
      <c r="U75" s="55" t="n">
        <f aca="false">ROUND(T75*$E$8/12,2)</f>
        <v>0</v>
      </c>
      <c r="V75" s="55" t="n">
        <f aca="false">MIN($F$8,T75+U75)</f>
        <v>0</v>
      </c>
      <c r="W75" s="55" t="n">
        <f aca="false">MAX(0,MIN(T75+U75-V75,$D75-(H75+M75+R75)))</f>
        <v>0</v>
      </c>
      <c r="X75" s="55" t="n">
        <f aca="false">V75+W75</f>
        <v>0</v>
      </c>
      <c r="Y75" s="55" t="n">
        <f aca="false">ROUND(MAX(0,Y74+Z74-AC74),2)</f>
        <v>0</v>
      </c>
      <c r="Z75" s="55" t="n">
        <f aca="false">ROUND(Y75*$E$9/12,2)</f>
        <v>0</v>
      </c>
      <c r="AA75" s="55" t="n">
        <f aca="false">MIN($F$9,Y75+Z75)</f>
        <v>0</v>
      </c>
      <c r="AB75" s="55" t="n">
        <f aca="false">MAX(0,MIN(Y75+Z75-AA75,$D75-(H75+M75+R75+W75)))</f>
        <v>0</v>
      </c>
      <c r="AC75" s="55" t="n">
        <f aca="false">AA75+AB75</f>
        <v>0</v>
      </c>
      <c r="AD75" s="55" t="n">
        <f aca="false">ROUND(MAX(0,AD74+AE74-AH74),2)</f>
        <v>0</v>
      </c>
      <c r="AE75" s="55" t="n">
        <f aca="false">ROUND(AD75*$E$10/12,2)</f>
        <v>0</v>
      </c>
      <c r="AF75" s="55" t="n">
        <f aca="false">MIN($F$10,AD75+AE75)</f>
        <v>0</v>
      </c>
      <c r="AG75" s="55" t="n">
        <f aca="false">MAX(0,MIN(AD75+AE75-AF75,$D75-(H75+M75+R75+W75+AB75)))</f>
        <v>0</v>
      </c>
      <c r="AH75" s="55" t="n">
        <f aca="false">AF75+AG75</f>
        <v>0</v>
      </c>
      <c r="AI75" s="55" t="n">
        <f aca="false">ROUND(MAX(0,AI74+AJ74-AM74),2)</f>
        <v>0</v>
      </c>
      <c r="AJ75" s="55" t="n">
        <f aca="false">ROUND(AI75*$E$11/12,2)</f>
        <v>0</v>
      </c>
      <c r="AK75" s="55" t="n">
        <f aca="false">MIN($F$11,AI75+AJ75)</f>
        <v>0</v>
      </c>
      <c r="AL75" s="55" t="n">
        <f aca="false">MAX(0,MIN(AI75+AJ75-AK75,$D75-(H75+M75+R75+W75+AB75+AG75)))</f>
        <v>0</v>
      </c>
      <c r="AM75" s="55" t="n">
        <f aca="false">AK75+AL75</f>
        <v>0</v>
      </c>
      <c r="AN75" s="55" t="n">
        <f aca="false">ROUND(MAX(0,AN74+AO74-AR74),2)</f>
        <v>0</v>
      </c>
      <c r="AO75" s="55" t="n">
        <f aca="false">ROUND(AN75*$E$12/12,2)</f>
        <v>0</v>
      </c>
      <c r="AP75" s="55" t="n">
        <f aca="false">MIN($F$12,AN75+AO75)</f>
        <v>0</v>
      </c>
      <c r="AQ75" s="55" t="n">
        <f aca="false">MAX(0,MIN(AN75+AO75-AP75,$D75-(H75+M75+R75+W75+AB75+AG75+AL75)))</f>
        <v>0</v>
      </c>
      <c r="AR75" s="55" t="n">
        <f aca="false">AP75+AQ75</f>
        <v>0</v>
      </c>
      <c r="AS75" s="55" t="n">
        <f aca="false">ROUND(MAX(0,AS74+AT74-AW74),2)</f>
        <v>0</v>
      </c>
      <c r="AT75" s="55" t="n">
        <f aca="false">ROUND(AS75*$E$13/12,2)</f>
        <v>0</v>
      </c>
      <c r="AU75" s="55" t="n">
        <f aca="false">MIN($F$13,AS75+AT75)</f>
        <v>0</v>
      </c>
      <c r="AV75" s="55" t="n">
        <f aca="false">MAX(0,MIN(AS75+AT75-AU75,$D75-(H75+M75+R75+W75+AB75+AG75+AL75+AQ75)))</f>
        <v>0</v>
      </c>
      <c r="AW75" s="55" t="n">
        <f aca="false">AU75+AV75</f>
        <v>0</v>
      </c>
      <c r="AX75" s="55" t="n">
        <f aca="false">ROUND(MAX(0,AX74+AY74-BB74),2)</f>
        <v>0</v>
      </c>
      <c r="AY75" s="55" t="n">
        <f aca="false">ROUND(AX75*$E$14/12,2)</f>
        <v>0</v>
      </c>
      <c r="AZ75" s="55" t="n">
        <f aca="false">MIN($F$14,AX75+AY75)</f>
        <v>0</v>
      </c>
      <c r="BA75" s="55" t="n">
        <f aca="false">MAX(0,MIN(AX75+AY75-AZ75,$D75-(H75+M75+R75+W75+AB75+AG75+AL75+AQ75+AV75)))</f>
        <v>0</v>
      </c>
      <c r="BB75" s="55" t="n">
        <f aca="false">AZ75+BA75</f>
        <v>0</v>
      </c>
      <c r="BC75" s="55" t="n">
        <f aca="false">I75+N75+S75+X75+AC75+AH75+AM75+AR75+AW75+BB75</f>
        <v>0</v>
      </c>
      <c r="BD75" s="55" t="n">
        <f aca="false">ROUND((E75+F75-I75)+(J75+K75-N75)+(O75+P75-S75)+(T75+U75-X75)+(Y75+Z75-AC75)+(AD75+AE75-AH75)+(AI75+AJ75-AM75)+(AN75+AO75-AR75)+(AS75+AT75-AW75)+(AX75+AY75-BB75),2)</f>
        <v>0</v>
      </c>
      <c r="BE75" s="25" t="str">
        <f aca="false">IF(H75&gt;0.005,$C$5,IF(M75&gt;0.005,$C$6,IF(R75&gt;0.005,$C$7,IF(W75&gt;0.005,$C$8,IF(AB75&gt;0.005,$C$9,IF(AG75&gt;0.005,$C$10,IF(AL75&gt;0.005,$C$11,IF(AQ75&gt;0.005,$C$12,IF(AV75&gt;0.005,$C$13,IF(BA75&gt;0.005,$C$14,""))))))))))</f>
        <v/>
      </c>
    </row>
    <row r="76" customFormat="false" ht="15" hidden="false" customHeight="false" outlineLevel="0" collapsed="false">
      <c r="A76" s="24" t="n">
        <v>53</v>
      </c>
      <c r="B76" s="54" t="n">
        <f aca="false">EDATE($C$17,A76-1)</f>
        <v>47908</v>
      </c>
      <c r="C76" s="55" t="n">
        <f aca="false">G76+L76+Q76+V76+AA76+AF76+AK76+AP76+AU76+AZ76</f>
        <v>0</v>
      </c>
      <c r="D76" s="55" t="n">
        <f aca="false">MAX(0,$C$16-C76)</f>
        <v>5822</v>
      </c>
      <c r="E76" s="55" t="n">
        <f aca="false">ROUND(MAX(0,E75+F75-I75),2)</f>
        <v>0</v>
      </c>
      <c r="F76" s="55" t="n">
        <f aca="false">ROUND(E76*$E$5/12,2)</f>
        <v>0</v>
      </c>
      <c r="G76" s="55" t="n">
        <f aca="false">MIN($F$5,E76+F76)</f>
        <v>0</v>
      </c>
      <c r="H76" s="55" t="n">
        <f aca="false">MAX(0,MIN(E76+F76-G76,$D76))</f>
        <v>0</v>
      </c>
      <c r="I76" s="55" t="n">
        <f aca="false">G76+H76</f>
        <v>0</v>
      </c>
      <c r="J76" s="55" t="n">
        <f aca="false">ROUND(MAX(0,J75+K75-N75),2)</f>
        <v>0</v>
      </c>
      <c r="K76" s="55" t="n">
        <f aca="false">ROUND(J76*$E$6/12,2)</f>
        <v>0</v>
      </c>
      <c r="L76" s="55" t="n">
        <f aca="false">MIN($F$6,J76+K76)</f>
        <v>0</v>
      </c>
      <c r="M76" s="55" t="n">
        <f aca="false">MAX(0,MIN(J76+K76-L76,$D76-(H76)))</f>
        <v>0</v>
      </c>
      <c r="N76" s="55" t="n">
        <f aca="false">L76+M76</f>
        <v>0</v>
      </c>
      <c r="O76" s="55" t="n">
        <f aca="false">ROUND(MAX(0,O75+P75-S75),2)</f>
        <v>0</v>
      </c>
      <c r="P76" s="55" t="n">
        <f aca="false">ROUND(O76*$E$7/12,2)</f>
        <v>0</v>
      </c>
      <c r="Q76" s="55" t="n">
        <f aca="false">MIN($F$7,O76+P76)</f>
        <v>0</v>
      </c>
      <c r="R76" s="55" t="n">
        <f aca="false">MAX(0,MIN(O76+P76-Q76,$D76-(H76+M76)))</f>
        <v>0</v>
      </c>
      <c r="S76" s="55" t="n">
        <f aca="false">Q76+R76</f>
        <v>0</v>
      </c>
      <c r="T76" s="55" t="n">
        <f aca="false">ROUND(MAX(0,T75+U75-X75),2)</f>
        <v>0</v>
      </c>
      <c r="U76" s="55" t="n">
        <f aca="false">ROUND(T76*$E$8/12,2)</f>
        <v>0</v>
      </c>
      <c r="V76" s="55" t="n">
        <f aca="false">MIN($F$8,T76+U76)</f>
        <v>0</v>
      </c>
      <c r="W76" s="55" t="n">
        <f aca="false">MAX(0,MIN(T76+U76-V76,$D76-(H76+M76+R76)))</f>
        <v>0</v>
      </c>
      <c r="X76" s="55" t="n">
        <f aca="false">V76+W76</f>
        <v>0</v>
      </c>
      <c r="Y76" s="55" t="n">
        <f aca="false">ROUND(MAX(0,Y75+Z75-AC75),2)</f>
        <v>0</v>
      </c>
      <c r="Z76" s="55" t="n">
        <f aca="false">ROUND(Y76*$E$9/12,2)</f>
        <v>0</v>
      </c>
      <c r="AA76" s="55" t="n">
        <f aca="false">MIN($F$9,Y76+Z76)</f>
        <v>0</v>
      </c>
      <c r="AB76" s="55" t="n">
        <f aca="false">MAX(0,MIN(Y76+Z76-AA76,$D76-(H76+M76+R76+W76)))</f>
        <v>0</v>
      </c>
      <c r="AC76" s="55" t="n">
        <f aca="false">AA76+AB76</f>
        <v>0</v>
      </c>
      <c r="AD76" s="55" t="n">
        <f aca="false">ROUND(MAX(0,AD75+AE75-AH75),2)</f>
        <v>0</v>
      </c>
      <c r="AE76" s="55" t="n">
        <f aca="false">ROUND(AD76*$E$10/12,2)</f>
        <v>0</v>
      </c>
      <c r="AF76" s="55" t="n">
        <f aca="false">MIN($F$10,AD76+AE76)</f>
        <v>0</v>
      </c>
      <c r="AG76" s="55" t="n">
        <f aca="false">MAX(0,MIN(AD76+AE76-AF76,$D76-(H76+M76+R76+W76+AB76)))</f>
        <v>0</v>
      </c>
      <c r="AH76" s="55" t="n">
        <f aca="false">AF76+AG76</f>
        <v>0</v>
      </c>
      <c r="AI76" s="55" t="n">
        <f aca="false">ROUND(MAX(0,AI75+AJ75-AM75),2)</f>
        <v>0</v>
      </c>
      <c r="AJ76" s="55" t="n">
        <f aca="false">ROUND(AI76*$E$11/12,2)</f>
        <v>0</v>
      </c>
      <c r="AK76" s="55" t="n">
        <f aca="false">MIN($F$11,AI76+AJ76)</f>
        <v>0</v>
      </c>
      <c r="AL76" s="55" t="n">
        <f aca="false">MAX(0,MIN(AI76+AJ76-AK76,$D76-(H76+M76+R76+W76+AB76+AG76)))</f>
        <v>0</v>
      </c>
      <c r="AM76" s="55" t="n">
        <f aca="false">AK76+AL76</f>
        <v>0</v>
      </c>
      <c r="AN76" s="55" t="n">
        <f aca="false">ROUND(MAX(0,AN75+AO75-AR75),2)</f>
        <v>0</v>
      </c>
      <c r="AO76" s="55" t="n">
        <f aca="false">ROUND(AN76*$E$12/12,2)</f>
        <v>0</v>
      </c>
      <c r="AP76" s="55" t="n">
        <f aca="false">MIN($F$12,AN76+AO76)</f>
        <v>0</v>
      </c>
      <c r="AQ76" s="55" t="n">
        <f aca="false">MAX(0,MIN(AN76+AO76-AP76,$D76-(H76+M76+R76+W76+AB76+AG76+AL76)))</f>
        <v>0</v>
      </c>
      <c r="AR76" s="55" t="n">
        <f aca="false">AP76+AQ76</f>
        <v>0</v>
      </c>
      <c r="AS76" s="55" t="n">
        <f aca="false">ROUND(MAX(0,AS75+AT75-AW75),2)</f>
        <v>0</v>
      </c>
      <c r="AT76" s="55" t="n">
        <f aca="false">ROUND(AS76*$E$13/12,2)</f>
        <v>0</v>
      </c>
      <c r="AU76" s="55" t="n">
        <f aca="false">MIN($F$13,AS76+AT76)</f>
        <v>0</v>
      </c>
      <c r="AV76" s="55" t="n">
        <f aca="false">MAX(0,MIN(AS76+AT76-AU76,$D76-(H76+M76+R76+W76+AB76+AG76+AL76+AQ76)))</f>
        <v>0</v>
      </c>
      <c r="AW76" s="55" t="n">
        <f aca="false">AU76+AV76</f>
        <v>0</v>
      </c>
      <c r="AX76" s="55" t="n">
        <f aca="false">ROUND(MAX(0,AX75+AY75-BB75),2)</f>
        <v>0</v>
      </c>
      <c r="AY76" s="55" t="n">
        <f aca="false">ROUND(AX76*$E$14/12,2)</f>
        <v>0</v>
      </c>
      <c r="AZ76" s="55" t="n">
        <f aca="false">MIN($F$14,AX76+AY76)</f>
        <v>0</v>
      </c>
      <c r="BA76" s="55" t="n">
        <f aca="false">MAX(0,MIN(AX76+AY76-AZ76,$D76-(H76+M76+R76+W76+AB76+AG76+AL76+AQ76+AV76)))</f>
        <v>0</v>
      </c>
      <c r="BB76" s="55" t="n">
        <f aca="false">AZ76+BA76</f>
        <v>0</v>
      </c>
      <c r="BC76" s="55" t="n">
        <f aca="false">I76+N76+S76+X76+AC76+AH76+AM76+AR76+AW76+BB76</f>
        <v>0</v>
      </c>
      <c r="BD76" s="55" t="n">
        <f aca="false">ROUND((E76+F76-I76)+(J76+K76-N76)+(O76+P76-S76)+(T76+U76-X76)+(Y76+Z76-AC76)+(AD76+AE76-AH76)+(AI76+AJ76-AM76)+(AN76+AO76-AR76)+(AS76+AT76-AW76)+(AX76+AY76-BB76),2)</f>
        <v>0</v>
      </c>
      <c r="BE76" s="25" t="str">
        <f aca="false">IF(H76&gt;0.005,$C$5,IF(M76&gt;0.005,$C$6,IF(R76&gt;0.005,$C$7,IF(W76&gt;0.005,$C$8,IF(AB76&gt;0.005,$C$9,IF(AG76&gt;0.005,$C$10,IF(AL76&gt;0.005,$C$11,IF(AQ76&gt;0.005,$C$12,IF(AV76&gt;0.005,$C$13,IF(BA76&gt;0.005,$C$14,""))))))))))</f>
        <v/>
      </c>
    </row>
    <row r="77" customFormat="false" ht="15" hidden="false" customHeight="false" outlineLevel="0" collapsed="false">
      <c r="A77" s="24" t="n">
        <v>54</v>
      </c>
      <c r="B77" s="54" t="n">
        <f aca="false">EDATE($C$17,A77-1)</f>
        <v>47939</v>
      </c>
      <c r="C77" s="55" t="n">
        <f aca="false">G77+L77+Q77+V77+AA77+AF77+AK77+AP77+AU77+AZ77</f>
        <v>0</v>
      </c>
      <c r="D77" s="55" t="n">
        <f aca="false">MAX(0,$C$16-C77)</f>
        <v>5822</v>
      </c>
      <c r="E77" s="55" t="n">
        <f aca="false">ROUND(MAX(0,E76+F76-I76),2)</f>
        <v>0</v>
      </c>
      <c r="F77" s="55" t="n">
        <f aca="false">ROUND(E77*$E$5/12,2)</f>
        <v>0</v>
      </c>
      <c r="G77" s="55" t="n">
        <f aca="false">MIN($F$5,E77+F77)</f>
        <v>0</v>
      </c>
      <c r="H77" s="55" t="n">
        <f aca="false">MAX(0,MIN(E77+F77-G77,$D77))</f>
        <v>0</v>
      </c>
      <c r="I77" s="55" t="n">
        <f aca="false">G77+H77</f>
        <v>0</v>
      </c>
      <c r="J77" s="55" t="n">
        <f aca="false">ROUND(MAX(0,J76+K76-N76),2)</f>
        <v>0</v>
      </c>
      <c r="K77" s="55" t="n">
        <f aca="false">ROUND(J77*$E$6/12,2)</f>
        <v>0</v>
      </c>
      <c r="L77" s="55" t="n">
        <f aca="false">MIN($F$6,J77+K77)</f>
        <v>0</v>
      </c>
      <c r="M77" s="55" t="n">
        <f aca="false">MAX(0,MIN(J77+K77-L77,$D77-(H77)))</f>
        <v>0</v>
      </c>
      <c r="N77" s="55" t="n">
        <f aca="false">L77+M77</f>
        <v>0</v>
      </c>
      <c r="O77" s="55" t="n">
        <f aca="false">ROUND(MAX(0,O76+P76-S76),2)</f>
        <v>0</v>
      </c>
      <c r="P77" s="55" t="n">
        <f aca="false">ROUND(O77*$E$7/12,2)</f>
        <v>0</v>
      </c>
      <c r="Q77" s="55" t="n">
        <f aca="false">MIN($F$7,O77+P77)</f>
        <v>0</v>
      </c>
      <c r="R77" s="55" t="n">
        <f aca="false">MAX(0,MIN(O77+P77-Q77,$D77-(H77+M77)))</f>
        <v>0</v>
      </c>
      <c r="S77" s="55" t="n">
        <f aca="false">Q77+R77</f>
        <v>0</v>
      </c>
      <c r="T77" s="55" t="n">
        <f aca="false">ROUND(MAX(0,T76+U76-X76),2)</f>
        <v>0</v>
      </c>
      <c r="U77" s="55" t="n">
        <f aca="false">ROUND(T77*$E$8/12,2)</f>
        <v>0</v>
      </c>
      <c r="V77" s="55" t="n">
        <f aca="false">MIN($F$8,T77+U77)</f>
        <v>0</v>
      </c>
      <c r="W77" s="55" t="n">
        <f aca="false">MAX(0,MIN(T77+U77-V77,$D77-(H77+M77+R77)))</f>
        <v>0</v>
      </c>
      <c r="X77" s="55" t="n">
        <f aca="false">V77+W77</f>
        <v>0</v>
      </c>
      <c r="Y77" s="55" t="n">
        <f aca="false">ROUND(MAX(0,Y76+Z76-AC76),2)</f>
        <v>0</v>
      </c>
      <c r="Z77" s="55" t="n">
        <f aca="false">ROUND(Y77*$E$9/12,2)</f>
        <v>0</v>
      </c>
      <c r="AA77" s="55" t="n">
        <f aca="false">MIN($F$9,Y77+Z77)</f>
        <v>0</v>
      </c>
      <c r="AB77" s="55" t="n">
        <f aca="false">MAX(0,MIN(Y77+Z77-AA77,$D77-(H77+M77+R77+W77)))</f>
        <v>0</v>
      </c>
      <c r="AC77" s="55" t="n">
        <f aca="false">AA77+AB77</f>
        <v>0</v>
      </c>
      <c r="AD77" s="55" t="n">
        <f aca="false">ROUND(MAX(0,AD76+AE76-AH76),2)</f>
        <v>0</v>
      </c>
      <c r="AE77" s="55" t="n">
        <f aca="false">ROUND(AD77*$E$10/12,2)</f>
        <v>0</v>
      </c>
      <c r="AF77" s="55" t="n">
        <f aca="false">MIN($F$10,AD77+AE77)</f>
        <v>0</v>
      </c>
      <c r="AG77" s="55" t="n">
        <f aca="false">MAX(0,MIN(AD77+AE77-AF77,$D77-(H77+M77+R77+W77+AB77)))</f>
        <v>0</v>
      </c>
      <c r="AH77" s="55" t="n">
        <f aca="false">AF77+AG77</f>
        <v>0</v>
      </c>
      <c r="AI77" s="55" t="n">
        <f aca="false">ROUND(MAX(0,AI76+AJ76-AM76),2)</f>
        <v>0</v>
      </c>
      <c r="AJ77" s="55" t="n">
        <f aca="false">ROUND(AI77*$E$11/12,2)</f>
        <v>0</v>
      </c>
      <c r="AK77" s="55" t="n">
        <f aca="false">MIN($F$11,AI77+AJ77)</f>
        <v>0</v>
      </c>
      <c r="AL77" s="55" t="n">
        <f aca="false">MAX(0,MIN(AI77+AJ77-AK77,$D77-(H77+M77+R77+W77+AB77+AG77)))</f>
        <v>0</v>
      </c>
      <c r="AM77" s="55" t="n">
        <f aca="false">AK77+AL77</f>
        <v>0</v>
      </c>
      <c r="AN77" s="55" t="n">
        <f aca="false">ROUND(MAX(0,AN76+AO76-AR76),2)</f>
        <v>0</v>
      </c>
      <c r="AO77" s="55" t="n">
        <f aca="false">ROUND(AN77*$E$12/12,2)</f>
        <v>0</v>
      </c>
      <c r="AP77" s="55" t="n">
        <f aca="false">MIN($F$12,AN77+AO77)</f>
        <v>0</v>
      </c>
      <c r="AQ77" s="55" t="n">
        <f aca="false">MAX(0,MIN(AN77+AO77-AP77,$D77-(H77+M77+R77+W77+AB77+AG77+AL77)))</f>
        <v>0</v>
      </c>
      <c r="AR77" s="55" t="n">
        <f aca="false">AP77+AQ77</f>
        <v>0</v>
      </c>
      <c r="AS77" s="55" t="n">
        <f aca="false">ROUND(MAX(0,AS76+AT76-AW76),2)</f>
        <v>0</v>
      </c>
      <c r="AT77" s="55" t="n">
        <f aca="false">ROUND(AS77*$E$13/12,2)</f>
        <v>0</v>
      </c>
      <c r="AU77" s="55" t="n">
        <f aca="false">MIN($F$13,AS77+AT77)</f>
        <v>0</v>
      </c>
      <c r="AV77" s="55" t="n">
        <f aca="false">MAX(0,MIN(AS77+AT77-AU77,$D77-(H77+M77+R77+W77+AB77+AG77+AL77+AQ77)))</f>
        <v>0</v>
      </c>
      <c r="AW77" s="55" t="n">
        <f aca="false">AU77+AV77</f>
        <v>0</v>
      </c>
      <c r="AX77" s="55" t="n">
        <f aca="false">ROUND(MAX(0,AX76+AY76-BB76),2)</f>
        <v>0</v>
      </c>
      <c r="AY77" s="55" t="n">
        <f aca="false">ROUND(AX77*$E$14/12,2)</f>
        <v>0</v>
      </c>
      <c r="AZ77" s="55" t="n">
        <f aca="false">MIN($F$14,AX77+AY77)</f>
        <v>0</v>
      </c>
      <c r="BA77" s="55" t="n">
        <f aca="false">MAX(0,MIN(AX77+AY77-AZ77,$D77-(H77+M77+R77+W77+AB77+AG77+AL77+AQ77+AV77)))</f>
        <v>0</v>
      </c>
      <c r="BB77" s="55" t="n">
        <f aca="false">AZ77+BA77</f>
        <v>0</v>
      </c>
      <c r="BC77" s="55" t="n">
        <f aca="false">I77+N77+S77+X77+AC77+AH77+AM77+AR77+AW77+BB77</f>
        <v>0</v>
      </c>
      <c r="BD77" s="55" t="n">
        <f aca="false">ROUND((E77+F77-I77)+(J77+K77-N77)+(O77+P77-S77)+(T77+U77-X77)+(Y77+Z77-AC77)+(AD77+AE77-AH77)+(AI77+AJ77-AM77)+(AN77+AO77-AR77)+(AS77+AT77-AW77)+(AX77+AY77-BB77),2)</f>
        <v>0</v>
      </c>
      <c r="BE77" s="25" t="str">
        <f aca="false">IF(H77&gt;0.005,$C$5,IF(M77&gt;0.005,$C$6,IF(R77&gt;0.005,$C$7,IF(W77&gt;0.005,$C$8,IF(AB77&gt;0.005,$C$9,IF(AG77&gt;0.005,$C$10,IF(AL77&gt;0.005,$C$11,IF(AQ77&gt;0.005,$C$12,IF(AV77&gt;0.005,$C$13,IF(BA77&gt;0.005,$C$14,""))))))))))</f>
        <v/>
      </c>
    </row>
    <row r="78" customFormat="false" ht="15" hidden="false" customHeight="false" outlineLevel="0" collapsed="false">
      <c r="A78" s="24" t="n">
        <v>55</v>
      </c>
      <c r="B78" s="54" t="n">
        <f aca="false">EDATE($C$17,A78-1)</f>
        <v>47969</v>
      </c>
      <c r="C78" s="55" t="n">
        <f aca="false">G78+L78+Q78+V78+AA78+AF78+AK78+AP78+AU78+AZ78</f>
        <v>0</v>
      </c>
      <c r="D78" s="55" t="n">
        <f aca="false">MAX(0,$C$16-C78)</f>
        <v>5822</v>
      </c>
      <c r="E78" s="55" t="n">
        <f aca="false">ROUND(MAX(0,E77+F77-I77),2)</f>
        <v>0</v>
      </c>
      <c r="F78" s="55" t="n">
        <f aca="false">ROUND(E78*$E$5/12,2)</f>
        <v>0</v>
      </c>
      <c r="G78" s="55" t="n">
        <f aca="false">MIN($F$5,E78+F78)</f>
        <v>0</v>
      </c>
      <c r="H78" s="55" t="n">
        <f aca="false">MAX(0,MIN(E78+F78-G78,$D78))</f>
        <v>0</v>
      </c>
      <c r="I78" s="55" t="n">
        <f aca="false">G78+H78</f>
        <v>0</v>
      </c>
      <c r="J78" s="55" t="n">
        <f aca="false">ROUND(MAX(0,J77+K77-N77),2)</f>
        <v>0</v>
      </c>
      <c r="K78" s="55" t="n">
        <f aca="false">ROUND(J78*$E$6/12,2)</f>
        <v>0</v>
      </c>
      <c r="L78" s="55" t="n">
        <f aca="false">MIN($F$6,J78+K78)</f>
        <v>0</v>
      </c>
      <c r="M78" s="55" t="n">
        <f aca="false">MAX(0,MIN(J78+K78-L78,$D78-(H78)))</f>
        <v>0</v>
      </c>
      <c r="N78" s="55" t="n">
        <f aca="false">L78+M78</f>
        <v>0</v>
      </c>
      <c r="O78" s="55" t="n">
        <f aca="false">ROUND(MAX(0,O77+P77-S77),2)</f>
        <v>0</v>
      </c>
      <c r="P78" s="55" t="n">
        <f aca="false">ROUND(O78*$E$7/12,2)</f>
        <v>0</v>
      </c>
      <c r="Q78" s="55" t="n">
        <f aca="false">MIN($F$7,O78+P78)</f>
        <v>0</v>
      </c>
      <c r="R78" s="55" t="n">
        <f aca="false">MAX(0,MIN(O78+P78-Q78,$D78-(H78+M78)))</f>
        <v>0</v>
      </c>
      <c r="S78" s="55" t="n">
        <f aca="false">Q78+R78</f>
        <v>0</v>
      </c>
      <c r="T78" s="55" t="n">
        <f aca="false">ROUND(MAX(0,T77+U77-X77),2)</f>
        <v>0</v>
      </c>
      <c r="U78" s="55" t="n">
        <f aca="false">ROUND(T78*$E$8/12,2)</f>
        <v>0</v>
      </c>
      <c r="V78" s="55" t="n">
        <f aca="false">MIN($F$8,T78+U78)</f>
        <v>0</v>
      </c>
      <c r="W78" s="55" t="n">
        <f aca="false">MAX(0,MIN(T78+U78-V78,$D78-(H78+M78+R78)))</f>
        <v>0</v>
      </c>
      <c r="X78" s="55" t="n">
        <f aca="false">V78+W78</f>
        <v>0</v>
      </c>
      <c r="Y78" s="55" t="n">
        <f aca="false">ROUND(MAX(0,Y77+Z77-AC77),2)</f>
        <v>0</v>
      </c>
      <c r="Z78" s="55" t="n">
        <f aca="false">ROUND(Y78*$E$9/12,2)</f>
        <v>0</v>
      </c>
      <c r="AA78" s="55" t="n">
        <f aca="false">MIN($F$9,Y78+Z78)</f>
        <v>0</v>
      </c>
      <c r="AB78" s="55" t="n">
        <f aca="false">MAX(0,MIN(Y78+Z78-AA78,$D78-(H78+M78+R78+W78)))</f>
        <v>0</v>
      </c>
      <c r="AC78" s="55" t="n">
        <f aca="false">AA78+AB78</f>
        <v>0</v>
      </c>
      <c r="AD78" s="55" t="n">
        <f aca="false">ROUND(MAX(0,AD77+AE77-AH77),2)</f>
        <v>0</v>
      </c>
      <c r="AE78" s="55" t="n">
        <f aca="false">ROUND(AD78*$E$10/12,2)</f>
        <v>0</v>
      </c>
      <c r="AF78" s="55" t="n">
        <f aca="false">MIN($F$10,AD78+AE78)</f>
        <v>0</v>
      </c>
      <c r="AG78" s="55" t="n">
        <f aca="false">MAX(0,MIN(AD78+AE78-AF78,$D78-(H78+M78+R78+W78+AB78)))</f>
        <v>0</v>
      </c>
      <c r="AH78" s="55" t="n">
        <f aca="false">AF78+AG78</f>
        <v>0</v>
      </c>
      <c r="AI78" s="55" t="n">
        <f aca="false">ROUND(MAX(0,AI77+AJ77-AM77),2)</f>
        <v>0</v>
      </c>
      <c r="AJ78" s="55" t="n">
        <f aca="false">ROUND(AI78*$E$11/12,2)</f>
        <v>0</v>
      </c>
      <c r="AK78" s="55" t="n">
        <f aca="false">MIN($F$11,AI78+AJ78)</f>
        <v>0</v>
      </c>
      <c r="AL78" s="55" t="n">
        <f aca="false">MAX(0,MIN(AI78+AJ78-AK78,$D78-(H78+M78+R78+W78+AB78+AG78)))</f>
        <v>0</v>
      </c>
      <c r="AM78" s="55" t="n">
        <f aca="false">AK78+AL78</f>
        <v>0</v>
      </c>
      <c r="AN78" s="55" t="n">
        <f aca="false">ROUND(MAX(0,AN77+AO77-AR77),2)</f>
        <v>0</v>
      </c>
      <c r="AO78" s="55" t="n">
        <f aca="false">ROUND(AN78*$E$12/12,2)</f>
        <v>0</v>
      </c>
      <c r="AP78" s="55" t="n">
        <f aca="false">MIN($F$12,AN78+AO78)</f>
        <v>0</v>
      </c>
      <c r="AQ78" s="55" t="n">
        <f aca="false">MAX(0,MIN(AN78+AO78-AP78,$D78-(H78+M78+R78+W78+AB78+AG78+AL78)))</f>
        <v>0</v>
      </c>
      <c r="AR78" s="55" t="n">
        <f aca="false">AP78+AQ78</f>
        <v>0</v>
      </c>
      <c r="AS78" s="55" t="n">
        <f aca="false">ROUND(MAX(0,AS77+AT77-AW77),2)</f>
        <v>0</v>
      </c>
      <c r="AT78" s="55" t="n">
        <f aca="false">ROUND(AS78*$E$13/12,2)</f>
        <v>0</v>
      </c>
      <c r="AU78" s="55" t="n">
        <f aca="false">MIN($F$13,AS78+AT78)</f>
        <v>0</v>
      </c>
      <c r="AV78" s="55" t="n">
        <f aca="false">MAX(0,MIN(AS78+AT78-AU78,$D78-(H78+M78+R78+W78+AB78+AG78+AL78+AQ78)))</f>
        <v>0</v>
      </c>
      <c r="AW78" s="55" t="n">
        <f aca="false">AU78+AV78</f>
        <v>0</v>
      </c>
      <c r="AX78" s="55" t="n">
        <f aca="false">ROUND(MAX(0,AX77+AY77-BB77),2)</f>
        <v>0</v>
      </c>
      <c r="AY78" s="55" t="n">
        <f aca="false">ROUND(AX78*$E$14/12,2)</f>
        <v>0</v>
      </c>
      <c r="AZ78" s="55" t="n">
        <f aca="false">MIN($F$14,AX78+AY78)</f>
        <v>0</v>
      </c>
      <c r="BA78" s="55" t="n">
        <f aca="false">MAX(0,MIN(AX78+AY78-AZ78,$D78-(H78+M78+R78+W78+AB78+AG78+AL78+AQ78+AV78)))</f>
        <v>0</v>
      </c>
      <c r="BB78" s="55" t="n">
        <f aca="false">AZ78+BA78</f>
        <v>0</v>
      </c>
      <c r="BC78" s="55" t="n">
        <f aca="false">I78+N78+S78+X78+AC78+AH78+AM78+AR78+AW78+BB78</f>
        <v>0</v>
      </c>
      <c r="BD78" s="55" t="n">
        <f aca="false">ROUND((E78+F78-I78)+(J78+K78-N78)+(O78+P78-S78)+(T78+U78-X78)+(Y78+Z78-AC78)+(AD78+AE78-AH78)+(AI78+AJ78-AM78)+(AN78+AO78-AR78)+(AS78+AT78-AW78)+(AX78+AY78-BB78),2)</f>
        <v>0</v>
      </c>
      <c r="BE78" s="25" t="str">
        <f aca="false">IF(H78&gt;0.005,$C$5,IF(M78&gt;0.005,$C$6,IF(R78&gt;0.005,$C$7,IF(W78&gt;0.005,$C$8,IF(AB78&gt;0.005,$C$9,IF(AG78&gt;0.005,$C$10,IF(AL78&gt;0.005,$C$11,IF(AQ78&gt;0.005,$C$12,IF(AV78&gt;0.005,$C$13,IF(BA78&gt;0.005,$C$14,""))))))))))</f>
        <v/>
      </c>
    </row>
    <row r="79" customFormat="false" ht="15" hidden="false" customHeight="false" outlineLevel="0" collapsed="false">
      <c r="A79" s="24" t="n">
        <v>56</v>
      </c>
      <c r="B79" s="54" t="n">
        <f aca="false">EDATE($C$17,A79-1)</f>
        <v>48000</v>
      </c>
      <c r="C79" s="55" t="n">
        <f aca="false">G79+L79+Q79+V79+AA79+AF79+AK79+AP79+AU79+AZ79</f>
        <v>0</v>
      </c>
      <c r="D79" s="55" t="n">
        <f aca="false">MAX(0,$C$16-C79)</f>
        <v>5822</v>
      </c>
      <c r="E79" s="55" t="n">
        <f aca="false">ROUND(MAX(0,E78+F78-I78),2)</f>
        <v>0</v>
      </c>
      <c r="F79" s="55" t="n">
        <f aca="false">ROUND(E79*$E$5/12,2)</f>
        <v>0</v>
      </c>
      <c r="G79" s="55" t="n">
        <f aca="false">MIN($F$5,E79+F79)</f>
        <v>0</v>
      </c>
      <c r="H79" s="55" t="n">
        <f aca="false">MAX(0,MIN(E79+F79-G79,$D79))</f>
        <v>0</v>
      </c>
      <c r="I79" s="55" t="n">
        <f aca="false">G79+H79</f>
        <v>0</v>
      </c>
      <c r="J79" s="55" t="n">
        <f aca="false">ROUND(MAX(0,J78+K78-N78),2)</f>
        <v>0</v>
      </c>
      <c r="K79" s="55" t="n">
        <f aca="false">ROUND(J79*$E$6/12,2)</f>
        <v>0</v>
      </c>
      <c r="L79" s="55" t="n">
        <f aca="false">MIN($F$6,J79+K79)</f>
        <v>0</v>
      </c>
      <c r="M79" s="55" t="n">
        <f aca="false">MAX(0,MIN(J79+K79-L79,$D79-(H79)))</f>
        <v>0</v>
      </c>
      <c r="N79" s="55" t="n">
        <f aca="false">L79+M79</f>
        <v>0</v>
      </c>
      <c r="O79" s="55" t="n">
        <f aca="false">ROUND(MAX(0,O78+P78-S78),2)</f>
        <v>0</v>
      </c>
      <c r="P79" s="55" t="n">
        <f aca="false">ROUND(O79*$E$7/12,2)</f>
        <v>0</v>
      </c>
      <c r="Q79" s="55" t="n">
        <f aca="false">MIN($F$7,O79+P79)</f>
        <v>0</v>
      </c>
      <c r="R79" s="55" t="n">
        <f aca="false">MAX(0,MIN(O79+P79-Q79,$D79-(H79+M79)))</f>
        <v>0</v>
      </c>
      <c r="S79" s="55" t="n">
        <f aca="false">Q79+R79</f>
        <v>0</v>
      </c>
      <c r="T79" s="55" t="n">
        <f aca="false">ROUND(MAX(0,T78+U78-X78),2)</f>
        <v>0</v>
      </c>
      <c r="U79" s="55" t="n">
        <f aca="false">ROUND(T79*$E$8/12,2)</f>
        <v>0</v>
      </c>
      <c r="V79" s="55" t="n">
        <f aca="false">MIN($F$8,T79+U79)</f>
        <v>0</v>
      </c>
      <c r="W79" s="55" t="n">
        <f aca="false">MAX(0,MIN(T79+U79-V79,$D79-(H79+M79+R79)))</f>
        <v>0</v>
      </c>
      <c r="X79" s="55" t="n">
        <f aca="false">V79+W79</f>
        <v>0</v>
      </c>
      <c r="Y79" s="55" t="n">
        <f aca="false">ROUND(MAX(0,Y78+Z78-AC78),2)</f>
        <v>0</v>
      </c>
      <c r="Z79" s="55" t="n">
        <f aca="false">ROUND(Y79*$E$9/12,2)</f>
        <v>0</v>
      </c>
      <c r="AA79" s="55" t="n">
        <f aca="false">MIN($F$9,Y79+Z79)</f>
        <v>0</v>
      </c>
      <c r="AB79" s="55" t="n">
        <f aca="false">MAX(0,MIN(Y79+Z79-AA79,$D79-(H79+M79+R79+W79)))</f>
        <v>0</v>
      </c>
      <c r="AC79" s="55" t="n">
        <f aca="false">AA79+AB79</f>
        <v>0</v>
      </c>
      <c r="AD79" s="55" t="n">
        <f aca="false">ROUND(MAX(0,AD78+AE78-AH78),2)</f>
        <v>0</v>
      </c>
      <c r="AE79" s="55" t="n">
        <f aca="false">ROUND(AD79*$E$10/12,2)</f>
        <v>0</v>
      </c>
      <c r="AF79" s="55" t="n">
        <f aca="false">MIN($F$10,AD79+AE79)</f>
        <v>0</v>
      </c>
      <c r="AG79" s="55" t="n">
        <f aca="false">MAX(0,MIN(AD79+AE79-AF79,$D79-(H79+M79+R79+W79+AB79)))</f>
        <v>0</v>
      </c>
      <c r="AH79" s="55" t="n">
        <f aca="false">AF79+AG79</f>
        <v>0</v>
      </c>
      <c r="AI79" s="55" t="n">
        <f aca="false">ROUND(MAX(0,AI78+AJ78-AM78),2)</f>
        <v>0</v>
      </c>
      <c r="AJ79" s="55" t="n">
        <f aca="false">ROUND(AI79*$E$11/12,2)</f>
        <v>0</v>
      </c>
      <c r="AK79" s="55" t="n">
        <f aca="false">MIN($F$11,AI79+AJ79)</f>
        <v>0</v>
      </c>
      <c r="AL79" s="55" t="n">
        <f aca="false">MAX(0,MIN(AI79+AJ79-AK79,$D79-(H79+M79+R79+W79+AB79+AG79)))</f>
        <v>0</v>
      </c>
      <c r="AM79" s="55" t="n">
        <f aca="false">AK79+AL79</f>
        <v>0</v>
      </c>
      <c r="AN79" s="55" t="n">
        <f aca="false">ROUND(MAX(0,AN78+AO78-AR78),2)</f>
        <v>0</v>
      </c>
      <c r="AO79" s="55" t="n">
        <f aca="false">ROUND(AN79*$E$12/12,2)</f>
        <v>0</v>
      </c>
      <c r="AP79" s="55" t="n">
        <f aca="false">MIN($F$12,AN79+AO79)</f>
        <v>0</v>
      </c>
      <c r="AQ79" s="55" t="n">
        <f aca="false">MAX(0,MIN(AN79+AO79-AP79,$D79-(H79+M79+R79+W79+AB79+AG79+AL79)))</f>
        <v>0</v>
      </c>
      <c r="AR79" s="55" t="n">
        <f aca="false">AP79+AQ79</f>
        <v>0</v>
      </c>
      <c r="AS79" s="55" t="n">
        <f aca="false">ROUND(MAX(0,AS78+AT78-AW78),2)</f>
        <v>0</v>
      </c>
      <c r="AT79" s="55" t="n">
        <f aca="false">ROUND(AS79*$E$13/12,2)</f>
        <v>0</v>
      </c>
      <c r="AU79" s="55" t="n">
        <f aca="false">MIN($F$13,AS79+AT79)</f>
        <v>0</v>
      </c>
      <c r="AV79" s="55" t="n">
        <f aca="false">MAX(0,MIN(AS79+AT79-AU79,$D79-(H79+M79+R79+W79+AB79+AG79+AL79+AQ79)))</f>
        <v>0</v>
      </c>
      <c r="AW79" s="55" t="n">
        <f aca="false">AU79+AV79</f>
        <v>0</v>
      </c>
      <c r="AX79" s="55" t="n">
        <f aca="false">ROUND(MAX(0,AX78+AY78-BB78),2)</f>
        <v>0</v>
      </c>
      <c r="AY79" s="55" t="n">
        <f aca="false">ROUND(AX79*$E$14/12,2)</f>
        <v>0</v>
      </c>
      <c r="AZ79" s="55" t="n">
        <f aca="false">MIN($F$14,AX79+AY79)</f>
        <v>0</v>
      </c>
      <c r="BA79" s="55" t="n">
        <f aca="false">MAX(0,MIN(AX79+AY79-AZ79,$D79-(H79+M79+R79+W79+AB79+AG79+AL79+AQ79+AV79)))</f>
        <v>0</v>
      </c>
      <c r="BB79" s="55" t="n">
        <f aca="false">AZ79+BA79</f>
        <v>0</v>
      </c>
      <c r="BC79" s="55" t="n">
        <f aca="false">I79+N79+S79+X79+AC79+AH79+AM79+AR79+AW79+BB79</f>
        <v>0</v>
      </c>
      <c r="BD79" s="55" t="n">
        <f aca="false">ROUND((E79+F79-I79)+(J79+K79-N79)+(O79+P79-S79)+(T79+U79-X79)+(Y79+Z79-AC79)+(AD79+AE79-AH79)+(AI79+AJ79-AM79)+(AN79+AO79-AR79)+(AS79+AT79-AW79)+(AX79+AY79-BB79),2)</f>
        <v>0</v>
      </c>
      <c r="BE79" s="25" t="str">
        <f aca="false">IF(H79&gt;0.005,$C$5,IF(M79&gt;0.005,$C$6,IF(R79&gt;0.005,$C$7,IF(W79&gt;0.005,$C$8,IF(AB79&gt;0.005,$C$9,IF(AG79&gt;0.005,$C$10,IF(AL79&gt;0.005,$C$11,IF(AQ79&gt;0.005,$C$12,IF(AV79&gt;0.005,$C$13,IF(BA79&gt;0.005,$C$14,""))))))))))</f>
        <v/>
      </c>
    </row>
    <row r="80" customFormat="false" ht="15" hidden="false" customHeight="false" outlineLevel="0" collapsed="false">
      <c r="A80" s="24" t="n">
        <v>57</v>
      </c>
      <c r="B80" s="54" t="n">
        <f aca="false">EDATE($C$17,A80-1)</f>
        <v>48030</v>
      </c>
      <c r="C80" s="55" t="n">
        <f aca="false">G80+L80+Q80+V80+AA80+AF80+AK80+AP80+AU80+AZ80</f>
        <v>0</v>
      </c>
      <c r="D80" s="55" t="n">
        <f aca="false">MAX(0,$C$16-C80)</f>
        <v>5822</v>
      </c>
      <c r="E80" s="55" t="n">
        <f aca="false">ROUND(MAX(0,E79+F79-I79),2)</f>
        <v>0</v>
      </c>
      <c r="F80" s="55" t="n">
        <f aca="false">ROUND(E80*$E$5/12,2)</f>
        <v>0</v>
      </c>
      <c r="G80" s="55" t="n">
        <f aca="false">MIN($F$5,E80+F80)</f>
        <v>0</v>
      </c>
      <c r="H80" s="55" t="n">
        <f aca="false">MAX(0,MIN(E80+F80-G80,$D80))</f>
        <v>0</v>
      </c>
      <c r="I80" s="55" t="n">
        <f aca="false">G80+H80</f>
        <v>0</v>
      </c>
      <c r="J80" s="55" t="n">
        <f aca="false">ROUND(MAX(0,J79+K79-N79),2)</f>
        <v>0</v>
      </c>
      <c r="K80" s="55" t="n">
        <f aca="false">ROUND(J80*$E$6/12,2)</f>
        <v>0</v>
      </c>
      <c r="L80" s="55" t="n">
        <f aca="false">MIN($F$6,J80+K80)</f>
        <v>0</v>
      </c>
      <c r="M80" s="55" t="n">
        <f aca="false">MAX(0,MIN(J80+K80-L80,$D80-(H80)))</f>
        <v>0</v>
      </c>
      <c r="N80" s="55" t="n">
        <f aca="false">L80+M80</f>
        <v>0</v>
      </c>
      <c r="O80" s="55" t="n">
        <f aca="false">ROUND(MAX(0,O79+P79-S79),2)</f>
        <v>0</v>
      </c>
      <c r="P80" s="55" t="n">
        <f aca="false">ROUND(O80*$E$7/12,2)</f>
        <v>0</v>
      </c>
      <c r="Q80" s="55" t="n">
        <f aca="false">MIN($F$7,O80+P80)</f>
        <v>0</v>
      </c>
      <c r="R80" s="55" t="n">
        <f aca="false">MAX(0,MIN(O80+P80-Q80,$D80-(H80+M80)))</f>
        <v>0</v>
      </c>
      <c r="S80" s="55" t="n">
        <f aca="false">Q80+R80</f>
        <v>0</v>
      </c>
      <c r="T80" s="55" t="n">
        <f aca="false">ROUND(MAX(0,T79+U79-X79),2)</f>
        <v>0</v>
      </c>
      <c r="U80" s="55" t="n">
        <f aca="false">ROUND(T80*$E$8/12,2)</f>
        <v>0</v>
      </c>
      <c r="V80" s="55" t="n">
        <f aca="false">MIN($F$8,T80+U80)</f>
        <v>0</v>
      </c>
      <c r="W80" s="55" t="n">
        <f aca="false">MAX(0,MIN(T80+U80-V80,$D80-(H80+M80+R80)))</f>
        <v>0</v>
      </c>
      <c r="X80" s="55" t="n">
        <f aca="false">V80+W80</f>
        <v>0</v>
      </c>
      <c r="Y80" s="55" t="n">
        <f aca="false">ROUND(MAX(0,Y79+Z79-AC79),2)</f>
        <v>0</v>
      </c>
      <c r="Z80" s="55" t="n">
        <f aca="false">ROUND(Y80*$E$9/12,2)</f>
        <v>0</v>
      </c>
      <c r="AA80" s="55" t="n">
        <f aca="false">MIN($F$9,Y80+Z80)</f>
        <v>0</v>
      </c>
      <c r="AB80" s="55" t="n">
        <f aca="false">MAX(0,MIN(Y80+Z80-AA80,$D80-(H80+M80+R80+W80)))</f>
        <v>0</v>
      </c>
      <c r="AC80" s="55" t="n">
        <f aca="false">AA80+AB80</f>
        <v>0</v>
      </c>
      <c r="AD80" s="55" t="n">
        <f aca="false">ROUND(MAX(0,AD79+AE79-AH79),2)</f>
        <v>0</v>
      </c>
      <c r="AE80" s="55" t="n">
        <f aca="false">ROUND(AD80*$E$10/12,2)</f>
        <v>0</v>
      </c>
      <c r="AF80" s="55" t="n">
        <f aca="false">MIN($F$10,AD80+AE80)</f>
        <v>0</v>
      </c>
      <c r="AG80" s="55" t="n">
        <f aca="false">MAX(0,MIN(AD80+AE80-AF80,$D80-(H80+M80+R80+W80+AB80)))</f>
        <v>0</v>
      </c>
      <c r="AH80" s="55" t="n">
        <f aca="false">AF80+AG80</f>
        <v>0</v>
      </c>
      <c r="AI80" s="55" t="n">
        <f aca="false">ROUND(MAX(0,AI79+AJ79-AM79),2)</f>
        <v>0</v>
      </c>
      <c r="AJ80" s="55" t="n">
        <f aca="false">ROUND(AI80*$E$11/12,2)</f>
        <v>0</v>
      </c>
      <c r="AK80" s="55" t="n">
        <f aca="false">MIN($F$11,AI80+AJ80)</f>
        <v>0</v>
      </c>
      <c r="AL80" s="55" t="n">
        <f aca="false">MAX(0,MIN(AI80+AJ80-AK80,$D80-(H80+M80+R80+W80+AB80+AG80)))</f>
        <v>0</v>
      </c>
      <c r="AM80" s="55" t="n">
        <f aca="false">AK80+AL80</f>
        <v>0</v>
      </c>
      <c r="AN80" s="55" t="n">
        <f aca="false">ROUND(MAX(0,AN79+AO79-AR79),2)</f>
        <v>0</v>
      </c>
      <c r="AO80" s="55" t="n">
        <f aca="false">ROUND(AN80*$E$12/12,2)</f>
        <v>0</v>
      </c>
      <c r="AP80" s="55" t="n">
        <f aca="false">MIN($F$12,AN80+AO80)</f>
        <v>0</v>
      </c>
      <c r="AQ80" s="55" t="n">
        <f aca="false">MAX(0,MIN(AN80+AO80-AP80,$D80-(H80+M80+R80+W80+AB80+AG80+AL80)))</f>
        <v>0</v>
      </c>
      <c r="AR80" s="55" t="n">
        <f aca="false">AP80+AQ80</f>
        <v>0</v>
      </c>
      <c r="AS80" s="55" t="n">
        <f aca="false">ROUND(MAX(0,AS79+AT79-AW79),2)</f>
        <v>0</v>
      </c>
      <c r="AT80" s="55" t="n">
        <f aca="false">ROUND(AS80*$E$13/12,2)</f>
        <v>0</v>
      </c>
      <c r="AU80" s="55" t="n">
        <f aca="false">MIN($F$13,AS80+AT80)</f>
        <v>0</v>
      </c>
      <c r="AV80" s="55" t="n">
        <f aca="false">MAX(0,MIN(AS80+AT80-AU80,$D80-(H80+M80+R80+W80+AB80+AG80+AL80+AQ80)))</f>
        <v>0</v>
      </c>
      <c r="AW80" s="55" t="n">
        <f aca="false">AU80+AV80</f>
        <v>0</v>
      </c>
      <c r="AX80" s="55" t="n">
        <f aca="false">ROUND(MAX(0,AX79+AY79-BB79),2)</f>
        <v>0</v>
      </c>
      <c r="AY80" s="55" t="n">
        <f aca="false">ROUND(AX80*$E$14/12,2)</f>
        <v>0</v>
      </c>
      <c r="AZ80" s="55" t="n">
        <f aca="false">MIN($F$14,AX80+AY80)</f>
        <v>0</v>
      </c>
      <c r="BA80" s="55" t="n">
        <f aca="false">MAX(0,MIN(AX80+AY80-AZ80,$D80-(H80+M80+R80+W80+AB80+AG80+AL80+AQ80+AV80)))</f>
        <v>0</v>
      </c>
      <c r="BB80" s="55" t="n">
        <f aca="false">AZ80+BA80</f>
        <v>0</v>
      </c>
      <c r="BC80" s="55" t="n">
        <f aca="false">I80+N80+S80+X80+AC80+AH80+AM80+AR80+AW80+BB80</f>
        <v>0</v>
      </c>
      <c r="BD80" s="55" t="n">
        <f aca="false">ROUND((E80+F80-I80)+(J80+K80-N80)+(O80+P80-S80)+(T80+U80-X80)+(Y80+Z80-AC80)+(AD80+AE80-AH80)+(AI80+AJ80-AM80)+(AN80+AO80-AR80)+(AS80+AT80-AW80)+(AX80+AY80-BB80),2)</f>
        <v>0</v>
      </c>
      <c r="BE80" s="25" t="str">
        <f aca="false">IF(H80&gt;0.005,$C$5,IF(M80&gt;0.005,$C$6,IF(R80&gt;0.005,$C$7,IF(W80&gt;0.005,$C$8,IF(AB80&gt;0.005,$C$9,IF(AG80&gt;0.005,$C$10,IF(AL80&gt;0.005,$C$11,IF(AQ80&gt;0.005,$C$12,IF(AV80&gt;0.005,$C$13,IF(BA80&gt;0.005,$C$14,""))))))))))</f>
        <v/>
      </c>
    </row>
    <row r="81" customFormat="false" ht="15" hidden="false" customHeight="false" outlineLevel="0" collapsed="false">
      <c r="A81" s="24" t="n">
        <v>58</v>
      </c>
      <c r="B81" s="54" t="n">
        <f aca="false">EDATE($C$17,A81-1)</f>
        <v>48061</v>
      </c>
      <c r="C81" s="55" t="n">
        <f aca="false">G81+L81+Q81+V81+AA81+AF81+AK81+AP81+AU81+AZ81</f>
        <v>0</v>
      </c>
      <c r="D81" s="55" t="n">
        <f aca="false">MAX(0,$C$16-C81)</f>
        <v>5822</v>
      </c>
      <c r="E81" s="55" t="n">
        <f aca="false">ROUND(MAX(0,E80+F80-I80),2)</f>
        <v>0</v>
      </c>
      <c r="F81" s="55" t="n">
        <f aca="false">ROUND(E81*$E$5/12,2)</f>
        <v>0</v>
      </c>
      <c r="G81" s="55" t="n">
        <f aca="false">MIN($F$5,E81+F81)</f>
        <v>0</v>
      </c>
      <c r="H81" s="55" t="n">
        <f aca="false">MAX(0,MIN(E81+F81-G81,$D81))</f>
        <v>0</v>
      </c>
      <c r="I81" s="55" t="n">
        <f aca="false">G81+H81</f>
        <v>0</v>
      </c>
      <c r="J81" s="55" t="n">
        <f aca="false">ROUND(MAX(0,J80+K80-N80),2)</f>
        <v>0</v>
      </c>
      <c r="K81" s="55" t="n">
        <f aca="false">ROUND(J81*$E$6/12,2)</f>
        <v>0</v>
      </c>
      <c r="L81" s="55" t="n">
        <f aca="false">MIN($F$6,J81+K81)</f>
        <v>0</v>
      </c>
      <c r="M81" s="55" t="n">
        <f aca="false">MAX(0,MIN(J81+K81-L81,$D81-(H81)))</f>
        <v>0</v>
      </c>
      <c r="N81" s="55" t="n">
        <f aca="false">L81+M81</f>
        <v>0</v>
      </c>
      <c r="O81" s="55" t="n">
        <f aca="false">ROUND(MAX(0,O80+P80-S80),2)</f>
        <v>0</v>
      </c>
      <c r="P81" s="55" t="n">
        <f aca="false">ROUND(O81*$E$7/12,2)</f>
        <v>0</v>
      </c>
      <c r="Q81" s="55" t="n">
        <f aca="false">MIN($F$7,O81+P81)</f>
        <v>0</v>
      </c>
      <c r="R81" s="55" t="n">
        <f aca="false">MAX(0,MIN(O81+P81-Q81,$D81-(H81+M81)))</f>
        <v>0</v>
      </c>
      <c r="S81" s="55" t="n">
        <f aca="false">Q81+R81</f>
        <v>0</v>
      </c>
      <c r="T81" s="55" t="n">
        <f aca="false">ROUND(MAX(0,T80+U80-X80),2)</f>
        <v>0</v>
      </c>
      <c r="U81" s="55" t="n">
        <f aca="false">ROUND(T81*$E$8/12,2)</f>
        <v>0</v>
      </c>
      <c r="V81" s="55" t="n">
        <f aca="false">MIN($F$8,T81+U81)</f>
        <v>0</v>
      </c>
      <c r="W81" s="55" t="n">
        <f aca="false">MAX(0,MIN(T81+U81-V81,$D81-(H81+M81+R81)))</f>
        <v>0</v>
      </c>
      <c r="X81" s="55" t="n">
        <f aca="false">V81+W81</f>
        <v>0</v>
      </c>
      <c r="Y81" s="55" t="n">
        <f aca="false">ROUND(MAX(0,Y80+Z80-AC80),2)</f>
        <v>0</v>
      </c>
      <c r="Z81" s="55" t="n">
        <f aca="false">ROUND(Y81*$E$9/12,2)</f>
        <v>0</v>
      </c>
      <c r="AA81" s="55" t="n">
        <f aca="false">MIN($F$9,Y81+Z81)</f>
        <v>0</v>
      </c>
      <c r="AB81" s="55" t="n">
        <f aca="false">MAX(0,MIN(Y81+Z81-AA81,$D81-(H81+M81+R81+W81)))</f>
        <v>0</v>
      </c>
      <c r="AC81" s="55" t="n">
        <f aca="false">AA81+AB81</f>
        <v>0</v>
      </c>
      <c r="AD81" s="55" t="n">
        <f aca="false">ROUND(MAX(0,AD80+AE80-AH80),2)</f>
        <v>0</v>
      </c>
      <c r="AE81" s="55" t="n">
        <f aca="false">ROUND(AD81*$E$10/12,2)</f>
        <v>0</v>
      </c>
      <c r="AF81" s="55" t="n">
        <f aca="false">MIN($F$10,AD81+AE81)</f>
        <v>0</v>
      </c>
      <c r="AG81" s="55" t="n">
        <f aca="false">MAX(0,MIN(AD81+AE81-AF81,$D81-(H81+M81+R81+W81+AB81)))</f>
        <v>0</v>
      </c>
      <c r="AH81" s="55" t="n">
        <f aca="false">AF81+AG81</f>
        <v>0</v>
      </c>
      <c r="AI81" s="55" t="n">
        <f aca="false">ROUND(MAX(0,AI80+AJ80-AM80),2)</f>
        <v>0</v>
      </c>
      <c r="AJ81" s="55" t="n">
        <f aca="false">ROUND(AI81*$E$11/12,2)</f>
        <v>0</v>
      </c>
      <c r="AK81" s="55" t="n">
        <f aca="false">MIN($F$11,AI81+AJ81)</f>
        <v>0</v>
      </c>
      <c r="AL81" s="55" t="n">
        <f aca="false">MAX(0,MIN(AI81+AJ81-AK81,$D81-(H81+M81+R81+W81+AB81+AG81)))</f>
        <v>0</v>
      </c>
      <c r="AM81" s="55" t="n">
        <f aca="false">AK81+AL81</f>
        <v>0</v>
      </c>
      <c r="AN81" s="55" t="n">
        <f aca="false">ROUND(MAX(0,AN80+AO80-AR80),2)</f>
        <v>0</v>
      </c>
      <c r="AO81" s="55" t="n">
        <f aca="false">ROUND(AN81*$E$12/12,2)</f>
        <v>0</v>
      </c>
      <c r="AP81" s="55" t="n">
        <f aca="false">MIN($F$12,AN81+AO81)</f>
        <v>0</v>
      </c>
      <c r="AQ81" s="55" t="n">
        <f aca="false">MAX(0,MIN(AN81+AO81-AP81,$D81-(H81+M81+R81+W81+AB81+AG81+AL81)))</f>
        <v>0</v>
      </c>
      <c r="AR81" s="55" t="n">
        <f aca="false">AP81+AQ81</f>
        <v>0</v>
      </c>
      <c r="AS81" s="55" t="n">
        <f aca="false">ROUND(MAX(0,AS80+AT80-AW80),2)</f>
        <v>0</v>
      </c>
      <c r="AT81" s="55" t="n">
        <f aca="false">ROUND(AS81*$E$13/12,2)</f>
        <v>0</v>
      </c>
      <c r="AU81" s="55" t="n">
        <f aca="false">MIN($F$13,AS81+AT81)</f>
        <v>0</v>
      </c>
      <c r="AV81" s="55" t="n">
        <f aca="false">MAX(0,MIN(AS81+AT81-AU81,$D81-(H81+M81+R81+W81+AB81+AG81+AL81+AQ81)))</f>
        <v>0</v>
      </c>
      <c r="AW81" s="55" t="n">
        <f aca="false">AU81+AV81</f>
        <v>0</v>
      </c>
      <c r="AX81" s="55" t="n">
        <f aca="false">ROUND(MAX(0,AX80+AY80-BB80),2)</f>
        <v>0</v>
      </c>
      <c r="AY81" s="55" t="n">
        <f aca="false">ROUND(AX81*$E$14/12,2)</f>
        <v>0</v>
      </c>
      <c r="AZ81" s="55" t="n">
        <f aca="false">MIN($F$14,AX81+AY81)</f>
        <v>0</v>
      </c>
      <c r="BA81" s="55" t="n">
        <f aca="false">MAX(0,MIN(AX81+AY81-AZ81,$D81-(H81+M81+R81+W81+AB81+AG81+AL81+AQ81+AV81)))</f>
        <v>0</v>
      </c>
      <c r="BB81" s="55" t="n">
        <f aca="false">AZ81+BA81</f>
        <v>0</v>
      </c>
      <c r="BC81" s="55" t="n">
        <f aca="false">I81+N81+S81+X81+AC81+AH81+AM81+AR81+AW81+BB81</f>
        <v>0</v>
      </c>
      <c r="BD81" s="55" t="n">
        <f aca="false">ROUND((E81+F81-I81)+(J81+K81-N81)+(O81+P81-S81)+(T81+U81-X81)+(Y81+Z81-AC81)+(AD81+AE81-AH81)+(AI81+AJ81-AM81)+(AN81+AO81-AR81)+(AS81+AT81-AW81)+(AX81+AY81-BB81),2)</f>
        <v>0</v>
      </c>
      <c r="BE81" s="25" t="str">
        <f aca="false">IF(H81&gt;0.005,$C$5,IF(M81&gt;0.005,$C$6,IF(R81&gt;0.005,$C$7,IF(W81&gt;0.005,$C$8,IF(AB81&gt;0.005,$C$9,IF(AG81&gt;0.005,$C$10,IF(AL81&gt;0.005,$C$11,IF(AQ81&gt;0.005,$C$12,IF(AV81&gt;0.005,$C$13,IF(BA81&gt;0.005,$C$14,""))))))))))</f>
        <v/>
      </c>
    </row>
    <row r="82" customFormat="false" ht="15" hidden="false" customHeight="false" outlineLevel="0" collapsed="false">
      <c r="A82" s="24" t="n">
        <v>59</v>
      </c>
      <c r="B82" s="54" t="n">
        <f aca="false">EDATE($C$17,A82-1)</f>
        <v>48092</v>
      </c>
      <c r="C82" s="55" t="n">
        <f aca="false">G82+L82+Q82+V82+AA82+AF82+AK82+AP82+AU82+AZ82</f>
        <v>0</v>
      </c>
      <c r="D82" s="55" t="n">
        <f aca="false">MAX(0,$C$16-C82)</f>
        <v>5822</v>
      </c>
      <c r="E82" s="55" t="n">
        <f aca="false">ROUND(MAX(0,E81+F81-I81),2)</f>
        <v>0</v>
      </c>
      <c r="F82" s="55" t="n">
        <f aca="false">ROUND(E82*$E$5/12,2)</f>
        <v>0</v>
      </c>
      <c r="G82" s="55" t="n">
        <f aca="false">MIN($F$5,E82+F82)</f>
        <v>0</v>
      </c>
      <c r="H82" s="55" t="n">
        <f aca="false">MAX(0,MIN(E82+F82-G82,$D82))</f>
        <v>0</v>
      </c>
      <c r="I82" s="55" t="n">
        <f aca="false">G82+H82</f>
        <v>0</v>
      </c>
      <c r="J82" s="55" t="n">
        <f aca="false">ROUND(MAX(0,J81+K81-N81),2)</f>
        <v>0</v>
      </c>
      <c r="K82" s="55" t="n">
        <f aca="false">ROUND(J82*$E$6/12,2)</f>
        <v>0</v>
      </c>
      <c r="L82" s="55" t="n">
        <f aca="false">MIN($F$6,J82+K82)</f>
        <v>0</v>
      </c>
      <c r="M82" s="55" t="n">
        <f aca="false">MAX(0,MIN(J82+K82-L82,$D82-(H82)))</f>
        <v>0</v>
      </c>
      <c r="N82" s="55" t="n">
        <f aca="false">L82+M82</f>
        <v>0</v>
      </c>
      <c r="O82" s="55" t="n">
        <f aca="false">ROUND(MAX(0,O81+P81-S81),2)</f>
        <v>0</v>
      </c>
      <c r="P82" s="55" t="n">
        <f aca="false">ROUND(O82*$E$7/12,2)</f>
        <v>0</v>
      </c>
      <c r="Q82" s="55" t="n">
        <f aca="false">MIN($F$7,O82+P82)</f>
        <v>0</v>
      </c>
      <c r="R82" s="55" t="n">
        <f aca="false">MAX(0,MIN(O82+P82-Q82,$D82-(H82+M82)))</f>
        <v>0</v>
      </c>
      <c r="S82" s="55" t="n">
        <f aca="false">Q82+R82</f>
        <v>0</v>
      </c>
      <c r="T82" s="55" t="n">
        <f aca="false">ROUND(MAX(0,T81+U81-X81),2)</f>
        <v>0</v>
      </c>
      <c r="U82" s="55" t="n">
        <f aca="false">ROUND(T82*$E$8/12,2)</f>
        <v>0</v>
      </c>
      <c r="V82" s="55" t="n">
        <f aca="false">MIN($F$8,T82+U82)</f>
        <v>0</v>
      </c>
      <c r="W82" s="55" t="n">
        <f aca="false">MAX(0,MIN(T82+U82-V82,$D82-(H82+M82+R82)))</f>
        <v>0</v>
      </c>
      <c r="X82" s="55" t="n">
        <f aca="false">V82+W82</f>
        <v>0</v>
      </c>
      <c r="Y82" s="55" t="n">
        <f aca="false">ROUND(MAX(0,Y81+Z81-AC81),2)</f>
        <v>0</v>
      </c>
      <c r="Z82" s="55" t="n">
        <f aca="false">ROUND(Y82*$E$9/12,2)</f>
        <v>0</v>
      </c>
      <c r="AA82" s="55" t="n">
        <f aca="false">MIN($F$9,Y82+Z82)</f>
        <v>0</v>
      </c>
      <c r="AB82" s="55" t="n">
        <f aca="false">MAX(0,MIN(Y82+Z82-AA82,$D82-(H82+M82+R82+W82)))</f>
        <v>0</v>
      </c>
      <c r="AC82" s="55" t="n">
        <f aca="false">AA82+AB82</f>
        <v>0</v>
      </c>
      <c r="AD82" s="55" t="n">
        <f aca="false">ROUND(MAX(0,AD81+AE81-AH81),2)</f>
        <v>0</v>
      </c>
      <c r="AE82" s="55" t="n">
        <f aca="false">ROUND(AD82*$E$10/12,2)</f>
        <v>0</v>
      </c>
      <c r="AF82" s="55" t="n">
        <f aca="false">MIN($F$10,AD82+AE82)</f>
        <v>0</v>
      </c>
      <c r="AG82" s="55" t="n">
        <f aca="false">MAX(0,MIN(AD82+AE82-AF82,$D82-(H82+M82+R82+W82+AB82)))</f>
        <v>0</v>
      </c>
      <c r="AH82" s="55" t="n">
        <f aca="false">AF82+AG82</f>
        <v>0</v>
      </c>
      <c r="AI82" s="55" t="n">
        <f aca="false">ROUND(MAX(0,AI81+AJ81-AM81),2)</f>
        <v>0</v>
      </c>
      <c r="AJ82" s="55" t="n">
        <f aca="false">ROUND(AI82*$E$11/12,2)</f>
        <v>0</v>
      </c>
      <c r="AK82" s="55" t="n">
        <f aca="false">MIN($F$11,AI82+AJ82)</f>
        <v>0</v>
      </c>
      <c r="AL82" s="55" t="n">
        <f aca="false">MAX(0,MIN(AI82+AJ82-AK82,$D82-(H82+M82+R82+W82+AB82+AG82)))</f>
        <v>0</v>
      </c>
      <c r="AM82" s="55" t="n">
        <f aca="false">AK82+AL82</f>
        <v>0</v>
      </c>
      <c r="AN82" s="55" t="n">
        <f aca="false">ROUND(MAX(0,AN81+AO81-AR81),2)</f>
        <v>0</v>
      </c>
      <c r="AO82" s="55" t="n">
        <f aca="false">ROUND(AN82*$E$12/12,2)</f>
        <v>0</v>
      </c>
      <c r="AP82" s="55" t="n">
        <f aca="false">MIN($F$12,AN82+AO82)</f>
        <v>0</v>
      </c>
      <c r="AQ82" s="55" t="n">
        <f aca="false">MAX(0,MIN(AN82+AO82-AP82,$D82-(H82+M82+R82+W82+AB82+AG82+AL82)))</f>
        <v>0</v>
      </c>
      <c r="AR82" s="55" t="n">
        <f aca="false">AP82+AQ82</f>
        <v>0</v>
      </c>
      <c r="AS82" s="55" t="n">
        <f aca="false">ROUND(MAX(0,AS81+AT81-AW81),2)</f>
        <v>0</v>
      </c>
      <c r="AT82" s="55" t="n">
        <f aca="false">ROUND(AS82*$E$13/12,2)</f>
        <v>0</v>
      </c>
      <c r="AU82" s="55" t="n">
        <f aca="false">MIN($F$13,AS82+AT82)</f>
        <v>0</v>
      </c>
      <c r="AV82" s="55" t="n">
        <f aca="false">MAX(0,MIN(AS82+AT82-AU82,$D82-(H82+M82+R82+W82+AB82+AG82+AL82+AQ82)))</f>
        <v>0</v>
      </c>
      <c r="AW82" s="55" t="n">
        <f aca="false">AU82+AV82</f>
        <v>0</v>
      </c>
      <c r="AX82" s="55" t="n">
        <f aca="false">ROUND(MAX(0,AX81+AY81-BB81),2)</f>
        <v>0</v>
      </c>
      <c r="AY82" s="55" t="n">
        <f aca="false">ROUND(AX82*$E$14/12,2)</f>
        <v>0</v>
      </c>
      <c r="AZ82" s="55" t="n">
        <f aca="false">MIN($F$14,AX82+AY82)</f>
        <v>0</v>
      </c>
      <c r="BA82" s="55" t="n">
        <f aca="false">MAX(0,MIN(AX82+AY82-AZ82,$D82-(H82+M82+R82+W82+AB82+AG82+AL82+AQ82+AV82)))</f>
        <v>0</v>
      </c>
      <c r="BB82" s="55" t="n">
        <f aca="false">AZ82+BA82</f>
        <v>0</v>
      </c>
      <c r="BC82" s="55" t="n">
        <f aca="false">I82+N82+S82+X82+AC82+AH82+AM82+AR82+AW82+BB82</f>
        <v>0</v>
      </c>
      <c r="BD82" s="55" t="n">
        <f aca="false">ROUND((E82+F82-I82)+(J82+K82-N82)+(O82+P82-S82)+(T82+U82-X82)+(Y82+Z82-AC82)+(AD82+AE82-AH82)+(AI82+AJ82-AM82)+(AN82+AO82-AR82)+(AS82+AT82-AW82)+(AX82+AY82-BB82),2)</f>
        <v>0</v>
      </c>
      <c r="BE82" s="25" t="str">
        <f aca="false">IF(H82&gt;0.005,$C$5,IF(M82&gt;0.005,$C$6,IF(R82&gt;0.005,$C$7,IF(W82&gt;0.005,$C$8,IF(AB82&gt;0.005,$C$9,IF(AG82&gt;0.005,$C$10,IF(AL82&gt;0.005,$C$11,IF(AQ82&gt;0.005,$C$12,IF(AV82&gt;0.005,$C$13,IF(BA82&gt;0.005,$C$14,""))))))))))</f>
        <v/>
      </c>
    </row>
    <row r="83" customFormat="false" ht="15" hidden="false" customHeight="false" outlineLevel="0" collapsed="false">
      <c r="A83" s="24" t="n">
        <v>60</v>
      </c>
      <c r="B83" s="54" t="n">
        <f aca="false">EDATE($C$17,A83-1)</f>
        <v>48122</v>
      </c>
      <c r="C83" s="55" t="n">
        <f aca="false">G83+L83+Q83+V83+AA83+AF83+AK83+AP83+AU83+AZ83</f>
        <v>0</v>
      </c>
      <c r="D83" s="55" t="n">
        <f aca="false">MAX(0,$C$16-C83)</f>
        <v>5822</v>
      </c>
      <c r="E83" s="55" t="n">
        <f aca="false">ROUND(MAX(0,E82+F82-I82),2)</f>
        <v>0</v>
      </c>
      <c r="F83" s="55" t="n">
        <f aca="false">ROUND(E83*$E$5/12,2)</f>
        <v>0</v>
      </c>
      <c r="G83" s="55" t="n">
        <f aca="false">MIN($F$5,E83+F83)</f>
        <v>0</v>
      </c>
      <c r="H83" s="55" t="n">
        <f aca="false">MAX(0,MIN(E83+F83-G83,$D83))</f>
        <v>0</v>
      </c>
      <c r="I83" s="55" t="n">
        <f aca="false">G83+H83</f>
        <v>0</v>
      </c>
      <c r="J83" s="55" t="n">
        <f aca="false">ROUND(MAX(0,J82+K82-N82),2)</f>
        <v>0</v>
      </c>
      <c r="K83" s="55" t="n">
        <f aca="false">ROUND(J83*$E$6/12,2)</f>
        <v>0</v>
      </c>
      <c r="L83" s="55" t="n">
        <f aca="false">MIN($F$6,J83+K83)</f>
        <v>0</v>
      </c>
      <c r="M83" s="55" t="n">
        <f aca="false">MAX(0,MIN(J83+K83-L83,$D83-(H83)))</f>
        <v>0</v>
      </c>
      <c r="N83" s="55" t="n">
        <f aca="false">L83+M83</f>
        <v>0</v>
      </c>
      <c r="O83" s="55" t="n">
        <f aca="false">ROUND(MAX(0,O82+P82-S82),2)</f>
        <v>0</v>
      </c>
      <c r="P83" s="55" t="n">
        <f aca="false">ROUND(O83*$E$7/12,2)</f>
        <v>0</v>
      </c>
      <c r="Q83" s="55" t="n">
        <f aca="false">MIN($F$7,O83+P83)</f>
        <v>0</v>
      </c>
      <c r="R83" s="55" t="n">
        <f aca="false">MAX(0,MIN(O83+P83-Q83,$D83-(H83+M83)))</f>
        <v>0</v>
      </c>
      <c r="S83" s="55" t="n">
        <f aca="false">Q83+R83</f>
        <v>0</v>
      </c>
      <c r="T83" s="55" t="n">
        <f aca="false">ROUND(MAX(0,T82+U82-X82),2)</f>
        <v>0</v>
      </c>
      <c r="U83" s="55" t="n">
        <f aca="false">ROUND(T83*$E$8/12,2)</f>
        <v>0</v>
      </c>
      <c r="V83" s="55" t="n">
        <f aca="false">MIN($F$8,T83+U83)</f>
        <v>0</v>
      </c>
      <c r="W83" s="55" t="n">
        <f aca="false">MAX(0,MIN(T83+U83-V83,$D83-(H83+M83+R83)))</f>
        <v>0</v>
      </c>
      <c r="X83" s="55" t="n">
        <f aca="false">V83+W83</f>
        <v>0</v>
      </c>
      <c r="Y83" s="55" t="n">
        <f aca="false">ROUND(MAX(0,Y82+Z82-AC82),2)</f>
        <v>0</v>
      </c>
      <c r="Z83" s="55" t="n">
        <f aca="false">ROUND(Y83*$E$9/12,2)</f>
        <v>0</v>
      </c>
      <c r="AA83" s="55" t="n">
        <f aca="false">MIN($F$9,Y83+Z83)</f>
        <v>0</v>
      </c>
      <c r="AB83" s="55" t="n">
        <f aca="false">MAX(0,MIN(Y83+Z83-AA83,$D83-(H83+M83+R83+W83)))</f>
        <v>0</v>
      </c>
      <c r="AC83" s="55" t="n">
        <f aca="false">AA83+AB83</f>
        <v>0</v>
      </c>
      <c r="AD83" s="55" t="n">
        <f aca="false">ROUND(MAX(0,AD82+AE82-AH82),2)</f>
        <v>0</v>
      </c>
      <c r="AE83" s="55" t="n">
        <f aca="false">ROUND(AD83*$E$10/12,2)</f>
        <v>0</v>
      </c>
      <c r="AF83" s="55" t="n">
        <f aca="false">MIN($F$10,AD83+AE83)</f>
        <v>0</v>
      </c>
      <c r="AG83" s="55" t="n">
        <f aca="false">MAX(0,MIN(AD83+AE83-AF83,$D83-(H83+M83+R83+W83+AB83)))</f>
        <v>0</v>
      </c>
      <c r="AH83" s="55" t="n">
        <f aca="false">AF83+AG83</f>
        <v>0</v>
      </c>
      <c r="AI83" s="55" t="n">
        <f aca="false">ROUND(MAX(0,AI82+AJ82-AM82),2)</f>
        <v>0</v>
      </c>
      <c r="AJ83" s="55" t="n">
        <f aca="false">ROUND(AI83*$E$11/12,2)</f>
        <v>0</v>
      </c>
      <c r="AK83" s="55" t="n">
        <f aca="false">MIN($F$11,AI83+AJ83)</f>
        <v>0</v>
      </c>
      <c r="AL83" s="55" t="n">
        <f aca="false">MAX(0,MIN(AI83+AJ83-AK83,$D83-(H83+M83+R83+W83+AB83+AG83)))</f>
        <v>0</v>
      </c>
      <c r="AM83" s="55" t="n">
        <f aca="false">AK83+AL83</f>
        <v>0</v>
      </c>
      <c r="AN83" s="55" t="n">
        <f aca="false">ROUND(MAX(0,AN82+AO82-AR82),2)</f>
        <v>0</v>
      </c>
      <c r="AO83" s="55" t="n">
        <f aca="false">ROUND(AN83*$E$12/12,2)</f>
        <v>0</v>
      </c>
      <c r="AP83" s="55" t="n">
        <f aca="false">MIN($F$12,AN83+AO83)</f>
        <v>0</v>
      </c>
      <c r="AQ83" s="55" t="n">
        <f aca="false">MAX(0,MIN(AN83+AO83-AP83,$D83-(H83+M83+R83+W83+AB83+AG83+AL83)))</f>
        <v>0</v>
      </c>
      <c r="AR83" s="55" t="n">
        <f aca="false">AP83+AQ83</f>
        <v>0</v>
      </c>
      <c r="AS83" s="55" t="n">
        <f aca="false">ROUND(MAX(0,AS82+AT82-AW82),2)</f>
        <v>0</v>
      </c>
      <c r="AT83" s="55" t="n">
        <f aca="false">ROUND(AS83*$E$13/12,2)</f>
        <v>0</v>
      </c>
      <c r="AU83" s="55" t="n">
        <f aca="false">MIN($F$13,AS83+AT83)</f>
        <v>0</v>
      </c>
      <c r="AV83" s="55" t="n">
        <f aca="false">MAX(0,MIN(AS83+AT83-AU83,$D83-(H83+M83+R83+W83+AB83+AG83+AL83+AQ83)))</f>
        <v>0</v>
      </c>
      <c r="AW83" s="55" t="n">
        <f aca="false">AU83+AV83</f>
        <v>0</v>
      </c>
      <c r="AX83" s="55" t="n">
        <f aca="false">ROUND(MAX(0,AX82+AY82-BB82),2)</f>
        <v>0</v>
      </c>
      <c r="AY83" s="55" t="n">
        <f aca="false">ROUND(AX83*$E$14/12,2)</f>
        <v>0</v>
      </c>
      <c r="AZ83" s="55" t="n">
        <f aca="false">MIN($F$14,AX83+AY83)</f>
        <v>0</v>
      </c>
      <c r="BA83" s="55" t="n">
        <f aca="false">MAX(0,MIN(AX83+AY83-AZ83,$D83-(H83+M83+R83+W83+AB83+AG83+AL83+AQ83+AV83)))</f>
        <v>0</v>
      </c>
      <c r="BB83" s="55" t="n">
        <f aca="false">AZ83+BA83</f>
        <v>0</v>
      </c>
      <c r="BC83" s="55" t="n">
        <f aca="false">I83+N83+S83+X83+AC83+AH83+AM83+AR83+AW83+BB83</f>
        <v>0</v>
      </c>
      <c r="BD83" s="55" t="n">
        <f aca="false">ROUND((E83+F83-I83)+(J83+K83-N83)+(O83+P83-S83)+(T83+U83-X83)+(Y83+Z83-AC83)+(AD83+AE83-AH83)+(AI83+AJ83-AM83)+(AN83+AO83-AR83)+(AS83+AT83-AW83)+(AX83+AY83-BB83),2)</f>
        <v>0</v>
      </c>
      <c r="BE83" s="25" t="str">
        <f aca="false">IF(H83&gt;0.005,$C$5,IF(M83&gt;0.005,$C$6,IF(R83&gt;0.005,$C$7,IF(W83&gt;0.005,$C$8,IF(AB83&gt;0.005,$C$9,IF(AG83&gt;0.005,$C$10,IF(AL83&gt;0.005,$C$11,IF(AQ83&gt;0.005,$C$12,IF(AV83&gt;0.005,$C$13,IF(BA83&gt;0.005,$C$14,""))))))))))</f>
        <v/>
      </c>
    </row>
    <row r="84" customFormat="false" ht="15" hidden="false" customHeight="false" outlineLevel="0" collapsed="false">
      <c r="A84" s="24" t="n">
        <v>61</v>
      </c>
      <c r="B84" s="54" t="n">
        <f aca="false">EDATE($C$17,A84-1)</f>
        <v>48153</v>
      </c>
      <c r="C84" s="55" t="n">
        <f aca="false">G84+L84+Q84+V84+AA84+AF84+AK84+AP84+AU84+AZ84</f>
        <v>0</v>
      </c>
      <c r="D84" s="55" t="n">
        <f aca="false">MAX(0,$C$16-C84)</f>
        <v>5822</v>
      </c>
      <c r="E84" s="55" t="n">
        <f aca="false">ROUND(MAX(0,E83+F83-I83),2)</f>
        <v>0</v>
      </c>
      <c r="F84" s="55" t="n">
        <f aca="false">ROUND(E84*$E$5/12,2)</f>
        <v>0</v>
      </c>
      <c r="G84" s="55" t="n">
        <f aca="false">MIN($F$5,E84+F84)</f>
        <v>0</v>
      </c>
      <c r="H84" s="55" t="n">
        <f aca="false">MAX(0,MIN(E84+F84-G84,$D84))</f>
        <v>0</v>
      </c>
      <c r="I84" s="55" t="n">
        <f aca="false">G84+H84</f>
        <v>0</v>
      </c>
      <c r="J84" s="55" t="n">
        <f aca="false">ROUND(MAX(0,J83+K83-N83),2)</f>
        <v>0</v>
      </c>
      <c r="K84" s="55" t="n">
        <f aca="false">ROUND(J84*$E$6/12,2)</f>
        <v>0</v>
      </c>
      <c r="L84" s="55" t="n">
        <f aca="false">MIN($F$6,J84+K84)</f>
        <v>0</v>
      </c>
      <c r="M84" s="55" t="n">
        <f aca="false">MAX(0,MIN(J84+K84-L84,$D84-(H84)))</f>
        <v>0</v>
      </c>
      <c r="N84" s="55" t="n">
        <f aca="false">L84+M84</f>
        <v>0</v>
      </c>
      <c r="O84" s="55" t="n">
        <f aca="false">ROUND(MAX(0,O83+P83-S83),2)</f>
        <v>0</v>
      </c>
      <c r="P84" s="55" t="n">
        <f aca="false">ROUND(O84*$E$7/12,2)</f>
        <v>0</v>
      </c>
      <c r="Q84" s="55" t="n">
        <f aca="false">MIN($F$7,O84+P84)</f>
        <v>0</v>
      </c>
      <c r="R84" s="55" t="n">
        <f aca="false">MAX(0,MIN(O84+P84-Q84,$D84-(H84+M84)))</f>
        <v>0</v>
      </c>
      <c r="S84" s="55" t="n">
        <f aca="false">Q84+R84</f>
        <v>0</v>
      </c>
      <c r="T84" s="55" t="n">
        <f aca="false">ROUND(MAX(0,T83+U83-X83),2)</f>
        <v>0</v>
      </c>
      <c r="U84" s="55" t="n">
        <f aca="false">ROUND(T84*$E$8/12,2)</f>
        <v>0</v>
      </c>
      <c r="V84" s="55" t="n">
        <f aca="false">MIN($F$8,T84+U84)</f>
        <v>0</v>
      </c>
      <c r="W84" s="55" t="n">
        <f aca="false">MAX(0,MIN(T84+U84-V84,$D84-(H84+M84+R84)))</f>
        <v>0</v>
      </c>
      <c r="X84" s="55" t="n">
        <f aca="false">V84+W84</f>
        <v>0</v>
      </c>
      <c r="Y84" s="55" t="n">
        <f aca="false">ROUND(MAX(0,Y83+Z83-AC83),2)</f>
        <v>0</v>
      </c>
      <c r="Z84" s="55" t="n">
        <f aca="false">ROUND(Y84*$E$9/12,2)</f>
        <v>0</v>
      </c>
      <c r="AA84" s="55" t="n">
        <f aca="false">MIN($F$9,Y84+Z84)</f>
        <v>0</v>
      </c>
      <c r="AB84" s="55" t="n">
        <f aca="false">MAX(0,MIN(Y84+Z84-AA84,$D84-(H84+M84+R84+W84)))</f>
        <v>0</v>
      </c>
      <c r="AC84" s="55" t="n">
        <f aca="false">AA84+AB84</f>
        <v>0</v>
      </c>
      <c r="AD84" s="55" t="n">
        <f aca="false">ROUND(MAX(0,AD83+AE83-AH83),2)</f>
        <v>0</v>
      </c>
      <c r="AE84" s="55" t="n">
        <f aca="false">ROUND(AD84*$E$10/12,2)</f>
        <v>0</v>
      </c>
      <c r="AF84" s="55" t="n">
        <f aca="false">MIN($F$10,AD84+AE84)</f>
        <v>0</v>
      </c>
      <c r="AG84" s="55" t="n">
        <f aca="false">MAX(0,MIN(AD84+AE84-AF84,$D84-(H84+M84+R84+W84+AB84)))</f>
        <v>0</v>
      </c>
      <c r="AH84" s="55" t="n">
        <f aca="false">AF84+AG84</f>
        <v>0</v>
      </c>
      <c r="AI84" s="55" t="n">
        <f aca="false">ROUND(MAX(0,AI83+AJ83-AM83),2)</f>
        <v>0</v>
      </c>
      <c r="AJ84" s="55" t="n">
        <f aca="false">ROUND(AI84*$E$11/12,2)</f>
        <v>0</v>
      </c>
      <c r="AK84" s="55" t="n">
        <f aca="false">MIN($F$11,AI84+AJ84)</f>
        <v>0</v>
      </c>
      <c r="AL84" s="55" t="n">
        <f aca="false">MAX(0,MIN(AI84+AJ84-AK84,$D84-(H84+M84+R84+W84+AB84+AG84)))</f>
        <v>0</v>
      </c>
      <c r="AM84" s="55" t="n">
        <f aca="false">AK84+AL84</f>
        <v>0</v>
      </c>
      <c r="AN84" s="55" t="n">
        <f aca="false">ROUND(MAX(0,AN83+AO83-AR83),2)</f>
        <v>0</v>
      </c>
      <c r="AO84" s="55" t="n">
        <f aca="false">ROUND(AN84*$E$12/12,2)</f>
        <v>0</v>
      </c>
      <c r="AP84" s="55" t="n">
        <f aca="false">MIN($F$12,AN84+AO84)</f>
        <v>0</v>
      </c>
      <c r="AQ84" s="55" t="n">
        <f aca="false">MAX(0,MIN(AN84+AO84-AP84,$D84-(H84+M84+R84+W84+AB84+AG84+AL84)))</f>
        <v>0</v>
      </c>
      <c r="AR84" s="55" t="n">
        <f aca="false">AP84+AQ84</f>
        <v>0</v>
      </c>
      <c r="AS84" s="55" t="n">
        <f aca="false">ROUND(MAX(0,AS83+AT83-AW83),2)</f>
        <v>0</v>
      </c>
      <c r="AT84" s="55" t="n">
        <f aca="false">ROUND(AS84*$E$13/12,2)</f>
        <v>0</v>
      </c>
      <c r="AU84" s="55" t="n">
        <f aca="false">MIN($F$13,AS84+AT84)</f>
        <v>0</v>
      </c>
      <c r="AV84" s="55" t="n">
        <f aca="false">MAX(0,MIN(AS84+AT84-AU84,$D84-(H84+M84+R84+W84+AB84+AG84+AL84+AQ84)))</f>
        <v>0</v>
      </c>
      <c r="AW84" s="55" t="n">
        <f aca="false">AU84+AV84</f>
        <v>0</v>
      </c>
      <c r="AX84" s="55" t="n">
        <f aca="false">ROUND(MAX(0,AX83+AY83-BB83),2)</f>
        <v>0</v>
      </c>
      <c r="AY84" s="55" t="n">
        <f aca="false">ROUND(AX84*$E$14/12,2)</f>
        <v>0</v>
      </c>
      <c r="AZ84" s="55" t="n">
        <f aca="false">MIN($F$14,AX84+AY84)</f>
        <v>0</v>
      </c>
      <c r="BA84" s="55" t="n">
        <f aca="false">MAX(0,MIN(AX84+AY84-AZ84,$D84-(H84+M84+R84+W84+AB84+AG84+AL84+AQ84+AV84)))</f>
        <v>0</v>
      </c>
      <c r="BB84" s="55" t="n">
        <f aca="false">AZ84+BA84</f>
        <v>0</v>
      </c>
      <c r="BC84" s="55" t="n">
        <f aca="false">I84+N84+S84+X84+AC84+AH84+AM84+AR84+AW84+BB84</f>
        <v>0</v>
      </c>
      <c r="BD84" s="55" t="n">
        <f aca="false">ROUND((E84+F84-I84)+(J84+K84-N84)+(O84+P84-S84)+(T84+U84-X84)+(Y84+Z84-AC84)+(AD84+AE84-AH84)+(AI84+AJ84-AM84)+(AN84+AO84-AR84)+(AS84+AT84-AW84)+(AX84+AY84-BB84),2)</f>
        <v>0</v>
      </c>
      <c r="BE84" s="25" t="str">
        <f aca="false">IF(H84&gt;0.005,$C$5,IF(M84&gt;0.005,$C$6,IF(R84&gt;0.005,$C$7,IF(W84&gt;0.005,$C$8,IF(AB84&gt;0.005,$C$9,IF(AG84&gt;0.005,$C$10,IF(AL84&gt;0.005,$C$11,IF(AQ84&gt;0.005,$C$12,IF(AV84&gt;0.005,$C$13,IF(BA84&gt;0.005,$C$14,""))))))))))</f>
        <v/>
      </c>
    </row>
    <row r="85" customFormat="false" ht="15" hidden="false" customHeight="false" outlineLevel="0" collapsed="false">
      <c r="A85" s="24" t="n">
        <v>62</v>
      </c>
      <c r="B85" s="54" t="n">
        <f aca="false">EDATE($C$17,A85-1)</f>
        <v>48183</v>
      </c>
      <c r="C85" s="55" t="n">
        <f aca="false">G85+L85+Q85+V85+AA85+AF85+AK85+AP85+AU85+AZ85</f>
        <v>0</v>
      </c>
      <c r="D85" s="55" t="n">
        <f aca="false">MAX(0,$C$16-C85)</f>
        <v>5822</v>
      </c>
      <c r="E85" s="55" t="n">
        <f aca="false">ROUND(MAX(0,E84+F84-I84),2)</f>
        <v>0</v>
      </c>
      <c r="F85" s="55" t="n">
        <f aca="false">ROUND(E85*$E$5/12,2)</f>
        <v>0</v>
      </c>
      <c r="G85" s="55" t="n">
        <f aca="false">MIN($F$5,E85+F85)</f>
        <v>0</v>
      </c>
      <c r="H85" s="55" t="n">
        <f aca="false">MAX(0,MIN(E85+F85-G85,$D85))</f>
        <v>0</v>
      </c>
      <c r="I85" s="55" t="n">
        <f aca="false">G85+H85</f>
        <v>0</v>
      </c>
      <c r="J85" s="55" t="n">
        <f aca="false">ROUND(MAX(0,J84+K84-N84),2)</f>
        <v>0</v>
      </c>
      <c r="K85" s="55" t="n">
        <f aca="false">ROUND(J85*$E$6/12,2)</f>
        <v>0</v>
      </c>
      <c r="L85" s="55" t="n">
        <f aca="false">MIN($F$6,J85+K85)</f>
        <v>0</v>
      </c>
      <c r="M85" s="55" t="n">
        <f aca="false">MAX(0,MIN(J85+K85-L85,$D85-(H85)))</f>
        <v>0</v>
      </c>
      <c r="N85" s="55" t="n">
        <f aca="false">L85+M85</f>
        <v>0</v>
      </c>
      <c r="O85" s="55" t="n">
        <f aca="false">ROUND(MAX(0,O84+P84-S84),2)</f>
        <v>0</v>
      </c>
      <c r="P85" s="55" t="n">
        <f aca="false">ROUND(O85*$E$7/12,2)</f>
        <v>0</v>
      </c>
      <c r="Q85" s="55" t="n">
        <f aca="false">MIN($F$7,O85+P85)</f>
        <v>0</v>
      </c>
      <c r="R85" s="55" t="n">
        <f aca="false">MAX(0,MIN(O85+P85-Q85,$D85-(H85+M85)))</f>
        <v>0</v>
      </c>
      <c r="S85" s="55" t="n">
        <f aca="false">Q85+R85</f>
        <v>0</v>
      </c>
      <c r="T85" s="55" t="n">
        <f aca="false">ROUND(MAX(0,T84+U84-X84),2)</f>
        <v>0</v>
      </c>
      <c r="U85" s="55" t="n">
        <f aca="false">ROUND(T85*$E$8/12,2)</f>
        <v>0</v>
      </c>
      <c r="V85" s="55" t="n">
        <f aca="false">MIN($F$8,T85+U85)</f>
        <v>0</v>
      </c>
      <c r="W85" s="55" t="n">
        <f aca="false">MAX(0,MIN(T85+U85-V85,$D85-(H85+M85+R85)))</f>
        <v>0</v>
      </c>
      <c r="X85" s="55" t="n">
        <f aca="false">V85+W85</f>
        <v>0</v>
      </c>
      <c r="Y85" s="55" t="n">
        <f aca="false">ROUND(MAX(0,Y84+Z84-AC84),2)</f>
        <v>0</v>
      </c>
      <c r="Z85" s="55" t="n">
        <f aca="false">ROUND(Y85*$E$9/12,2)</f>
        <v>0</v>
      </c>
      <c r="AA85" s="55" t="n">
        <f aca="false">MIN($F$9,Y85+Z85)</f>
        <v>0</v>
      </c>
      <c r="AB85" s="55" t="n">
        <f aca="false">MAX(0,MIN(Y85+Z85-AA85,$D85-(H85+M85+R85+W85)))</f>
        <v>0</v>
      </c>
      <c r="AC85" s="55" t="n">
        <f aca="false">AA85+AB85</f>
        <v>0</v>
      </c>
      <c r="AD85" s="55" t="n">
        <f aca="false">ROUND(MAX(0,AD84+AE84-AH84),2)</f>
        <v>0</v>
      </c>
      <c r="AE85" s="55" t="n">
        <f aca="false">ROUND(AD85*$E$10/12,2)</f>
        <v>0</v>
      </c>
      <c r="AF85" s="55" t="n">
        <f aca="false">MIN($F$10,AD85+AE85)</f>
        <v>0</v>
      </c>
      <c r="AG85" s="55" t="n">
        <f aca="false">MAX(0,MIN(AD85+AE85-AF85,$D85-(H85+M85+R85+W85+AB85)))</f>
        <v>0</v>
      </c>
      <c r="AH85" s="55" t="n">
        <f aca="false">AF85+AG85</f>
        <v>0</v>
      </c>
      <c r="AI85" s="55" t="n">
        <f aca="false">ROUND(MAX(0,AI84+AJ84-AM84),2)</f>
        <v>0</v>
      </c>
      <c r="AJ85" s="55" t="n">
        <f aca="false">ROUND(AI85*$E$11/12,2)</f>
        <v>0</v>
      </c>
      <c r="AK85" s="55" t="n">
        <f aca="false">MIN($F$11,AI85+AJ85)</f>
        <v>0</v>
      </c>
      <c r="AL85" s="55" t="n">
        <f aca="false">MAX(0,MIN(AI85+AJ85-AK85,$D85-(H85+M85+R85+W85+AB85+AG85)))</f>
        <v>0</v>
      </c>
      <c r="AM85" s="55" t="n">
        <f aca="false">AK85+AL85</f>
        <v>0</v>
      </c>
      <c r="AN85" s="55" t="n">
        <f aca="false">ROUND(MAX(0,AN84+AO84-AR84),2)</f>
        <v>0</v>
      </c>
      <c r="AO85" s="55" t="n">
        <f aca="false">ROUND(AN85*$E$12/12,2)</f>
        <v>0</v>
      </c>
      <c r="AP85" s="55" t="n">
        <f aca="false">MIN($F$12,AN85+AO85)</f>
        <v>0</v>
      </c>
      <c r="AQ85" s="55" t="n">
        <f aca="false">MAX(0,MIN(AN85+AO85-AP85,$D85-(H85+M85+R85+W85+AB85+AG85+AL85)))</f>
        <v>0</v>
      </c>
      <c r="AR85" s="55" t="n">
        <f aca="false">AP85+AQ85</f>
        <v>0</v>
      </c>
      <c r="AS85" s="55" t="n">
        <f aca="false">ROUND(MAX(0,AS84+AT84-AW84),2)</f>
        <v>0</v>
      </c>
      <c r="AT85" s="55" t="n">
        <f aca="false">ROUND(AS85*$E$13/12,2)</f>
        <v>0</v>
      </c>
      <c r="AU85" s="55" t="n">
        <f aca="false">MIN($F$13,AS85+AT85)</f>
        <v>0</v>
      </c>
      <c r="AV85" s="55" t="n">
        <f aca="false">MAX(0,MIN(AS85+AT85-AU85,$D85-(H85+M85+R85+W85+AB85+AG85+AL85+AQ85)))</f>
        <v>0</v>
      </c>
      <c r="AW85" s="55" t="n">
        <f aca="false">AU85+AV85</f>
        <v>0</v>
      </c>
      <c r="AX85" s="55" t="n">
        <f aca="false">ROUND(MAX(0,AX84+AY84-BB84),2)</f>
        <v>0</v>
      </c>
      <c r="AY85" s="55" t="n">
        <f aca="false">ROUND(AX85*$E$14/12,2)</f>
        <v>0</v>
      </c>
      <c r="AZ85" s="55" t="n">
        <f aca="false">MIN($F$14,AX85+AY85)</f>
        <v>0</v>
      </c>
      <c r="BA85" s="55" t="n">
        <f aca="false">MAX(0,MIN(AX85+AY85-AZ85,$D85-(H85+M85+R85+W85+AB85+AG85+AL85+AQ85+AV85)))</f>
        <v>0</v>
      </c>
      <c r="BB85" s="55" t="n">
        <f aca="false">AZ85+BA85</f>
        <v>0</v>
      </c>
      <c r="BC85" s="55" t="n">
        <f aca="false">I85+N85+S85+X85+AC85+AH85+AM85+AR85+AW85+BB85</f>
        <v>0</v>
      </c>
      <c r="BD85" s="55" t="n">
        <f aca="false">ROUND((E85+F85-I85)+(J85+K85-N85)+(O85+P85-S85)+(T85+U85-X85)+(Y85+Z85-AC85)+(AD85+AE85-AH85)+(AI85+AJ85-AM85)+(AN85+AO85-AR85)+(AS85+AT85-AW85)+(AX85+AY85-BB85),2)</f>
        <v>0</v>
      </c>
      <c r="BE85" s="25" t="str">
        <f aca="false">IF(H85&gt;0.005,$C$5,IF(M85&gt;0.005,$C$6,IF(R85&gt;0.005,$C$7,IF(W85&gt;0.005,$C$8,IF(AB85&gt;0.005,$C$9,IF(AG85&gt;0.005,$C$10,IF(AL85&gt;0.005,$C$11,IF(AQ85&gt;0.005,$C$12,IF(AV85&gt;0.005,$C$13,IF(BA85&gt;0.005,$C$14,""))))))))))</f>
        <v/>
      </c>
    </row>
    <row r="86" customFormat="false" ht="15" hidden="false" customHeight="false" outlineLevel="0" collapsed="false">
      <c r="A86" s="24" t="n">
        <v>63</v>
      </c>
      <c r="B86" s="54" t="n">
        <f aca="false">EDATE($C$17,A86-1)</f>
        <v>48214</v>
      </c>
      <c r="C86" s="55" t="n">
        <f aca="false">G86+L86+Q86+V86+AA86+AF86+AK86+AP86+AU86+AZ86</f>
        <v>0</v>
      </c>
      <c r="D86" s="55" t="n">
        <f aca="false">MAX(0,$C$16-C86)</f>
        <v>5822</v>
      </c>
      <c r="E86" s="55" t="n">
        <f aca="false">ROUND(MAX(0,E85+F85-I85),2)</f>
        <v>0</v>
      </c>
      <c r="F86" s="55" t="n">
        <f aca="false">ROUND(E86*$E$5/12,2)</f>
        <v>0</v>
      </c>
      <c r="G86" s="55" t="n">
        <f aca="false">MIN($F$5,E86+F86)</f>
        <v>0</v>
      </c>
      <c r="H86" s="55" t="n">
        <f aca="false">MAX(0,MIN(E86+F86-G86,$D86))</f>
        <v>0</v>
      </c>
      <c r="I86" s="55" t="n">
        <f aca="false">G86+H86</f>
        <v>0</v>
      </c>
      <c r="J86" s="55" t="n">
        <f aca="false">ROUND(MAX(0,J85+K85-N85),2)</f>
        <v>0</v>
      </c>
      <c r="K86" s="55" t="n">
        <f aca="false">ROUND(J86*$E$6/12,2)</f>
        <v>0</v>
      </c>
      <c r="L86" s="55" t="n">
        <f aca="false">MIN($F$6,J86+K86)</f>
        <v>0</v>
      </c>
      <c r="M86" s="55" t="n">
        <f aca="false">MAX(0,MIN(J86+K86-L86,$D86-(H86)))</f>
        <v>0</v>
      </c>
      <c r="N86" s="55" t="n">
        <f aca="false">L86+M86</f>
        <v>0</v>
      </c>
      <c r="O86" s="55" t="n">
        <f aca="false">ROUND(MAX(0,O85+P85-S85),2)</f>
        <v>0</v>
      </c>
      <c r="P86" s="55" t="n">
        <f aca="false">ROUND(O86*$E$7/12,2)</f>
        <v>0</v>
      </c>
      <c r="Q86" s="55" t="n">
        <f aca="false">MIN($F$7,O86+P86)</f>
        <v>0</v>
      </c>
      <c r="R86" s="55" t="n">
        <f aca="false">MAX(0,MIN(O86+P86-Q86,$D86-(H86+M86)))</f>
        <v>0</v>
      </c>
      <c r="S86" s="55" t="n">
        <f aca="false">Q86+R86</f>
        <v>0</v>
      </c>
      <c r="T86" s="55" t="n">
        <f aca="false">ROUND(MAX(0,T85+U85-X85),2)</f>
        <v>0</v>
      </c>
      <c r="U86" s="55" t="n">
        <f aca="false">ROUND(T86*$E$8/12,2)</f>
        <v>0</v>
      </c>
      <c r="V86" s="55" t="n">
        <f aca="false">MIN($F$8,T86+U86)</f>
        <v>0</v>
      </c>
      <c r="W86" s="55" t="n">
        <f aca="false">MAX(0,MIN(T86+U86-V86,$D86-(H86+M86+R86)))</f>
        <v>0</v>
      </c>
      <c r="X86" s="55" t="n">
        <f aca="false">V86+W86</f>
        <v>0</v>
      </c>
      <c r="Y86" s="55" t="n">
        <f aca="false">ROUND(MAX(0,Y85+Z85-AC85),2)</f>
        <v>0</v>
      </c>
      <c r="Z86" s="55" t="n">
        <f aca="false">ROUND(Y86*$E$9/12,2)</f>
        <v>0</v>
      </c>
      <c r="AA86" s="55" t="n">
        <f aca="false">MIN($F$9,Y86+Z86)</f>
        <v>0</v>
      </c>
      <c r="AB86" s="55" t="n">
        <f aca="false">MAX(0,MIN(Y86+Z86-AA86,$D86-(H86+M86+R86+W86)))</f>
        <v>0</v>
      </c>
      <c r="AC86" s="55" t="n">
        <f aca="false">AA86+AB86</f>
        <v>0</v>
      </c>
      <c r="AD86" s="55" t="n">
        <f aca="false">ROUND(MAX(0,AD85+AE85-AH85),2)</f>
        <v>0</v>
      </c>
      <c r="AE86" s="55" t="n">
        <f aca="false">ROUND(AD86*$E$10/12,2)</f>
        <v>0</v>
      </c>
      <c r="AF86" s="55" t="n">
        <f aca="false">MIN($F$10,AD86+AE86)</f>
        <v>0</v>
      </c>
      <c r="AG86" s="55" t="n">
        <f aca="false">MAX(0,MIN(AD86+AE86-AF86,$D86-(H86+M86+R86+W86+AB86)))</f>
        <v>0</v>
      </c>
      <c r="AH86" s="55" t="n">
        <f aca="false">AF86+AG86</f>
        <v>0</v>
      </c>
      <c r="AI86" s="55" t="n">
        <f aca="false">ROUND(MAX(0,AI85+AJ85-AM85),2)</f>
        <v>0</v>
      </c>
      <c r="AJ86" s="55" t="n">
        <f aca="false">ROUND(AI86*$E$11/12,2)</f>
        <v>0</v>
      </c>
      <c r="AK86" s="55" t="n">
        <f aca="false">MIN($F$11,AI86+AJ86)</f>
        <v>0</v>
      </c>
      <c r="AL86" s="55" t="n">
        <f aca="false">MAX(0,MIN(AI86+AJ86-AK86,$D86-(H86+M86+R86+W86+AB86+AG86)))</f>
        <v>0</v>
      </c>
      <c r="AM86" s="55" t="n">
        <f aca="false">AK86+AL86</f>
        <v>0</v>
      </c>
      <c r="AN86" s="55" t="n">
        <f aca="false">ROUND(MAX(0,AN85+AO85-AR85),2)</f>
        <v>0</v>
      </c>
      <c r="AO86" s="55" t="n">
        <f aca="false">ROUND(AN86*$E$12/12,2)</f>
        <v>0</v>
      </c>
      <c r="AP86" s="55" t="n">
        <f aca="false">MIN($F$12,AN86+AO86)</f>
        <v>0</v>
      </c>
      <c r="AQ86" s="55" t="n">
        <f aca="false">MAX(0,MIN(AN86+AO86-AP86,$D86-(H86+M86+R86+W86+AB86+AG86+AL86)))</f>
        <v>0</v>
      </c>
      <c r="AR86" s="55" t="n">
        <f aca="false">AP86+AQ86</f>
        <v>0</v>
      </c>
      <c r="AS86" s="55" t="n">
        <f aca="false">ROUND(MAX(0,AS85+AT85-AW85),2)</f>
        <v>0</v>
      </c>
      <c r="AT86" s="55" t="n">
        <f aca="false">ROUND(AS86*$E$13/12,2)</f>
        <v>0</v>
      </c>
      <c r="AU86" s="55" t="n">
        <f aca="false">MIN($F$13,AS86+AT86)</f>
        <v>0</v>
      </c>
      <c r="AV86" s="55" t="n">
        <f aca="false">MAX(0,MIN(AS86+AT86-AU86,$D86-(H86+M86+R86+W86+AB86+AG86+AL86+AQ86)))</f>
        <v>0</v>
      </c>
      <c r="AW86" s="55" t="n">
        <f aca="false">AU86+AV86</f>
        <v>0</v>
      </c>
      <c r="AX86" s="55" t="n">
        <f aca="false">ROUND(MAX(0,AX85+AY85-BB85),2)</f>
        <v>0</v>
      </c>
      <c r="AY86" s="55" t="n">
        <f aca="false">ROUND(AX86*$E$14/12,2)</f>
        <v>0</v>
      </c>
      <c r="AZ86" s="55" t="n">
        <f aca="false">MIN($F$14,AX86+AY86)</f>
        <v>0</v>
      </c>
      <c r="BA86" s="55" t="n">
        <f aca="false">MAX(0,MIN(AX86+AY86-AZ86,$D86-(H86+M86+R86+W86+AB86+AG86+AL86+AQ86+AV86)))</f>
        <v>0</v>
      </c>
      <c r="BB86" s="55" t="n">
        <f aca="false">AZ86+BA86</f>
        <v>0</v>
      </c>
      <c r="BC86" s="55" t="n">
        <f aca="false">I86+N86+S86+X86+AC86+AH86+AM86+AR86+AW86+BB86</f>
        <v>0</v>
      </c>
      <c r="BD86" s="55" t="n">
        <f aca="false">ROUND((E86+F86-I86)+(J86+K86-N86)+(O86+P86-S86)+(T86+U86-X86)+(Y86+Z86-AC86)+(AD86+AE86-AH86)+(AI86+AJ86-AM86)+(AN86+AO86-AR86)+(AS86+AT86-AW86)+(AX86+AY86-BB86),2)</f>
        <v>0</v>
      </c>
      <c r="BE86" s="25" t="str">
        <f aca="false">IF(H86&gt;0.005,$C$5,IF(M86&gt;0.005,$C$6,IF(R86&gt;0.005,$C$7,IF(W86&gt;0.005,$C$8,IF(AB86&gt;0.005,$C$9,IF(AG86&gt;0.005,$C$10,IF(AL86&gt;0.005,$C$11,IF(AQ86&gt;0.005,$C$12,IF(AV86&gt;0.005,$C$13,IF(BA86&gt;0.005,$C$14,""))))))))))</f>
        <v/>
      </c>
    </row>
    <row r="87" customFormat="false" ht="15" hidden="false" customHeight="false" outlineLevel="0" collapsed="false">
      <c r="A87" s="24" t="n">
        <v>64</v>
      </c>
      <c r="B87" s="54" t="n">
        <f aca="false">EDATE($C$17,A87-1)</f>
        <v>48245</v>
      </c>
      <c r="C87" s="55" t="n">
        <f aca="false">G87+L87+Q87+V87+AA87+AF87+AK87+AP87+AU87+AZ87</f>
        <v>0</v>
      </c>
      <c r="D87" s="55" t="n">
        <f aca="false">MAX(0,$C$16-C87)</f>
        <v>5822</v>
      </c>
      <c r="E87" s="55" t="n">
        <f aca="false">ROUND(MAX(0,E86+F86-I86),2)</f>
        <v>0</v>
      </c>
      <c r="F87" s="55" t="n">
        <f aca="false">ROUND(E87*$E$5/12,2)</f>
        <v>0</v>
      </c>
      <c r="G87" s="55" t="n">
        <f aca="false">MIN($F$5,E87+F87)</f>
        <v>0</v>
      </c>
      <c r="H87" s="55" t="n">
        <f aca="false">MAX(0,MIN(E87+F87-G87,$D87))</f>
        <v>0</v>
      </c>
      <c r="I87" s="55" t="n">
        <f aca="false">G87+H87</f>
        <v>0</v>
      </c>
      <c r="J87" s="55" t="n">
        <f aca="false">ROUND(MAX(0,J86+K86-N86),2)</f>
        <v>0</v>
      </c>
      <c r="K87" s="55" t="n">
        <f aca="false">ROUND(J87*$E$6/12,2)</f>
        <v>0</v>
      </c>
      <c r="L87" s="55" t="n">
        <f aca="false">MIN($F$6,J87+K87)</f>
        <v>0</v>
      </c>
      <c r="M87" s="55" t="n">
        <f aca="false">MAX(0,MIN(J87+K87-L87,$D87-(H87)))</f>
        <v>0</v>
      </c>
      <c r="N87" s="55" t="n">
        <f aca="false">L87+M87</f>
        <v>0</v>
      </c>
      <c r="O87" s="55" t="n">
        <f aca="false">ROUND(MAX(0,O86+P86-S86),2)</f>
        <v>0</v>
      </c>
      <c r="P87" s="55" t="n">
        <f aca="false">ROUND(O87*$E$7/12,2)</f>
        <v>0</v>
      </c>
      <c r="Q87" s="55" t="n">
        <f aca="false">MIN($F$7,O87+P87)</f>
        <v>0</v>
      </c>
      <c r="R87" s="55" t="n">
        <f aca="false">MAX(0,MIN(O87+P87-Q87,$D87-(H87+M87)))</f>
        <v>0</v>
      </c>
      <c r="S87" s="55" t="n">
        <f aca="false">Q87+R87</f>
        <v>0</v>
      </c>
      <c r="T87" s="55" t="n">
        <f aca="false">ROUND(MAX(0,T86+U86-X86),2)</f>
        <v>0</v>
      </c>
      <c r="U87" s="55" t="n">
        <f aca="false">ROUND(T87*$E$8/12,2)</f>
        <v>0</v>
      </c>
      <c r="V87" s="55" t="n">
        <f aca="false">MIN($F$8,T87+U87)</f>
        <v>0</v>
      </c>
      <c r="W87" s="55" t="n">
        <f aca="false">MAX(0,MIN(T87+U87-V87,$D87-(H87+M87+R87)))</f>
        <v>0</v>
      </c>
      <c r="X87" s="55" t="n">
        <f aca="false">V87+W87</f>
        <v>0</v>
      </c>
      <c r="Y87" s="55" t="n">
        <f aca="false">ROUND(MAX(0,Y86+Z86-AC86),2)</f>
        <v>0</v>
      </c>
      <c r="Z87" s="55" t="n">
        <f aca="false">ROUND(Y87*$E$9/12,2)</f>
        <v>0</v>
      </c>
      <c r="AA87" s="55" t="n">
        <f aca="false">MIN($F$9,Y87+Z87)</f>
        <v>0</v>
      </c>
      <c r="AB87" s="55" t="n">
        <f aca="false">MAX(0,MIN(Y87+Z87-AA87,$D87-(H87+M87+R87+W87)))</f>
        <v>0</v>
      </c>
      <c r="AC87" s="55" t="n">
        <f aca="false">AA87+AB87</f>
        <v>0</v>
      </c>
      <c r="AD87" s="55" t="n">
        <f aca="false">ROUND(MAX(0,AD86+AE86-AH86),2)</f>
        <v>0</v>
      </c>
      <c r="AE87" s="55" t="n">
        <f aca="false">ROUND(AD87*$E$10/12,2)</f>
        <v>0</v>
      </c>
      <c r="AF87" s="55" t="n">
        <f aca="false">MIN($F$10,AD87+AE87)</f>
        <v>0</v>
      </c>
      <c r="AG87" s="55" t="n">
        <f aca="false">MAX(0,MIN(AD87+AE87-AF87,$D87-(H87+M87+R87+W87+AB87)))</f>
        <v>0</v>
      </c>
      <c r="AH87" s="55" t="n">
        <f aca="false">AF87+AG87</f>
        <v>0</v>
      </c>
      <c r="AI87" s="55" t="n">
        <f aca="false">ROUND(MAX(0,AI86+AJ86-AM86),2)</f>
        <v>0</v>
      </c>
      <c r="AJ87" s="55" t="n">
        <f aca="false">ROUND(AI87*$E$11/12,2)</f>
        <v>0</v>
      </c>
      <c r="AK87" s="55" t="n">
        <f aca="false">MIN($F$11,AI87+AJ87)</f>
        <v>0</v>
      </c>
      <c r="AL87" s="55" t="n">
        <f aca="false">MAX(0,MIN(AI87+AJ87-AK87,$D87-(H87+M87+R87+W87+AB87+AG87)))</f>
        <v>0</v>
      </c>
      <c r="AM87" s="55" t="n">
        <f aca="false">AK87+AL87</f>
        <v>0</v>
      </c>
      <c r="AN87" s="55" t="n">
        <f aca="false">ROUND(MAX(0,AN86+AO86-AR86),2)</f>
        <v>0</v>
      </c>
      <c r="AO87" s="55" t="n">
        <f aca="false">ROUND(AN87*$E$12/12,2)</f>
        <v>0</v>
      </c>
      <c r="AP87" s="55" t="n">
        <f aca="false">MIN($F$12,AN87+AO87)</f>
        <v>0</v>
      </c>
      <c r="AQ87" s="55" t="n">
        <f aca="false">MAX(0,MIN(AN87+AO87-AP87,$D87-(H87+M87+R87+W87+AB87+AG87+AL87)))</f>
        <v>0</v>
      </c>
      <c r="AR87" s="55" t="n">
        <f aca="false">AP87+AQ87</f>
        <v>0</v>
      </c>
      <c r="AS87" s="55" t="n">
        <f aca="false">ROUND(MAX(0,AS86+AT86-AW86),2)</f>
        <v>0</v>
      </c>
      <c r="AT87" s="55" t="n">
        <f aca="false">ROUND(AS87*$E$13/12,2)</f>
        <v>0</v>
      </c>
      <c r="AU87" s="55" t="n">
        <f aca="false">MIN($F$13,AS87+AT87)</f>
        <v>0</v>
      </c>
      <c r="AV87" s="55" t="n">
        <f aca="false">MAX(0,MIN(AS87+AT87-AU87,$D87-(H87+M87+R87+W87+AB87+AG87+AL87+AQ87)))</f>
        <v>0</v>
      </c>
      <c r="AW87" s="55" t="n">
        <f aca="false">AU87+AV87</f>
        <v>0</v>
      </c>
      <c r="AX87" s="55" t="n">
        <f aca="false">ROUND(MAX(0,AX86+AY86-BB86),2)</f>
        <v>0</v>
      </c>
      <c r="AY87" s="55" t="n">
        <f aca="false">ROUND(AX87*$E$14/12,2)</f>
        <v>0</v>
      </c>
      <c r="AZ87" s="55" t="n">
        <f aca="false">MIN($F$14,AX87+AY87)</f>
        <v>0</v>
      </c>
      <c r="BA87" s="55" t="n">
        <f aca="false">MAX(0,MIN(AX87+AY87-AZ87,$D87-(H87+M87+R87+W87+AB87+AG87+AL87+AQ87+AV87)))</f>
        <v>0</v>
      </c>
      <c r="BB87" s="55" t="n">
        <f aca="false">AZ87+BA87</f>
        <v>0</v>
      </c>
      <c r="BC87" s="55" t="n">
        <f aca="false">I87+N87+S87+X87+AC87+AH87+AM87+AR87+AW87+BB87</f>
        <v>0</v>
      </c>
      <c r="BD87" s="55" t="n">
        <f aca="false">ROUND((E87+F87-I87)+(J87+K87-N87)+(O87+P87-S87)+(T87+U87-X87)+(Y87+Z87-AC87)+(AD87+AE87-AH87)+(AI87+AJ87-AM87)+(AN87+AO87-AR87)+(AS87+AT87-AW87)+(AX87+AY87-BB87),2)</f>
        <v>0</v>
      </c>
      <c r="BE87" s="25" t="str">
        <f aca="false">IF(H87&gt;0.005,$C$5,IF(M87&gt;0.005,$C$6,IF(R87&gt;0.005,$C$7,IF(W87&gt;0.005,$C$8,IF(AB87&gt;0.005,$C$9,IF(AG87&gt;0.005,$C$10,IF(AL87&gt;0.005,$C$11,IF(AQ87&gt;0.005,$C$12,IF(AV87&gt;0.005,$C$13,IF(BA87&gt;0.005,$C$14,""))))))))))</f>
        <v/>
      </c>
    </row>
    <row r="88" customFormat="false" ht="15" hidden="false" customHeight="false" outlineLevel="0" collapsed="false">
      <c r="A88" s="24" t="n">
        <v>65</v>
      </c>
      <c r="B88" s="54" t="n">
        <f aca="false">EDATE($C$17,A88-1)</f>
        <v>48274</v>
      </c>
      <c r="C88" s="55" t="n">
        <f aca="false">G88+L88+Q88+V88+AA88+AF88+AK88+AP88+AU88+AZ88</f>
        <v>0</v>
      </c>
      <c r="D88" s="55" t="n">
        <f aca="false">MAX(0,$C$16-C88)</f>
        <v>5822</v>
      </c>
      <c r="E88" s="55" t="n">
        <f aca="false">ROUND(MAX(0,E87+F87-I87),2)</f>
        <v>0</v>
      </c>
      <c r="F88" s="55" t="n">
        <f aca="false">ROUND(E88*$E$5/12,2)</f>
        <v>0</v>
      </c>
      <c r="G88" s="55" t="n">
        <f aca="false">MIN($F$5,E88+F88)</f>
        <v>0</v>
      </c>
      <c r="H88" s="55" t="n">
        <f aca="false">MAX(0,MIN(E88+F88-G88,$D88))</f>
        <v>0</v>
      </c>
      <c r="I88" s="55" t="n">
        <f aca="false">G88+H88</f>
        <v>0</v>
      </c>
      <c r="J88" s="55" t="n">
        <f aca="false">ROUND(MAX(0,J87+K87-N87),2)</f>
        <v>0</v>
      </c>
      <c r="K88" s="55" t="n">
        <f aca="false">ROUND(J88*$E$6/12,2)</f>
        <v>0</v>
      </c>
      <c r="L88" s="55" t="n">
        <f aca="false">MIN($F$6,J88+K88)</f>
        <v>0</v>
      </c>
      <c r="M88" s="55" t="n">
        <f aca="false">MAX(0,MIN(J88+K88-L88,$D88-(H88)))</f>
        <v>0</v>
      </c>
      <c r="N88" s="55" t="n">
        <f aca="false">L88+M88</f>
        <v>0</v>
      </c>
      <c r="O88" s="55" t="n">
        <f aca="false">ROUND(MAX(0,O87+P87-S87),2)</f>
        <v>0</v>
      </c>
      <c r="P88" s="55" t="n">
        <f aca="false">ROUND(O88*$E$7/12,2)</f>
        <v>0</v>
      </c>
      <c r="Q88" s="55" t="n">
        <f aca="false">MIN($F$7,O88+P88)</f>
        <v>0</v>
      </c>
      <c r="R88" s="55" t="n">
        <f aca="false">MAX(0,MIN(O88+P88-Q88,$D88-(H88+M88)))</f>
        <v>0</v>
      </c>
      <c r="S88" s="55" t="n">
        <f aca="false">Q88+R88</f>
        <v>0</v>
      </c>
      <c r="T88" s="55" t="n">
        <f aca="false">ROUND(MAX(0,T87+U87-X87),2)</f>
        <v>0</v>
      </c>
      <c r="U88" s="55" t="n">
        <f aca="false">ROUND(T88*$E$8/12,2)</f>
        <v>0</v>
      </c>
      <c r="V88" s="55" t="n">
        <f aca="false">MIN($F$8,T88+U88)</f>
        <v>0</v>
      </c>
      <c r="W88" s="55" t="n">
        <f aca="false">MAX(0,MIN(T88+U88-V88,$D88-(H88+M88+R88)))</f>
        <v>0</v>
      </c>
      <c r="X88" s="55" t="n">
        <f aca="false">V88+W88</f>
        <v>0</v>
      </c>
      <c r="Y88" s="55" t="n">
        <f aca="false">ROUND(MAX(0,Y87+Z87-AC87),2)</f>
        <v>0</v>
      </c>
      <c r="Z88" s="55" t="n">
        <f aca="false">ROUND(Y88*$E$9/12,2)</f>
        <v>0</v>
      </c>
      <c r="AA88" s="55" t="n">
        <f aca="false">MIN($F$9,Y88+Z88)</f>
        <v>0</v>
      </c>
      <c r="AB88" s="55" t="n">
        <f aca="false">MAX(0,MIN(Y88+Z88-AA88,$D88-(H88+M88+R88+W88)))</f>
        <v>0</v>
      </c>
      <c r="AC88" s="55" t="n">
        <f aca="false">AA88+AB88</f>
        <v>0</v>
      </c>
      <c r="AD88" s="55" t="n">
        <f aca="false">ROUND(MAX(0,AD87+AE87-AH87),2)</f>
        <v>0</v>
      </c>
      <c r="AE88" s="55" t="n">
        <f aca="false">ROUND(AD88*$E$10/12,2)</f>
        <v>0</v>
      </c>
      <c r="AF88" s="55" t="n">
        <f aca="false">MIN($F$10,AD88+AE88)</f>
        <v>0</v>
      </c>
      <c r="AG88" s="55" t="n">
        <f aca="false">MAX(0,MIN(AD88+AE88-AF88,$D88-(H88+M88+R88+W88+AB88)))</f>
        <v>0</v>
      </c>
      <c r="AH88" s="55" t="n">
        <f aca="false">AF88+AG88</f>
        <v>0</v>
      </c>
      <c r="AI88" s="55" t="n">
        <f aca="false">ROUND(MAX(0,AI87+AJ87-AM87),2)</f>
        <v>0</v>
      </c>
      <c r="AJ88" s="55" t="n">
        <f aca="false">ROUND(AI88*$E$11/12,2)</f>
        <v>0</v>
      </c>
      <c r="AK88" s="55" t="n">
        <f aca="false">MIN($F$11,AI88+AJ88)</f>
        <v>0</v>
      </c>
      <c r="AL88" s="55" t="n">
        <f aca="false">MAX(0,MIN(AI88+AJ88-AK88,$D88-(H88+M88+R88+W88+AB88+AG88)))</f>
        <v>0</v>
      </c>
      <c r="AM88" s="55" t="n">
        <f aca="false">AK88+AL88</f>
        <v>0</v>
      </c>
      <c r="AN88" s="55" t="n">
        <f aca="false">ROUND(MAX(0,AN87+AO87-AR87),2)</f>
        <v>0</v>
      </c>
      <c r="AO88" s="55" t="n">
        <f aca="false">ROUND(AN88*$E$12/12,2)</f>
        <v>0</v>
      </c>
      <c r="AP88" s="55" t="n">
        <f aca="false">MIN($F$12,AN88+AO88)</f>
        <v>0</v>
      </c>
      <c r="AQ88" s="55" t="n">
        <f aca="false">MAX(0,MIN(AN88+AO88-AP88,$D88-(H88+M88+R88+W88+AB88+AG88+AL88)))</f>
        <v>0</v>
      </c>
      <c r="AR88" s="55" t="n">
        <f aca="false">AP88+AQ88</f>
        <v>0</v>
      </c>
      <c r="AS88" s="55" t="n">
        <f aca="false">ROUND(MAX(0,AS87+AT87-AW87),2)</f>
        <v>0</v>
      </c>
      <c r="AT88" s="55" t="n">
        <f aca="false">ROUND(AS88*$E$13/12,2)</f>
        <v>0</v>
      </c>
      <c r="AU88" s="55" t="n">
        <f aca="false">MIN($F$13,AS88+AT88)</f>
        <v>0</v>
      </c>
      <c r="AV88" s="55" t="n">
        <f aca="false">MAX(0,MIN(AS88+AT88-AU88,$D88-(H88+M88+R88+W88+AB88+AG88+AL88+AQ88)))</f>
        <v>0</v>
      </c>
      <c r="AW88" s="55" t="n">
        <f aca="false">AU88+AV88</f>
        <v>0</v>
      </c>
      <c r="AX88" s="55" t="n">
        <f aca="false">ROUND(MAX(0,AX87+AY87-BB87),2)</f>
        <v>0</v>
      </c>
      <c r="AY88" s="55" t="n">
        <f aca="false">ROUND(AX88*$E$14/12,2)</f>
        <v>0</v>
      </c>
      <c r="AZ88" s="55" t="n">
        <f aca="false">MIN($F$14,AX88+AY88)</f>
        <v>0</v>
      </c>
      <c r="BA88" s="55" t="n">
        <f aca="false">MAX(0,MIN(AX88+AY88-AZ88,$D88-(H88+M88+R88+W88+AB88+AG88+AL88+AQ88+AV88)))</f>
        <v>0</v>
      </c>
      <c r="BB88" s="55" t="n">
        <f aca="false">AZ88+BA88</f>
        <v>0</v>
      </c>
      <c r="BC88" s="55" t="n">
        <f aca="false">I88+N88+S88+X88+AC88+AH88+AM88+AR88+AW88+BB88</f>
        <v>0</v>
      </c>
      <c r="BD88" s="55" t="n">
        <f aca="false">ROUND((E88+F88-I88)+(J88+K88-N88)+(O88+P88-S88)+(T88+U88-X88)+(Y88+Z88-AC88)+(AD88+AE88-AH88)+(AI88+AJ88-AM88)+(AN88+AO88-AR88)+(AS88+AT88-AW88)+(AX88+AY88-BB88),2)</f>
        <v>0</v>
      </c>
      <c r="BE88" s="25" t="str">
        <f aca="false">IF(H88&gt;0.005,$C$5,IF(M88&gt;0.005,$C$6,IF(R88&gt;0.005,$C$7,IF(W88&gt;0.005,$C$8,IF(AB88&gt;0.005,$C$9,IF(AG88&gt;0.005,$C$10,IF(AL88&gt;0.005,$C$11,IF(AQ88&gt;0.005,$C$12,IF(AV88&gt;0.005,$C$13,IF(BA88&gt;0.005,$C$14,""))))))))))</f>
        <v/>
      </c>
    </row>
    <row r="89" customFormat="false" ht="15" hidden="false" customHeight="false" outlineLevel="0" collapsed="false">
      <c r="A89" s="24" t="n">
        <v>66</v>
      </c>
      <c r="B89" s="54" t="n">
        <f aca="false">EDATE($C$17,A89-1)</f>
        <v>48305</v>
      </c>
      <c r="C89" s="55" t="n">
        <f aca="false">G89+L89+Q89+V89+AA89+AF89+AK89+AP89+AU89+AZ89</f>
        <v>0</v>
      </c>
      <c r="D89" s="55" t="n">
        <f aca="false">MAX(0,$C$16-C89)</f>
        <v>5822</v>
      </c>
      <c r="E89" s="55" t="n">
        <f aca="false">ROUND(MAX(0,E88+F88-I88),2)</f>
        <v>0</v>
      </c>
      <c r="F89" s="55" t="n">
        <f aca="false">ROUND(E89*$E$5/12,2)</f>
        <v>0</v>
      </c>
      <c r="G89" s="55" t="n">
        <f aca="false">MIN($F$5,E89+F89)</f>
        <v>0</v>
      </c>
      <c r="H89" s="55" t="n">
        <f aca="false">MAX(0,MIN(E89+F89-G89,$D89))</f>
        <v>0</v>
      </c>
      <c r="I89" s="55" t="n">
        <f aca="false">G89+H89</f>
        <v>0</v>
      </c>
      <c r="J89" s="55" t="n">
        <f aca="false">ROUND(MAX(0,J88+K88-N88),2)</f>
        <v>0</v>
      </c>
      <c r="K89" s="55" t="n">
        <f aca="false">ROUND(J89*$E$6/12,2)</f>
        <v>0</v>
      </c>
      <c r="L89" s="55" t="n">
        <f aca="false">MIN($F$6,J89+K89)</f>
        <v>0</v>
      </c>
      <c r="M89" s="55" t="n">
        <f aca="false">MAX(0,MIN(J89+K89-L89,$D89-(H89)))</f>
        <v>0</v>
      </c>
      <c r="N89" s="55" t="n">
        <f aca="false">L89+M89</f>
        <v>0</v>
      </c>
      <c r="O89" s="55" t="n">
        <f aca="false">ROUND(MAX(0,O88+P88-S88),2)</f>
        <v>0</v>
      </c>
      <c r="P89" s="55" t="n">
        <f aca="false">ROUND(O89*$E$7/12,2)</f>
        <v>0</v>
      </c>
      <c r="Q89" s="55" t="n">
        <f aca="false">MIN($F$7,O89+P89)</f>
        <v>0</v>
      </c>
      <c r="R89" s="55" t="n">
        <f aca="false">MAX(0,MIN(O89+P89-Q89,$D89-(H89+M89)))</f>
        <v>0</v>
      </c>
      <c r="S89" s="55" t="n">
        <f aca="false">Q89+R89</f>
        <v>0</v>
      </c>
      <c r="T89" s="55" t="n">
        <f aca="false">ROUND(MAX(0,T88+U88-X88),2)</f>
        <v>0</v>
      </c>
      <c r="U89" s="55" t="n">
        <f aca="false">ROUND(T89*$E$8/12,2)</f>
        <v>0</v>
      </c>
      <c r="V89" s="55" t="n">
        <f aca="false">MIN($F$8,T89+U89)</f>
        <v>0</v>
      </c>
      <c r="W89" s="55" t="n">
        <f aca="false">MAX(0,MIN(T89+U89-V89,$D89-(H89+M89+R89)))</f>
        <v>0</v>
      </c>
      <c r="X89" s="55" t="n">
        <f aca="false">V89+W89</f>
        <v>0</v>
      </c>
      <c r="Y89" s="55" t="n">
        <f aca="false">ROUND(MAX(0,Y88+Z88-AC88),2)</f>
        <v>0</v>
      </c>
      <c r="Z89" s="55" t="n">
        <f aca="false">ROUND(Y89*$E$9/12,2)</f>
        <v>0</v>
      </c>
      <c r="AA89" s="55" t="n">
        <f aca="false">MIN($F$9,Y89+Z89)</f>
        <v>0</v>
      </c>
      <c r="AB89" s="55" t="n">
        <f aca="false">MAX(0,MIN(Y89+Z89-AA89,$D89-(H89+M89+R89+W89)))</f>
        <v>0</v>
      </c>
      <c r="AC89" s="55" t="n">
        <f aca="false">AA89+AB89</f>
        <v>0</v>
      </c>
      <c r="AD89" s="55" t="n">
        <f aca="false">ROUND(MAX(0,AD88+AE88-AH88),2)</f>
        <v>0</v>
      </c>
      <c r="AE89" s="55" t="n">
        <f aca="false">ROUND(AD89*$E$10/12,2)</f>
        <v>0</v>
      </c>
      <c r="AF89" s="55" t="n">
        <f aca="false">MIN($F$10,AD89+AE89)</f>
        <v>0</v>
      </c>
      <c r="AG89" s="55" t="n">
        <f aca="false">MAX(0,MIN(AD89+AE89-AF89,$D89-(H89+M89+R89+W89+AB89)))</f>
        <v>0</v>
      </c>
      <c r="AH89" s="55" t="n">
        <f aca="false">AF89+AG89</f>
        <v>0</v>
      </c>
      <c r="AI89" s="55" t="n">
        <f aca="false">ROUND(MAX(0,AI88+AJ88-AM88),2)</f>
        <v>0</v>
      </c>
      <c r="AJ89" s="55" t="n">
        <f aca="false">ROUND(AI89*$E$11/12,2)</f>
        <v>0</v>
      </c>
      <c r="AK89" s="55" t="n">
        <f aca="false">MIN($F$11,AI89+AJ89)</f>
        <v>0</v>
      </c>
      <c r="AL89" s="55" t="n">
        <f aca="false">MAX(0,MIN(AI89+AJ89-AK89,$D89-(H89+M89+R89+W89+AB89+AG89)))</f>
        <v>0</v>
      </c>
      <c r="AM89" s="55" t="n">
        <f aca="false">AK89+AL89</f>
        <v>0</v>
      </c>
      <c r="AN89" s="55" t="n">
        <f aca="false">ROUND(MAX(0,AN88+AO88-AR88),2)</f>
        <v>0</v>
      </c>
      <c r="AO89" s="55" t="n">
        <f aca="false">ROUND(AN89*$E$12/12,2)</f>
        <v>0</v>
      </c>
      <c r="AP89" s="55" t="n">
        <f aca="false">MIN($F$12,AN89+AO89)</f>
        <v>0</v>
      </c>
      <c r="AQ89" s="55" t="n">
        <f aca="false">MAX(0,MIN(AN89+AO89-AP89,$D89-(H89+M89+R89+W89+AB89+AG89+AL89)))</f>
        <v>0</v>
      </c>
      <c r="AR89" s="55" t="n">
        <f aca="false">AP89+AQ89</f>
        <v>0</v>
      </c>
      <c r="AS89" s="55" t="n">
        <f aca="false">ROUND(MAX(0,AS88+AT88-AW88),2)</f>
        <v>0</v>
      </c>
      <c r="AT89" s="55" t="n">
        <f aca="false">ROUND(AS89*$E$13/12,2)</f>
        <v>0</v>
      </c>
      <c r="AU89" s="55" t="n">
        <f aca="false">MIN($F$13,AS89+AT89)</f>
        <v>0</v>
      </c>
      <c r="AV89" s="55" t="n">
        <f aca="false">MAX(0,MIN(AS89+AT89-AU89,$D89-(H89+M89+R89+W89+AB89+AG89+AL89+AQ89)))</f>
        <v>0</v>
      </c>
      <c r="AW89" s="55" t="n">
        <f aca="false">AU89+AV89</f>
        <v>0</v>
      </c>
      <c r="AX89" s="55" t="n">
        <f aca="false">ROUND(MAX(0,AX88+AY88-BB88),2)</f>
        <v>0</v>
      </c>
      <c r="AY89" s="55" t="n">
        <f aca="false">ROUND(AX89*$E$14/12,2)</f>
        <v>0</v>
      </c>
      <c r="AZ89" s="55" t="n">
        <f aca="false">MIN($F$14,AX89+AY89)</f>
        <v>0</v>
      </c>
      <c r="BA89" s="55" t="n">
        <f aca="false">MAX(0,MIN(AX89+AY89-AZ89,$D89-(H89+M89+R89+W89+AB89+AG89+AL89+AQ89+AV89)))</f>
        <v>0</v>
      </c>
      <c r="BB89" s="55" t="n">
        <f aca="false">AZ89+BA89</f>
        <v>0</v>
      </c>
      <c r="BC89" s="55" t="n">
        <f aca="false">I89+N89+S89+X89+AC89+AH89+AM89+AR89+AW89+BB89</f>
        <v>0</v>
      </c>
      <c r="BD89" s="55" t="n">
        <f aca="false">ROUND((E89+F89-I89)+(J89+K89-N89)+(O89+P89-S89)+(T89+U89-X89)+(Y89+Z89-AC89)+(AD89+AE89-AH89)+(AI89+AJ89-AM89)+(AN89+AO89-AR89)+(AS89+AT89-AW89)+(AX89+AY89-BB89),2)</f>
        <v>0</v>
      </c>
      <c r="BE89" s="25" t="str">
        <f aca="false">IF(H89&gt;0.005,$C$5,IF(M89&gt;0.005,$C$6,IF(R89&gt;0.005,$C$7,IF(W89&gt;0.005,$C$8,IF(AB89&gt;0.005,$C$9,IF(AG89&gt;0.005,$C$10,IF(AL89&gt;0.005,$C$11,IF(AQ89&gt;0.005,$C$12,IF(AV89&gt;0.005,$C$13,IF(BA89&gt;0.005,$C$14,""))))))))))</f>
        <v/>
      </c>
    </row>
    <row r="90" customFormat="false" ht="15" hidden="false" customHeight="false" outlineLevel="0" collapsed="false">
      <c r="A90" s="24" t="n">
        <v>67</v>
      </c>
      <c r="B90" s="54" t="n">
        <f aca="false">EDATE($C$17,A90-1)</f>
        <v>48335</v>
      </c>
      <c r="C90" s="55" t="n">
        <f aca="false">G90+L90+Q90+V90+AA90+AF90+AK90+AP90+AU90+AZ90</f>
        <v>0</v>
      </c>
      <c r="D90" s="55" t="n">
        <f aca="false">MAX(0,$C$16-C90)</f>
        <v>5822</v>
      </c>
      <c r="E90" s="55" t="n">
        <f aca="false">ROUND(MAX(0,E89+F89-I89),2)</f>
        <v>0</v>
      </c>
      <c r="F90" s="55" t="n">
        <f aca="false">ROUND(E90*$E$5/12,2)</f>
        <v>0</v>
      </c>
      <c r="G90" s="55" t="n">
        <f aca="false">MIN($F$5,E90+F90)</f>
        <v>0</v>
      </c>
      <c r="H90" s="55" t="n">
        <f aca="false">MAX(0,MIN(E90+F90-G90,$D90))</f>
        <v>0</v>
      </c>
      <c r="I90" s="55" t="n">
        <f aca="false">G90+H90</f>
        <v>0</v>
      </c>
      <c r="J90" s="55" t="n">
        <f aca="false">ROUND(MAX(0,J89+K89-N89),2)</f>
        <v>0</v>
      </c>
      <c r="K90" s="55" t="n">
        <f aca="false">ROUND(J90*$E$6/12,2)</f>
        <v>0</v>
      </c>
      <c r="L90" s="55" t="n">
        <f aca="false">MIN($F$6,J90+K90)</f>
        <v>0</v>
      </c>
      <c r="M90" s="55" t="n">
        <f aca="false">MAX(0,MIN(J90+K90-L90,$D90-(H90)))</f>
        <v>0</v>
      </c>
      <c r="N90" s="55" t="n">
        <f aca="false">L90+M90</f>
        <v>0</v>
      </c>
      <c r="O90" s="55" t="n">
        <f aca="false">ROUND(MAX(0,O89+P89-S89),2)</f>
        <v>0</v>
      </c>
      <c r="P90" s="55" t="n">
        <f aca="false">ROUND(O90*$E$7/12,2)</f>
        <v>0</v>
      </c>
      <c r="Q90" s="55" t="n">
        <f aca="false">MIN($F$7,O90+P90)</f>
        <v>0</v>
      </c>
      <c r="R90" s="55" t="n">
        <f aca="false">MAX(0,MIN(O90+P90-Q90,$D90-(H90+M90)))</f>
        <v>0</v>
      </c>
      <c r="S90" s="55" t="n">
        <f aca="false">Q90+R90</f>
        <v>0</v>
      </c>
      <c r="T90" s="55" t="n">
        <f aca="false">ROUND(MAX(0,T89+U89-X89),2)</f>
        <v>0</v>
      </c>
      <c r="U90" s="55" t="n">
        <f aca="false">ROUND(T90*$E$8/12,2)</f>
        <v>0</v>
      </c>
      <c r="V90" s="55" t="n">
        <f aca="false">MIN($F$8,T90+U90)</f>
        <v>0</v>
      </c>
      <c r="W90" s="55" t="n">
        <f aca="false">MAX(0,MIN(T90+U90-V90,$D90-(H90+M90+R90)))</f>
        <v>0</v>
      </c>
      <c r="X90" s="55" t="n">
        <f aca="false">V90+W90</f>
        <v>0</v>
      </c>
      <c r="Y90" s="55" t="n">
        <f aca="false">ROUND(MAX(0,Y89+Z89-AC89),2)</f>
        <v>0</v>
      </c>
      <c r="Z90" s="55" t="n">
        <f aca="false">ROUND(Y90*$E$9/12,2)</f>
        <v>0</v>
      </c>
      <c r="AA90" s="55" t="n">
        <f aca="false">MIN($F$9,Y90+Z90)</f>
        <v>0</v>
      </c>
      <c r="AB90" s="55" t="n">
        <f aca="false">MAX(0,MIN(Y90+Z90-AA90,$D90-(H90+M90+R90+W90)))</f>
        <v>0</v>
      </c>
      <c r="AC90" s="55" t="n">
        <f aca="false">AA90+AB90</f>
        <v>0</v>
      </c>
      <c r="AD90" s="55" t="n">
        <f aca="false">ROUND(MAX(0,AD89+AE89-AH89),2)</f>
        <v>0</v>
      </c>
      <c r="AE90" s="55" t="n">
        <f aca="false">ROUND(AD90*$E$10/12,2)</f>
        <v>0</v>
      </c>
      <c r="AF90" s="55" t="n">
        <f aca="false">MIN($F$10,AD90+AE90)</f>
        <v>0</v>
      </c>
      <c r="AG90" s="55" t="n">
        <f aca="false">MAX(0,MIN(AD90+AE90-AF90,$D90-(H90+M90+R90+W90+AB90)))</f>
        <v>0</v>
      </c>
      <c r="AH90" s="55" t="n">
        <f aca="false">AF90+AG90</f>
        <v>0</v>
      </c>
      <c r="AI90" s="55" t="n">
        <f aca="false">ROUND(MAX(0,AI89+AJ89-AM89),2)</f>
        <v>0</v>
      </c>
      <c r="AJ90" s="55" t="n">
        <f aca="false">ROUND(AI90*$E$11/12,2)</f>
        <v>0</v>
      </c>
      <c r="AK90" s="55" t="n">
        <f aca="false">MIN($F$11,AI90+AJ90)</f>
        <v>0</v>
      </c>
      <c r="AL90" s="55" t="n">
        <f aca="false">MAX(0,MIN(AI90+AJ90-AK90,$D90-(H90+M90+R90+W90+AB90+AG90)))</f>
        <v>0</v>
      </c>
      <c r="AM90" s="55" t="n">
        <f aca="false">AK90+AL90</f>
        <v>0</v>
      </c>
      <c r="AN90" s="55" t="n">
        <f aca="false">ROUND(MAX(0,AN89+AO89-AR89),2)</f>
        <v>0</v>
      </c>
      <c r="AO90" s="55" t="n">
        <f aca="false">ROUND(AN90*$E$12/12,2)</f>
        <v>0</v>
      </c>
      <c r="AP90" s="55" t="n">
        <f aca="false">MIN($F$12,AN90+AO90)</f>
        <v>0</v>
      </c>
      <c r="AQ90" s="55" t="n">
        <f aca="false">MAX(0,MIN(AN90+AO90-AP90,$D90-(H90+M90+R90+W90+AB90+AG90+AL90)))</f>
        <v>0</v>
      </c>
      <c r="AR90" s="55" t="n">
        <f aca="false">AP90+AQ90</f>
        <v>0</v>
      </c>
      <c r="AS90" s="55" t="n">
        <f aca="false">ROUND(MAX(0,AS89+AT89-AW89),2)</f>
        <v>0</v>
      </c>
      <c r="AT90" s="55" t="n">
        <f aca="false">ROUND(AS90*$E$13/12,2)</f>
        <v>0</v>
      </c>
      <c r="AU90" s="55" t="n">
        <f aca="false">MIN($F$13,AS90+AT90)</f>
        <v>0</v>
      </c>
      <c r="AV90" s="55" t="n">
        <f aca="false">MAX(0,MIN(AS90+AT90-AU90,$D90-(H90+M90+R90+W90+AB90+AG90+AL90+AQ90)))</f>
        <v>0</v>
      </c>
      <c r="AW90" s="55" t="n">
        <f aca="false">AU90+AV90</f>
        <v>0</v>
      </c>
      <c r="AX90" s="55" t="n">
        <f aca="false">ROUND(MAX(0,AX89+AY89-BB89),2)</f>
        <v>0</v>
      </c>
      <c r="AY90" s="55" t="n">
        <f aca="false">ROUND(AX90*$E$14/12,2)</f>
        <v>0</v>
      </c>
      <c r="AZ90" s="55" t="n">
        <f aca="false">MIN($F$14,AX90+AY90)</f>
        <v>0</v>
      </c>
      <c r="BA90" s="55" t="n">
        <f aca="false">MAX(0,MIN(AX90+AY90-AZ90,$D90-(H90+M90+R90+W90+AB90+AG90+AL90+AQ90+AV90)))</f>
        <v>0</v>
      </c>
      <c r="BB90" s="55" t="n">
        <f aca="false">AZ90+BA90</f>
        <v>0</v>
      </c>
      <c r="BC90" s="55" t="n">
        <f aca="false">I90+N90+S90+X90+AC90+AH90+AM90+AR90+AW90+BB90</f>
        <v>0</v>
      </c>
      <c r="BD90" s="55" t="n">
        <f aca="false">ROUND((E90+F90-I90)+(J90+K90-N90)+(O90+P90-S90)+(T90+U90-X90)+(Y90+Z90-AC90)+(AD90+AE90-AH90)+(AI90+AJ90-AM90)+(AN90+AO90-AR90)+(AS90+AT90-AW90)+(AX90+AY90-BB90),2)</f>
        <v>0</v>
      </c>
      <c r="BE90" s="25" t="str">
        <f aca="false">IF(H90&gt;0.005,$C$5,IF(M90&gt;0.005,$C$6,IF(R90&gt;0.005,$C$7,IF(W90&gt;0.005,$C$8,IF(AB90&gt;0.005,$C$9,IF(AG90&gt;0.005,$C$10,IF(AL90&gt;0.005,$C$11,IF(AQ90&gt;0.005,$C$12,IF(AV90&gt;0.005,$C$13,IF(BA90&gt;0.005,$C$14,""))))))))))</f>
        <v/>
      </c>
    </row>
    <row r="91" customFormat="false" ht="15" hidden="false" customHeight="false" outlineLevel="0" collapsed="false">
      <c r="A91" s="24" t="n">
        <v>68</v>
      </c>
      <c r="B91" s="54" t="n">
        <f aca="false">EDATE($C$17,A91-1)</f>
        <v>48366</v>
      </c>
      <c r="C91" s="55" t="n">
        <f aca="false">G91+L91+Q91+V91+AA91+AF91+AK91+AP91+AU91+AZ91</f>
        <v>0</v>
      </c>
      <c r="D91" s="55" t="n">
        <f aca="false">MAX(0,$C$16-C91)</f>
        <v>5822</v>
      </c>
      <c r="E91" s="55" t="n">
        <f aca="false">ROUND(MAX(0,E90+F90-I90),2)</f>
        <v>0</v>
      </c>
      <c r="F91" s="55" t="n">
        <f aca="false">ROUND(E91*$E$5/12,2)</f>
        <v>0</v>
      </c>
      <c r="G91" s="55" t="n">
        <f aca="false">MIN($F$5,E91+F91)</f>
        <v>0</v>
      </c>
      <c r="H91" s="55" t="n">
        <f aca="false">MAX(0,MIN(E91+F91-G91,$D91))</f>
        <v>0</v>
      </c>
      <c r="I91" s="55" t="n">
        <f aca="false">G91+H91</f>
        <v>0</v>
      </c>
      <c r="J91" s="55" t="n">
        <f aca="false">ROUND(MAX(0,J90+K90-N90),2)</f>
        <v>0</v>
      </c>
      <c r="K91" s="55" t="n">
        <f aca="false">ROUND(J91*$E$6/12,2)</f>
        <v>0</v>
      </c>
      <c r="L91" s="55" t="n">
        <f aca="false">MIN($F$6,J91+K91)</f>
        <v>0</v>
      </c>
      <c r="M91" s="55" t="n">
        <f aca="false">MAX(0,MIN(J91+K91-L91,$D91-(H91)))</f>
        <v>0</v>
      </c>
      <c r="N91" s="55" t="n">
        <f aca="false">L91+M91</f>
        <v>0</v>
      </c>
      <c r="O91" s="55" t="n">
        <f aca="false">ROUND(MAX(0,O90+P90-S90),2)</f>
        <v>0</v>
      </c>
      <c r="P91" s="55" t="n">
        <f aca="false">ROUND(O91*$E$7/12,2)</f>
        <v>0</v>
      </c>
      <c r="Q91" s="55" t="n">
        <f aca="false">MIN($F$7,O91+P91)</f>
        <v>0</v>
      </c>
      <c r="R91" s="55" t="n">
        <f aca="false">MAX(0,MIN(O91+P91-Q91,$D91-(H91+M91)))</f>
        <v>0</v>
      </c>
      <c r="S91" s="55" t="n">
        <f aca="false">Q91+R91</f>
        <v>0</v>
      </c>
      <c r="T91" s="55" t="n">
        <f aca="false">ROUND(MAX(0,T90+U90-X90),2)</f>
        <v>0</v>
      </c>
      <c r="U91" s="55" t="n">
        <f aca="false">ROUND(T91*$E$8/12,2)</f>
        <v>0</v>
      </c>
      <c r="V91" s="55" t="n">
        <f aca="false">MIN($F$8,T91+U91)</f>
        <v>0</v>
      </c>
      <c r="W91" s="55" t="n">
        <f aca="false">MAX(0,MIN(T91+U91-V91,$D91-(H91+M91+R91)))</f>
        <v>0</v>
      </c>
      <c r="X91" s="55" t="n">
        <f aca="false">V91+W91</f>
        <v>0</v>
      </c>
      <c r="Y91" s="55" t="n">
        <f aca="false">ROUND(MAX(0,Y90+Z90-AC90),2)</f>
        <v>0</v>
      </c>
      <c r="Z91" s="55" t="n">
        <f aca="false">ROUND(Y91*$E$9/12,2)</f>
        <v>0</v>
      </c>
      <c r="AA91" s="55" t="n">
        <f aca="false">MIN($F$9,Y91+Z91)</f>
        <v>0</v>
      </c>
      <c r="AB91" s="55" t="n">
        <f aca="false">MAX(0,MIN(Y91+Z91-AA91,$D91-(H91+M91+R91+W91)))</f>
        <v>0</v>
      </c>
      <c r="AC91" s="55" t="n">
        <f aca="false">AA91+AB91</f>
        <v>0</v>
      </c>
      <c r="AD91" s="55" t="n">
        <f aca="false">ROUND(MAX(0,AD90+AE90-AH90),2)</f>
        <v>0</v>
      </c>
      <c r="AE91" s="55" t="n">
        <f aca="false">ROUND(AD91*$E$10/12,2)</f>
        <v>0</v>
      </c>
      <c r="AF91" s="55" t="n">
        <f aca="false">MIN($F$10,AD91+AE91)</f>
        <v>0</v>
      </c>
      <c r="AG91" s="55" t="n">
        <f aca="false">MAX(0,MIN(AD91+AE91-AF91,$D91-(H91+M91+R91+W91+AB91)))</f>
        <v>0</v>
      </c>
      <c r="AH91" s="55" t="n">
        <f aca="false">AF91+AG91</f>
        <v>0</v>
      </c>
      <c r="AI91" s="55" t="n">
        <f aca="false">ROUND(MAX(0,AI90+AJ90-AM90),2)</f>
        <v>0</v>
      </c>
      <c r="AJ91" s="55" t="n">
        <f aca="false">ROUND(AI91*$E$11/12,2)</f>
        <v>0</v>
      </c>
      <c r="AK91" s="55" t="n">
        <f aca="false">MIN($F$11,AI91+AJ91)</f>
        <v>0</v>
      </c>
      <c r="AL91" s="55" t="n">
        <f aca="false">MAX(0,MIN(AI91+AJ91-AK91,$D91-(H91+M91+R91+W91+AB91+AG91)))</f>
        <v>0</v>
      </c>
      <c r="AM91" s="55" t="n">
        <f aca="false">AK91+AL91</f>
        <v>0</v>
      </c>
      <c r="AN91" s="55" t="n">
        <f aca="false">ROUND(MAX(0,AN90+AO90-AR90),2)</f>
        <v>0</v>
      </c>
      <c r="AO91" s="55" t="n">
        <f aca="false">ROUND(AN91*$E$12/12,2)</f>
        <v>0</v>
      </c>
      <c r="AP91" s="55" t="n">
        <f aca="false">MIN($F$12,AN91+AO91)</f>
        <v>0</v>
      </c>
      <c r="AQ91" s="55" t="n">
        <f aca="false">MAX(0,MIN(AN91+AO91-AP91,$D91-(H91+M91+R91+W91+AB91+AG91+AL91)))</f>
        <v>0</v>
      </c>
      <c r="AR91" s="55" t="n">
        <f aca="false">AP91+AQ91</f>
        <v>0</v>
      </c>
      <c r="AS91" s="55" t="n">
        <f aca="false">ROUND(MAX(0,AS90+AT90-AW90),2)</f>
        <v>0</v>
      </c>
      <c r="AT91" s="55" t="n">
        <f aca="false">ROUND(AS91*$E$13/12,2)</f>
        <v>0</v>
      </c>
      <c r="AU91" s="55" t="n">
        <f aca="false">MIN($F$13,AS91+AT91)</f>
        <v>0</v>
      </c>
      <c r="AV91" s="55" t="n">
        <f aca="false">MAX(0,MIN(AS91+AT91-AU91,$D91-(H91+M91+R91+W91+AB91+AG91+AL91+AQ91)))</f>
        <v>0</v>
      </c>
      <c r="AW91" s="55" t="n">
        <f aca="false">AU91+AV91</f>
        <v>0</v>
      </c>
      <c r="AX91" s="55" t="n">
        <f aca="false">ROUND(MAX(0,AX90+AY90-BB90),2)</f>
        <v>0</v>
      </c>
      <c r="AY91" s="55" t="n">
        <f aca="false">ROUND(AX91*$E$14/12,2)</f>
        <v>0</v>
      </c>
      <c r="AZ91" s="55" t="n">
        <f aca="false">MIN($F$14,AX91+AY91)</f>
        <v>0</v>
      </c>
      <c r="BA91" s="55" t="n">
        <f aca="false">MAX(0,MIN(AX91+AY91-AZ91,$D91-(H91+M91+R91+W91+AB91+AG91+AL91+AQ91+AV91)))</f>
        <v>0</v>
      </c>
      <c r="BB91" s="55" t="n">
        <f aca="false">AZ91+BA91</f>
        <v>0</v>
      </c>
      <c r="BC91" s="55" t="n">
        <f aca="false">I91+N91+S91+X91+AC91+AH91+AM91+AR91+AW91+BB91</f>
        <v>0</v>
      </c>
      <c r="BD91" s="55" t="n">
        <f aca="false">ROUND((E91+F91-I91)+(J91+K91-N91)+(O91+P91-S91)+(T91+U91-X91)+(Y91+Z91-AC91)+(AD91+AE91-AH91)+(AI91+AJ91-AM91)+(AN91+AO91-AR91)+(AS91+AT91-AW91)+(AX91+AY91-BB91),2)</f>
        <v>0</v>
      </c>
      <c r="BE91" s="25" t="str">
        <f aca="false">IF(H91&gt;0.005,$C$5,IF(M91&gt;0.005,$C$6,IF(R91&gt;0.005,$C$7,IF(W91&gt;0.005,$C$8,IF(AB91&gt;0.005,$C$9,IF(AG91&gt;0.005,$C$10,IF(AL91&gt;0.005,$C$11,IF(AQ91&gt;0.005,$C$12,IF(AV91&gt;0.005,$C$13,IF(BA91&gt;0.005,$C$14,""))))))))))</f>
        <v/>
      </c>
    </row>
    <row r="92" customFormat="false" ht="15" hidden="false" customHeight="false" outlineLevel="0" collapsed="false">
      <c r="A92" s="24" t="n">
        <v>69</v>
      </c>
      <c r="B92" s="54" t="n">
        <f aca="false">EDATE($C$17,A92-1)</f>
        <v>48396</v>
      </c>
      <c r="C92" s="55" t="n">
        <f aca="false">G92+L92+Q92+V92+AA92+AF92+AK92+AP92+AU92+AZ92</f>
        <v>0</v>
      </c>
      <c r="D92" s="55" t="n">
        <f aca="false">MAX(0,$C$16-C92)</f>
        <v>5822</v>
      </c>
      <c r="E92" s="55" t="n">
        <f aca="false">ROUND(MAX(0,E91+F91-I91),2)</f>
        <v>0</v>
      </c>
      <c r="F92" s="55" t="n">
        <f aca="false">ROUND(E92*$E$5/12,2)</f>
        <v>0</v>
      </c>
      <c r="G92" s="55" t="n">
        <f aca="false">MIN($F$5,E92+F92)</f>
        <v>0</v>
      </c>
      <c r="H92" s="55" t="n">
        <f aca="false">MAX(0,MIN(E92+F92-G92,$D92))</f>
        <v>0</v>
      </c>
      <c r="I92" s="55" t="n">
        <f aca="false">G92+H92</f>
        <v>0</v>
      </c>
      <c r="J92" s="55" t="n">
        <f aca="false">ROUND(MAX(0,J91+K91-N91),2)</f>
        <v>0</v>
      </c>
      <c r="K92" s="55" t="n">
        <f aca="false">ROUND(J92*$E$6/12,2)</f>
        <v>0</v>
      </c>
      <c r="L92" s="55" t="n">
        <f aca="false">MIN($F$6,J92+K92)</f>
        <v>0</v>
      </c>
      <c r="M92" s="55" t="n">
        <f aca="false">MAX(0,MIN(J92+K92-L92,$D92-(H92)))</f>
        <v>0</v>
      </c>
      <c r="N92" s="55" t="n">
        <f aca="false">L92+M92</f>
        <v>0</v>
      </c>
      <c r="O92" s="55" t="n">
        <f aca="false">ROUND(MAX(0,O91+P91-S91),2)</f>
        <v>0</v>
      </c>
      <c r="P92" s="55" t="n">
        <f aca="false">ROUND(O92*$E$7/12,2)</f>
        <v>0</v>
      </c>
      <c r="Q92" s="55" t="n">
        <f aca="false">MIN($F$7,O92+P92)</f>
        <v>0</v>
      </c>
      <c r="R92" s="55" t="n">
        <f aca="false">MAX(0,MIN(O92+P92-Q92,$D92-(H92+M92)))</f>
        <v>0</v>
      </c>
      <c r="S92" s="55" t="n">
        <f aca="false">Q92+R92</f>
        <v>0</v>
      </c>
      <c r="T92" s="55" t="n">
        <f aca="false">ROUND(MAX(0,T91+U91-X91),2)</f>
        <v>0</v>
      </c>
      <c r="U92" s="55" t="n">
        <f aca="false">ROUND(T92*$E$8/12,2)</f>
        <v>0</v>
      </c>
      <c r="V92" s="55" t="n">
        <f aca="false">MIN($F$8,T92+U92)</f>
        <v>0</v>
      </c>
      <c r="W92" s="55" t="n">
        <f aca="false">MAX(0,MIN(T92+U92-V92,$D92-(H92+M92+R92)))</f>
        <v>0</v>
      </c>
      <c r="X92" s="55" t="n">
        <f aca="false">V92+W92</f>
        <v>0</v>
      </c>
      <c r="Y92" s="55" t="n">
        <f aca="false">ROUND(MAX(0,Y91+Z91-AC91),2)</f>
        <v>0</v>
      </c>
      <c r="Z92" s="55" t="n">
        <f aca="false">ROUND(Y92*$E$9/12,2)</f>
        <v>0</v>
      </c>
      <c r="AA92" s="55" t="n">
        <f aca="false">MIN($F$9,Y92+Z92)</f>
        <v>0</v>
      </c>
      <c r="AB92" s="55" t="n">
        <f aca="false">MAX(0,MIN(Y92+Z92-AA92,$D92-(H92+M92+R92+W92)))</f>
        <v>0</v>
      </c>
      <c r="AC92" s="55" t="n">
        <f aca="false">AA92+AB92</f>
        <v>0</v>
      </c>
      <c r="AD92" s="55" t="n">
        <f aca="false">ROUND(MAX(0,AD91+AE91-AH91),2)</f>
        <v>0</v>
      </c>
      <c r="AE92" s="55" t="n">
        <f aca="false">ROUND(AD92*$E$10/12,2)</f>
        <v>0</v>
      </c>
      <c r="AF92" s="55" t="n">
        <f aca="false">MIN($F$10,AD92+AE92)</f>
        <v>0</v>
      </c>
      <c r="AG92" s="55" t="n">
        <f aca="false">MAX(0,MIN(AD92+AE92-AF92,$D92-(H92+M92+R92+W92+AB92)))</f>
        <v>0</v>
      </c>
      <c r="AH92" s="55" t="n">
        <f aca="false">AF92+AG92</f>
        <v>0</v>
      </c>
      <c r="AI92" s="55" t="n">
        <f aca="false">ROUND(MAX(0,AI91+AJ91-AM91),2)</f>
        <v>0</v>
      </c>
      <c r="AJ92" s="55" t="n">
        <f aca="false">ROUND(AI92*$E$11/12,2)</f>
        <v>0</v>
      </c>
      <c r="AK92" s="55" t="n">
        <f aca="false">MIN($F$11,AI92+AJ92)</f>
        <v>0</v>
      </c>
      <c r="AL92" s="55" t="n">
        <f aca="false">MAX(0,MIN(AI92+AJ92-AK92,$D92-(H92+M92+R92+W92+AB92+AG92)))</f>
        <v>0</v>
      </c>
      <c r="AM92" s="55" t="n">
        <f aca="false">AK92+AL92</f>
        <v>0</v>
      </c>
      <c r="AN92" s="55" t="n">
        <f aca="false">ROUND(MAX(0,AN91+AO91-AR91),2)</f>
        <v>0</v>
      </c>
      <c r="AO92" s="55" t="n">
        <f aca="false">ROUND(AN92*$E$12/12,2)</f>
        <v>0</v>
      </c>
      <c r="AP92" s="55" t="n">
        <f aca="false">MIN($F$12,AN92+AO92)</f>
        <v>0</v>
      </c>
      <c r="AQ92" s="55" t="n">
        <f aca="false">MAX(0,MIN(AN92+AO92-AP92,$D92-(H92+M92+R92+W92+AB92+AG92+AL92)))</f>
        <v>0</v>
      </c>
      <c r="AR92" s="55" t="n">
        <f aca="false">AP92+AQ92</f>
        <v>0</v>
      </c>
      <c r="AS92" s="55" t="n">
        <f aca="false">ROUND(MAX(0,AS91+AT91-AW91),2)</f>
        <v>0</v>
      </c>
      <c r="AT92" s="55" t="n">
        <f aca="false">ROUND(AS92*$E$13/12,2)</f>
        <v>0</v>
      </c>
      <c r="AU92" s="55" t="n">
        <f aca="false">MIN($F$13,AS92+AT92)</f>
        <v>0</v>
      </c>
      <c r="AV92" s="55" t="n">
        <f aca="false">MAX(0,MIN(AS92+AT92-AU92,$D92-(H92+M92+R92+W92+AB92+AG92+AL92+AQ92)))</f>
        <v>0</v>
      </c>
      <c r="AW92" s="55" t="n">
        <f aca="false">AU92+AV92</f>
        <v>0</v>
      </c>
      <c r="AX92" s="55" t="n">
        <f aca="false">ROUND(MAX(0,AX91+AY91-BB91),2)</f>
        <v>0</v>
      </c>
      <c r="AY92" s="55" t="n">
        <f aca="false">ROUND(AX92*$E$14/12,2)</f>
        <v>0</v>
      </c>
      <c r="AZ92" s="55" t="n">
        <f aca="false">MIN($F$14,AX92+AY92)</f>
        <v>0</v>
      </c>
      <c r="BA92" s="55" t="n">
        <f aca="false">MAX(0,MIN(AX92+AY92-AZ92,$D92-(H92+M92+R92+W92+AB92+AG92+AL92+AQ92+AV92)))</f>
        <v>0</v>
      </c>
      <c r="BB92" s="55" t="n">
        <f aca="false">AZ92+BA92</f>
        <v>0</v>
      </c>
      <c r="BC92" s="55" t="n">
        <f aca="false">I92+N92+S92+X92+AC92+AH92+AM92+AR92+AW92+BB92</f>
        <v>0</v>
      </c>
      <c r="BD92" s="55" t="n">
        <f aca="false">ROUND((E92+F92-I92)+(J92+K92-N92)+(O92+P92-S92)+(T92+U92-X92)+(Y92+Z92-AC92)+(AD92+AE92-AH92)+(AI92+AJ92-AM92)+(AN92+AO92-AR92)+(AS92+AT92-AW92)+(AX92+AY92-BB92),2)</f>
        <v>0</v>
      </c>
      <c r="BE92" s="25" t="str">
        <f aca="false">IF(H92&gt;0.005,$C$5,IF(M92&gt;0.005,$C$6,IF(R92&gt;0.005,$C$7,IF(W92&gt;0.005,$C$8,IF(AB92&gt;0.005,$C$9,IF(AG92&gt;0.005,$C$10,IF(AL92&gt;0.005,$C$11,IF(AQ92&gt;0.005,$C$12,IF(AV92&gt;0.005,$C$13,IF(BA92&gt;0.005,$C$14,""))))))))))</f>
        <v/>
      </c>
    </row>
    <row r="93" customFormat="false" ht="15" hidden="false" customHeight="false" outlineLevel="0" collapsed="false">
      <c r="A93" s="24" t="n">
        <v>70</v>
      </c>
      <c r="B93" s="54" t="n">
        <f aca="false">EDATE($C$17,A93-1)</f>
        <v>48427</v>
      </c>
      <c r="C93" s="55" t="n">
        <f aca="false">G93+L93+Q93+V93+AA93+AF93+AK93+AP93+AU93+AZ93</f>
        <v>0</v>
      </c>
      <c r="D93" s="55" t="n">
        <f aca="false">MAX(0,$C$16-C93)</f>
        <v>5822</v>
      </c>
      <c r="E93" s="55" t="n">
        <f aca="false">ROUND(MAX(0,E92+F92-I92),2)</f>
        <v>0</v>
      </c>
      <c r="F93" s="55" t="n">
        <f aca="false">ROUND(E93*$E$5/12,2)</f>
        <v>0</v>
      </c>
      <c r="G93" s="55" t="n">
        <f aca="false">MIN($F$5,E93+F93)</f>
        <v>0</v>
      </c>
      <c r="H93" s="55" t="n">
        <f aca="false">MAX(0,MIN(E93+F93-G93,$D93))</f>
        <v>0</v>
      </c>
      <c r="I93" s="55" t="n">
        <f aca="false">G93+H93</f>
        <v>0</v>
      </c>
      <c r="J93" s="55" t="n">
        <f aca="false">ROUND(MAX(0,J92+K92-N92),2)</f>
        <v>0</v>
      </c>
      <c r="K93" s="55" t="n">
        <f aca="false">ROUND(J93*$E$6/12,2)</f>
        <v>0</v>
      </c>
      <c r="L93" s="55" t="n">
        <f aca="false">MIN($F$6,J93+K93)</f>
        <v>0</v>
      </c>
      <c r="M93" s="55" t="n">
        <f aca="false">MAX(0,MIN(J93+K93-L93,$D93-(H93)))</f>
        <v>0</v>
      </c>
      <c r="N93" s="55" t="n">
        <f aca="false">L93+M93</f>
        <v>0</v>
      </c>
      <c r="O93" s="55" t="n">
        <f aca="false">ROUND(MAX(0,O92+P92-S92),2)</f>
        <v>0</v>
      </c>
      <c r="P93" s="55" t="n">
        <f aca="false">ROUND(O93*$E$7/12,2)</f>
        <v>0</v>
      </c>
      <c r="Q93" s="55" t="n">
        <f aca="false">MIN($F$7,O93+P93)</f>
        <v>0</v>
      </c>
      <c r="R93" s="55" t="n">
        <f aca="false">MAX(0,MIN(O93+P93-Q93,$D93-(H93+M93)))</f>
        <v>0</v>
      </c>
      <c r="S93" s="55" t="n">
        <f aca="false">Q93+R93</f>
        <v>0</v>
      </c>
      <c r="T93" s="55" t="n">
        <f aca="false">ROUND(MAX(0,T92+U92-X92),2)</f>
        <v>0</v>
      </c>
      <c r="U93" s="55" t="n">
        <f aca="false">ROUND(T93*$E$8/12,2)</f>
        <v>0</v>
      </c>
      <c r="V93" s="55" t="n">
        <f aca="false">MIN($F$8,T93+U93)</f>
        <v>0</v>
      </c>
      <c r="W93" s="55" t="n">
        <f aca="false">MAX(0,MIN(T93+U93-V93,$D93-(H93+M93+R93)))</f>
        <v>0</v>
      </c>
      <c r="X93" s="55" t="n">
        <f aca="false">V93+W93</f>
        <v>0</v>
      </c>
      <c r="Y93" s="55" t="n">
        <f aca="false">ROUND(MAX(0,Y92+Z92-AC92),2)</f>
        <v>0</v>
      </c>
      <c r="Z93" s="55" t="n">
        <f aca="false">ROUND(Y93*$E$9/12,2)</f>
        <v>0</v>
      </c>
      <c r="AA93" s="55" t="n">
        <f aca="false">MIN($F$9,Y93+Z93)</f>
        <v>0</v>
      </c>
      <c r="AB93" s="55" t="n">
        <f aca="false">MAX(0,MIN(Y93+Z93-AA93,$D93-(H93+M93+R93+W93)))</f>
        <v>0</v>
      </c>
      <c r="AC93" s="55" t="n">
        <f aca="false">AA93+AB93</f>
        <v>0</v>
      </c>
      <c r="AD93" s="55" t="n">
        <f aca="false">ROUND(MAX(0,AD92+AE92-AH92),2)</f>
        <v>0</v>
      </c>
      <c r="AE93" s="55" t="n">
        <f aca="false">ROUND(AD93*$E$10/12,2)</f>
        <v>0</v>
      </c>
      <c r="AF93" s="55" t="n">
        <f aca="false">MIN($F$10,AD93+AE93)</f>
        <v>0</v>
      </c>
      <c r="AG93" s="55" t="n">
        <f aca="false">MAX(0,MIN(AD93+AE93-AF93,$D93-(H93+M93+R93+W93+AB93)))</f>
        <v>0</v>
      </c>
      <c r="AH93" s="55" t="n">
        <f aca="false">AF93+AG93</f>
        <v>0</v>
      </c>
      <c r="AI93" s="55" t="n">
        <f aca="false">ROUND(MAX(0,AI92+AJ92-AM92),2)</f>
        <v>0</v>
      </c>
      <c r="AJ93" s="55" t="n">
        <f aca="false">ROUND(AI93*$E$11/12,2)</f>
        <v>0</v>
      </c>
      <c r="AK93" s="55" t="n">
        <f aca="false">MIN($F$11,AI93+AJ93)</f>
        <v>0</v>
      </c>
      <c r="AL93" s="55" t="n">
        <f aca="false">MAX(0,MIN(AI93+AJ93-AK93,$D93-(H93+M93+R93+W93+AB93+AG93)))</f>
        <v>0</v>
      </c>
      <c r="AM93" s="55" t="n">
        <f aca="false">AK93+AL93</f>
        <v>0</v>
      </c>
      <c r="AN93" s="55" t="n">
        <f aca="false">ROUND(MAX(0,AN92+AO92-AR92),2)</f>
        <v>0</v>
      </c>
      <c r="AO93" s="55" t="n">
        <f aca="false">ROUND(AN93*$E$12/12,2)</f>
        <v>0</v>
      </c>
      <c r="AP93" s="55" t="n">
        <f aca="false">MIN($F$12,AN93+AO93)</f>
        <v>0</v>
      </c>
      <c r="AQ93" s="55" t="n">
        <f aca="false">MAX(0,MIN(AN93+AO93-AP93,$D93-(H93+M93+R93+W93+AB93+AG93+AL93)))</f>
        <v>0</v>
      </c>
      <c r="AR93" s="55" t="n">
        <f aca="false">AP93+AQ93</f>
        <v>0</v>
      </c>
      <c r="AS93" s="55" t="n">
        <f aca="false">ROUND(MAX(0,AS92+AT92-AW92),2)</f>
        <v>0</v>
      </c>
      <c r="AT93" s="55" t="n">
        <f aca="false">ROUND(AS93*$E$13/12,2)</f>
        <v>0</v>
      </c>
      <c r="AU93" s="55" t="n">
        <f aca="false">MIN($F$13,AS93+AT93)</f>
        <v>0</v>
      </c>
      <c r="AV93" s="55" t="n">
        <f aca="false">MAX(0,MIN(AS93+AT93-AU93,$D93-(H93+M93+R93+W93+AB93+AG93+AL93+AQ93)))</f>
        <v>0</v>
      </c>
      <c r="AW93" s="55" t="n">
        <f aca="false">AU93+AV93</f>
        <v>0</v>
      </c>
      <c r="AX93" s="55" t="n">
        <f aca="false">ROUND(MAX(0,AX92+AY92-BB92),2)</f>
        <v>0</v>
      </c>
      <c r="AY93" s="55" t="n">
        <f aca="false">ROUND(AX93*$E$14/12,2)</f>
        <v>0</v>
      </c>
      <c r="AZ93" s="55" t="n">
        <f aca="false">MIN($F$14,AX93+AY93)</f>
        <v>0</v>
      </c>
      <c r="BA93" s="55" t="n">
        <f aca="false">MAX(0,MIN(AX93+AY93-AZ93,$D93-(H93+M93+R93+W93+AB93+AG93+AL93+AQ93+AV93)))</f>
        <v>0</v>
      </c>
      <c r="BB93" s="55" t="n">
        <f aca="false">AZ93+BA93</f>
        <v>0</v>
      </c>
      <c r="BC93" s="55" t="n">
        <f aca="false">I93+N93+S93+X93+AC93+AH93+AM93+AR93+AW93+BB93</f>
        <v>0</v>
      </c>
      <c r="BD93" s="55" t="n">
        <f aca="false">ROUND((E93+F93-I93)+(J93+K93-N93)+(O93+P93-S93)+(T93+U93-X93)+(Y93+Z93-AC93)+(AD93+AE93-AH93)+(AI93+AJ93-AM93)+(AN93+AO93-AR93)+(AS93+AT93-AW93)+(AX93+AY93-BB93),2)</f>
        <v>0</v>
      </c>
      <c r="BE93" s="25" t="str">
        <f aca="false">IF(H93&gt;0.005,$C$5,IF(M93&gt;0.005,$C$6,IF(R93&gt;0.005,$C$7,IF(W93&gt;0.005,$C$8,IF(AB93&gt;0.005,$C$9,IF(AG93&gt;0.005,$C$10,IF(AL93&gt;0.005,$C$11,IF(AQ93&gt;0.005,$C$12,IF(AV93&gt;0.005,$C$13,IF(BA93&gt;0.005,$C$14,""))))))))))</f>
        <v/>
      </c>
    </row>
    <row r="94" customFormat="false" ht="15" hidden="false" customHeight="false" outlineLevel="0" collapsed="false">
      <c r="A94" s="24" t="n">
        <v>71</v>
      </c>
      <c r="B94" s="54" t="n">
        <f aca="false">EDATE($C$17,A94-1)</f>
        <v>48458</v>
      </c>
      <c r="C94" s="55" t="n">
        <f aca="false">G94+L94+Q94+V94+AA94+AF94+AK94+AP94+AU94+AZ94</f>
        <v>0</v>
      </c>
      <c r="D94" s="55" t="n">
        <f aca="false">MAX(0,$C$16-C94)</f>
        <v>5822</v>
      </c>
      <c r="E94" s="55" t="n">
        <f aca="false">ROUND(MAX(0,E93+F93-I93),2)</f>
        <v>0</v>
      </c>
      <c r="F94" s="55" t="n">
        <f aca="false">ROUND(E94*$E$5/12,2)</f>
        <v>0</v>
      </c>
      <c r="G94" s="55" t="n">
        <f aca="false">MIN($F$5,E94+F94)</f>
        <v>0</v>
      </c>
      <c r="H94" s="55" t="n">
        <f aca="false">MAX(0,MIN(E94+F94-G94,$D94))</f>
        <v>0</v>
      </c>
      <c r="I94" s="55" t="n">
        <f aca="false">G94+H94</f>
        <v>0</v>
      </c>
      <c r="J94" s="55" t="n">
        <f aca="false">ROUND(MAX(0,J93+K93-N93),2)</f>
        <v>0</v>
      </c>
      <c r="K94" s="55" t="n">
        <f aca="false">ROUND(J94*$E$6/12,2)</f>
        <v>0</v>
      </c>
      <c r="L94" s="55" t="n">
        <f aca="false">MIN($F$6,J94+K94)</f>
        <v>0</v>
      </c>
      <c r="M94" s="55" t="n">
        <f aca="false">MAX(0,MIN(J94+K94-L94,$D94-(H94)))</f>
        <v>0</v>
      </c>
      <c r="N94" s="55" t="n">
        <f aca="false">L94+M94</f>
        <v>0</v>
      </c>
      <c r="O94" s="55" t="n">
        <f aca="false">ROUND(MAX(0,O93+P93-S93),2)</f>
        <v>0</v>
      </c>
      <c r="P94" s="55" t="n">
        <f aca="false">ROUND(O94*$E$7/12,2)</f>
        <v>0</v>
      </c>
      <c r="Q94" s="55" t="n">
        <f aca="false">MIN($F$7,O94+P94)</f>
        <v>0</v>
      </c>
      <c r="R94" s="55" t="n">
        <f aca="false">MAX(0,MIN(O94+P94-Q94,$D94-(H94+M94)))</f>
        <v>0</v>
      </c>
      <c r="S94" s="55" t="n">
        <f aca="false">Q94+R94</f>
        <v>0</v>
      </c>
      <c r="T94" s="55" t="n">
        <f aca="false">ROUND(MAX(0,T93+U93-X93),2)</f>
        <v>0</v>
      </c>
      <c r="U94" s="55" t="n">
        <f aca="false">ROUND(T94*$E$8/12,2)</f>
        <v>0</v>
      </c>
      <c r="V94" s="55" t="n">
        <f aca="false">MIN($F$8,T94+U94)</f>
        <v>0</v>
      </c>
      <c r="W94" s="55" t="n">
        <f aca="false">MAX(0,MIN(T94+U94-V94,$D94-(H94+M94+R94)))</f>
        <v>0</v>
      </c>
      <c r="X94" s="55" t="n">
        <f aca="false">V94+W94</f>
        <v>0</v>
      </c>
      <c r="Y94" s="55" t="n">
        <f aca="false">ROUND(MAX(0,Y93+Z93-AC93),2)</f>
        <v>0</v>
      </c>
      <c r="Z94" s="55" t="n">
        <f aca="false">ROUND(Y94*$E$9/12,2)</f>
        <v>0</v>
      </c>
      <c r="AA94" s="55" t="n">
        <f aca="false">MIN($F$9,Y94+Z94)</f>
        <v>0</v>
      </c>
      <c r="AB94" s="55" t="n">
        <f aca="false">MAX(0,MIN(Y94+Z94-AA94,$D94-(H94+M94+R94+W94)))</f>
        <v>0</v>
      </c>
      <c r="AC94" s="55" t="n">
        <f aca="false">AA94+AB94</f>
        <v>0</v>
      </c>
      <c r="AD94" s="55" t="n">
        <f aca="false">ROUND(MAX(0,AD93+AE93-AH93),2)</f>
        <v>0</v>
      </c>
      <c r="AE94" s="55" t="n">
        <f aca="false">ROUND(AD94*$E$10/12,2)</f>
        <v>0</v>
      </c>
      <c r="AF94" s="55" t="n">
        <f aca="false">MIN($F$10,AD94+AE94)</f>
        <v>0</v>
      </c>
      <c r="AG94" s="55" t="n">
        <f aca="false">MAX(0,MIN(AD94+AE94-AF94,$D94-(H94+M94+R94+W94+AB94)))</f>
        <v>0</v>
      </c>
      <c r="AH94" s="55" t="n">
        <f aca="false">AF94+AG94</f>
        <v>0</v>
      </c>
      <c r="AI94" s="55" t="n">
        <f aca="false">ROUND(MAX(0,AI93+AJ93-AM93),2)</f>
        <v>0</v>
      </c>
      <c r="AJ94" s="55" t="n">
        <f aca="false">ROUND(AI94*$E$11/12,2)</f>
        <v>0</v>
      </c>
      <c r="AK94" s="55" t="n">
        <f aca="false">MIN($F$11,AI94+AJ94)</f>
        <v>0</v>
      </c>
      <c r="AL94" s="55" t="n">
        <f aca="false">MAX(0,MIN(AI94+AJ94-AK94,$D94-(H94+M94+R94+W94+AB94+AG94)))</f>
        <v>0</v>
      </c>
      <c r="AM94" s="55" t="n">
        <f aca="false">AK94+AL94</f>
        <v>0</v>
      </c>
      <c r="AN94" s="55" t="n">
        <f aca="false">ROUND(MAX(0,AN93+AO93-AR93),2)</f>
        <v>0</v>
      </c>
      <c r="AO94" s="55" t="n">
        <f aca="false">ROUND(AN94*$E$12/12,2)</f>
        <v>0</v>
      </c>
      <c r="AP94" s="55" t="n">
        <f aca="false">MIN($F$12,AN94+AO94)</f>
        <v>0</v>
      </c>
      <c r="AQ94" s="55" t="n">
        <f aca="false">MAX(0,MIN(AN94+AO94-AP94,$D94-(H94+M94+R94+W94+AB94+AG94+AL94)))</f>
        <v>0</v>
      </c>
      <c r="AR94" s="55" t="n">
        <f aca="false">AP94+AQ94</f>
        <v>0</v>
      </c>
      <c r="AS94" s="55" t="n">
        <f aca="false">ROUND(MAX(0,AS93+AT93-AW93),2)</f>
        <v>0</v>
      </c>
      <c r="AT94" s="55" t="n">
        <f aca="false">ROUND(AS94*$E$13/12,2)</f>
        <v>0</v>
      </c>
      <c r="AU94" s="55" t="n">
        <f aca="false">MIN($F$13,AS94+AT94)</f>
        <v>0</v>
      </c>
      <c r="AV94" s="55" t="n">
        <f aca="false">MAX(0,MIN(AS94+AT94-AU94,$D94-(H94+M94+R94+W94+AB94+AG94+AL94+AQ94)))</f>
        <v>0</v>
      </c>
      <c r="AW94" s="55" t="n">
        <f aca="false">AU94+AV94</f>
        <v>0</v>
      </c>
      <c r="AX94" s="55" t="n">
        <f aca="false">ROUND(MAX(0,AX93+AY93-BB93),2)</f>
        <v>0</v>
      </c>
      <c r="AY94" s="55" t="n">
        <f aca="false">ROUND(AX94*$E$14/12,2)</f>
        <v>0</v>
      </c>
      <c r="AZ94" s="55" t="n">
        <f aca="false">MIN($F$14,AX94+AY94)</f>
        <v>0</v>
      </c>
      <c r="BA94" s="55" t="n">
        <f aca="false">MAX(0,MIN(AX94+AY94-AZ94,$D94-(H94+M94+R94+W94+AB94+AG94+AL94+AQ94+AV94)))</f>
        <v>0</v>
      </c>
      <c r="BB94" s="55" t="n">
        <f aca="false">AZ94+BA94</f>
        <v>0</v>
      </c>
      <c r="BC94" s="55" t="n">
        <f aca="false">I94+N94+S94+X94+AC94+AH94+AM94+AR94+AW94+BB94</f>
        <v>0</v>
      </c>
      <c r="BD94" s="55" t="n">
        <f aca="false">ROUND((E94+F94-I94)+(J94+K94-N94)+(O94+P94-S94)+(T94+U94-X94)+(Y94+Z94-AC94)+(AD94+AE94-AH94)+(AI94+AJ94-AM94)+(AN94+AO94-AR94)+(AS94+AT94-AW94)+(AX94+AY94-BB94),2)</f>
        <v>0</v>
      </c>
      <c r="BE94" s="25" t="str">
        <f aca="false">IF(H94&gt;0.005,$C$5,IF(M94&gt;0.005,$C$6,IF(R94&gt;0.005,$C$7,IF(W94&gt;0.005,$C$8,IF(AB94&gt;0.005,$C$9,IF(AG94&gt;0.005,$C$10,IF(AL94&gt;0.005,$C$11,IF(AQ94&gt;0.005,$C$12,IF(AV94&gt;0.005,$C$13,IF(BA94&gt;0.005,$C$14,""))))))))))</f>
        <v/>
      </c>
    </row>
    <row r="95" customFormat="false" ht="15" hidden="false" customHeight="false" outlineLevel="0" collapsed="false">
      <c r="A95" s="24" t="n">
        <v>72</v>
      </c>
      <c r="B95" s="54" t="n">
        <f aca="false">EDATE($C$17,A95-1)</f>
        <v>48488</v>
      </c>
      <c r="C95" s="55" t="n">
        <f aca="false">G95+L95+Q95+V95+AA95+AF95+AK95+AP95+AU95+AZ95</f>
        <v>0</v>
      </c>
      <c r="D95" s="55" t="n">
        <f aca="false">MAX(0,$C$16-C95)</f>
        <v>5822</v>
      </c>
      <c r="E95" s="55" t="n">
        <f aca="false">ROUND(MAX(0,E94+F94-I94),2)</f>
        <v>0</v>
      </c>
      <c r="F95" s="55" t="n">
        <f aca="false">ROUND(E95*$E$5/12,2)</f>
        <v>0</v>
      </c>
      <c r="G95" s="55" t="n">
        <f aca="false">MIN($F$5,E95+F95)</f>
        <v>0</v>
      </c>
      <c r="H95" s="55" t="n">
        <f aca="false">MAX(0,MIN(E95+F95-G95,$D95))</f>
        <v>0</v>
      </c>
      <c r="I95" s="55" t="n">
        <f aca="false">G95+H95</f>
        <v>0</v>
      </c>
      <c r="J95" s="55" t="n">
        <f aca="false">ROUND(MAX(0,J94+K94-N94),2)</f>
        <v>0</v>
      </c>
      <c r="K95" s="55" t="n">
        <f aca="false">ROUND(J95*$E$6/12,2)</f>
        <v>0</v>
      </c>
      <c r="L95" s="55" t="n">
        <f aca="false">MIN($F$6,J95+K95)</f>
        <v>0</v>
      </c>
      <c r="M95" s="55" t="n">
        <f aca="false">MAX(0,MIN(J95+K95-L95,$D95-(H95)))</f>
        <v>0</v>
      </c>
      <c r="N95" s="55" t="n">
        <f aca="false">L95+M95</f>
        <v>0</v>
      </c>
      <c r="O95" s="55" t="n">
        <f aca="false">ROUND(MAX(0,O94+P94-S94),2)</f>
        <v>0</v>
      </c>
      <c r="P95" s="55" t="n">
        <f aca="false">ROUND(O95*$E$7/12,2)</f>
        <v>0</v>
      </c>
      <c r="Q95" s="55" t="n">
        <f aca="false">MIN($F$7,O95+P95)</f>
        <v>0</v>
      </c>
      <c r="R95" s="55" t="n">
        <f aca="false">MAX(0,MIN(O95+P95-Q95,$D95-(H95+M95)))</f>
        <v>0</v>
      </c>
      <c r="S95" s="55" t="n">
        <f aca="false">Q95+R95</f>
        <v>0</v>
      </c>
      <c r="T95" s="55" t="n">
        <f aca="false">ROUND(MAX(0,T94+U94-X94),2)</f>
        <v>0</v>
      </c>
      <c r="U95" s="55" t="n">
        <f aca="false">ROUND(T95*$E$8/12,2)</f>
        <v>0</v>
      </c>
      <c r="V95" s="55" t="n">
        <f aca="false">MIN($F$8,T95+U95)</f>
        <v>0</v>
      </c>
      <c r="W95" s="55" t="n">
        <f aca="false">MAX(0,MIN(T95+U95-V95,$D95-(H95+M95+R95)))</f>
        <v>0</v>
      </c>
      <c r="X95" s="55" t="n">
        <f aca="false">V95+W95</f>
        <v>0</v>
      </c>
      <c r="Y95" s="55" t="n">
        <f aca="false">ROUND(MAX(0,Y94+Z94-AC94),2)</f>
        <v>0</v>
      </c>
      <c r="Z95" s="55" t="n">
        <f aca="false">ROUND(Y95*$E$9/12,2)</f>
        <v>0</v>
      </c>
      <c r="AA95" s="55" t="n">
        <f aca="false">MIN($F$9,Y95+Z95)</f>
        <v>0</v>
      </c>
      <c r="AB95" s="55" t="n">
        <f aca="false">MAX(0,MIN(Y95+Z95-AA95,$D95-(H95+M95+R95+W95)))</f>
        <v>0</v>
      </c>
      <c r="AC95" s="55" t="n">
        <f aca="false">AA95+AB95</f>
        <v>0</v>
      </c>
      <c r="AD95" s="55" t="n">
        <f aca="false">ROUND(MAX(0,AD94+AE94-AH94),2)</f>
        <v>0</v>
      </c>
      <c r="AE95" s="55" t="n">
        <f aca="false">ROUND(AD95*$E$10/12,2)</f>
        <v>0</v>
      </c>
      <c r="AF95" s="55" t="n">
        <f aca="false">MIN($F$10,AD95+AE95)</f>
        <v>0</v>
      </c>
      <c r="AG95" s="55" t="n">
        <f aca="false">MAX(0,MIN(AD95+AE95-AF95,$D95-(H95+M95+R95+W95+AB95)))</f>
        <v>0</v>
      </c>
      <c r="AH95" s="55" t="n">
        <f aca="false">AF95+AG95</f>
        <v>0</v>
      </c>
      <c r="AI95" s="55" t="n">
        <f aca="false">ROUND(MAX(0,AI94+AJ94-AM94),2)</f>
        <v>0</v>
      </c>
      <c r="AJ95" s="55" t="n">
        <f aca="false">ROUND(AI95*$E$11/12,2)</f>
        <v>0</v>
      </c>
      <c r="AK95" s="55" t="n">
        <f aca="false">MIN($F$11,AI95+AJ95)</f>
        <v>0</v>
      </c>
      <c r="AL95" s="55" t="n">
        <f aca="false">MAX(0,MIN(AI95+AJ95-AK95,$D95-(H95+M95+R95+W95+AB95+AG95)))</f>
        <v>0</v>
      </c>
      <c r="AM95" s="55" t="n">
        <f aca="false">AK95+AL95</f>
        <v>0</v>
      </c>
      <c r="AN95" s="55" t="n">
        <f aca="false">ROUND(MAX(0,AN94+AO94-AR94),2)</f>
        <v>0</v>
      </c>
      <c r="AO95" s="55" t="n">
        <f aca="false">ROUND(AN95*$E$12/12,2)</f>
        <v>0</v>
      </c>
      <c r="AP95" s="55" t="n">
        <f aca="false">MIN($F$12,AN95+AO95)</f>
        <v>0</v>
      </c>
      <c r="AQ95" s="55" t="n">
        <f aca="false">MAX(0,MIN(AN95+AO95-AP95,$D95-(H95+M95+R95+W95+AB95+AG95+AL95)))</f>
        <v>0</v>
      </c>
      <c r="AR95" s="55" t="n">
        <f aca="false">AP95+AQ95</f>
        <v>0</v>
      </c>
      <c r="AS95" s="55" t="n">
        <f aca="false">ROUND(MAX(0,AS94+AT94-AW94),2)</f>
        <v>0</v>
      </c>
      <c r="AT95" s="55" t="n">
        <f aca="false">ROUND(AS95*$E$13/12,2)</f>
        <v>0</v>
      </c>
      <c r="AU95" s="55" t="n">
        <f aca="false">MIN($F$13,AS95+AT95)</f>
        <v>0</v>
      </c>
      <c r="AV95" s="55" t="n">
        <f aca="false">MAX(0,MIN(AS95+AT95-AU95,$D95-(H95+M95+R95+W95+AB95+AG95+AL95+AQ95)))</f>
        <v>0</v>
      </c>
      <c r="AW95" s="55" t="n">
        <f aca="false">AU95+AV95</f>
        <v>0</v>
      </c>
      <c r="AX95" s="55" t="n">
        <f aca="false">ROUND(MAX(0,AX94+AY94-BB94),2)</f>
        <v>0</v>
      </c>
      <c r="AY95" s="55" t="n">
        <f aca="false">ROUND(AX95*$E$14/12,2)</f>
        <v>0</v>
      </c>
      <c r="AZ95" s="55" t="n">
        <f aca="false">MIN($F$14,AX95+AY95)</f>
        <v>0</v>
      </c>
      <c r="BA95" s="55" t="n">
        <f aca="false">MAX(0,MIN(AX95+AY95-AZ95,$D95-(H95+M95+R95+W95+AB95+AG95+AL95+AQ95+AV95)))</f>
        <v>0</v>
      </c>
      <c r="BB95" s="55" t="n">
        <f aca="false">AZ95+BA95</f>
        <v>0</v>
      </c>
      <c r="BC95" s="55" t="n">
        <f aca="false">I95+N95+S95+X95+AC95+AH95+AM95+AR95+AW95+BB95</f>
        <v>0</v>
      </c>
      <c r="BD95" s="55" t="n">
        <f aca="false">ROUND((E95+F95-I95)+(J95+K95-N95)+(O95+P95-S95)+(T95+U95-X95)+(Y95+Z95-AC95)+(AD95+AE95-AH95)+(AI95+AJ95-AM95)+(AN95+AO95-AR95)+(AS95+AT95-AW95)+(AX95+AY95-BB95),2)</f>
        <v>0</v>
      </c>
      <c r="BE95" s="25" t="str">
        <f aca="false">IF(H95&gt;0.005,$C$5,IF(M95&gt;0.005,$C$6,IF(R95&gt;0.005,$C$7,IF(W95&gt;0.005,$C$8,IF(AB95&gt;0.005,$C$9,IF(AG95&gt;0.005,$C$10,IF(AL95&gt;0.005,$C$11,IF(AQ95&gt;0.005,$C$12,IF(AV95&gt;0.005,$C$13,IF(BA95&gt;0.005,$C$14,""))))))))))</f>
        <v/>
      </c>
    </row>
    <row r="96" customFormat="false" ht="15" hidden="false" customHeight="false" outlineLevel="0" collapsed="false">
      <c r="A96" s="24" t="n">
        <v>73</v>
      </c>
      <c r="B96" s="54" t="n">
        <f aca="false">EDATE($C$17,A96-1)</f>
        <v>48519</v>
      </c>
      <c r="C96" s="55" t="n">
        <f aca="false">G96+L96+Q96+V96+AA96+AF96+AK96+AP96+AU96+AZ96</f>
        <v>0</v>
      </c>
      <c r="D96" s="55" t="n">
        <f aca="false">MAX(0,$C$16-C96)</f>
        <v>5822</v>
      </c>
      <c r="E96" s="55" t="n">
        <f aca="false">ROUND(MAX(0,E95+F95-I95),2)</f>
        <v>0</v>
      </c>
      <c r="F96" s="55" t="n">
        <f aca="false">ROUND(E96*$E$5/12,2)</f>
        <v>0</v>
      </c>
      <c r="G96" s="55" t="n">
        <f aca="false">MIN($F$5,E96+F96)</f>
        <v>0</v>
      </c>
      <c r="H96" s="55" t="n">
        <f aca="false">MAX(0,MIN(E96+F96-G96,$D96))</f>
        <v>0</v>
      </c>
      <c r="I96" s="55" t="n">
        <f aca="false">G96+H96</f>
        <v>0</v>
      </c>
      <c r="J96" s="55" t="n">
        <f aca="false">ROUND(MAX(0,J95+K95-N95),2)</f>
        <v>0</v>
      </c>
      <c r="K96" s="55" t="n">
        <f aca="false">ROUND(J96*$E$6/12,2)</f>
        <v>0</v>
      </c>
      <c r="L96" s="55" t="n">
        <f aca="false">MIN($F$6,J96+K96)</f>
        <v>0</v>
      </c>
      <c r="M96" s="55" t="n">
        <f aca="false">MAX(0,MIN(J96+K96-L96,$D96-(H96)))</f>
        <v>0</v>
      </c>
      <c r="N96" s="55" t="n">
        <f aca="false">L96+M96</f>
        <v>0</v>
      </c>
      <c r="O96" s="55" t="n">
        <f aca="false">ROUND(MAX(0,O95+P95-S95),2)</f>
        <v>0</v>
      </c>
      <c r="P96" s="55" t="n">
        <f aca="false">ROUND(O96*$E$7/12,2)</f>
        <v>0</v>
      </c>
      <c r="Q96" s="55" t="n">
        <f aca="false">MIN($F$7,O96+P96)</f>
        <v>0</v>
      </c>
      <c r="R96" s="55" t="n">
        <f aca="false">MAX(0,MIN(O96+P96-Q96,$D96-(H96+M96)))</f>
        <v>0</v>
      </c>
      <c r="S96" s="55" t="n">
        <f aca="false">Q96+R96</f>
        <v>0</v>
      </c>
      <c r="T96" s="55" t="n">
        <f aca="false">ROUND(MAX(0,T95+U95-X95),2)</f>
        <v>0</v>
      </c>
      <c r="U96" s="55" t="n">
        <f aca="false">ROUND(T96*$E$8/12,2)</f>
        <v>0</v>
      </c>
      <c r="V96" s="55" t="n">
        <f aca="false">MIN($F$8,T96+U96)</f>
        <v>0</v>
      </c>
      <c r="W96" s="55" t="n">
        <f aca="false">MAX(0,MIN(T96+U96-V96,$D96-(H96+M96+R96)))</f>
        <v>0</v>
      </c>
      <c r="X96" s="55" t="n">
        <f aca="false">V96+W96</f>
        <v>0</v>
      </c>
      <c r="Y96" s="55" t="n">
        <f aca="false">ROUND(MAX(0,Y95+Z95-AC95),2)</f>
        <v>0</v>
      </c>
      <c r="Z96" s="55" t="n">
        <f aca="false">ROUND(Y96*$E$9/12,2)</f>
        <v>0</v>
      </c>
      <c r="AA96" s="55" t="n">
        <f aca="false">MIN($F$9,Y96+Z96)</f>
        <v>0</v>
      </c>
      <c r="AB96" s="55" t="n">
        <f aca="false">MAX(0,MIN(Y96+Z96-AA96,$D96-(H96+M96+R96+W96)))</f>
        <v>0</v>
      </c>
      <c r="AC96" s="55" t="n">
        <f aca="false">AA96+AB96</f>
        <v>0</v>
      </c>
      <c r="AD96" s="55" t="n">
        <f aca="false">ROUND(MAX(0,AD95+AE95-AH95),2)</f>
        <v>0</v>
      </c>
      <c r="AE96" s="55" t="n">
        <f aca="false">ROUND(AD96*$E$10/12,2)</f>
        <v>0</v>
      </c>
      <c r="AF96" s="55" t="n">
        <f aca="false">MIN($F$10,AD96+AE96)</f>
        <v>0</v>
      </c>
      <c r="AG96" s="55" t="n">
        <f aca="false">MAX(0,MIN(AD96+AE96-AF96,$D96-(H96+M96+R96+W96+AB96)))</f>
        <v>0</v>
      </c>
      <c r="AH96" s="55" t="n">
        <f aca="false">AF96+AG96</f>
        <v>0</v>
      </c>
      <c r="AI96" s="55" t="n">
        <f aca="false">ROUND(MAX(0,AI95+AJ95-AM95),2)</f>
        <v>0</v>
      </c>
      <c r="AJ96" s="55" t="n">
        <f aca="false">ROUND(AI96*$E$11/12,2)</f>
        <v>0</v>
      </c>
      <c r="AK96" s="55" t="n">
        <f aca="false">MIN($F$11,AI96+AJ96)</f>
        <v>0</v>
      </c>
      <c r="AL96" s="55" t="n">
        <f aca="false">MAX(0,MIN(AI96+AJ96-AK96,$D96-(H96+M96+R96+W96+AB96+AG96)))</f>
        <v>0</v>
      </c>
      <c r="AM96" s="55" t="n">
        <f aca="false">AK96+AL96</f>
        <v>0</v>
      </c>
      <c r="AN96" s="55" t="n">
        <f aca="false">ROUND(MAX(0,AN95+AO95-AR95),2)</f>
        <v>0</v>
      </c>
      <c r="AO96" s="55" t="n">
        <f aca="false">ROUND(AN96*$E$12/12,2)</f>
        <v>0</v>
      </c>
      <c r="AP96" s="55" t="n">
        <f aca="false">MIN($F$12,AN96+AO96)</f>
        <v>0</v>
      </c>
      <c r="AQ96" s="55" t="n">
        <f aca="false">MAX(0,MIN(AN96+AO96-AP96,$D96-(H96+M96+R96+W96+AB96+AG96+AL96)))</f>
        <v>0</v>
      </c>
      <c r="AR96" s="55" t="n">
        <f aca="false">AP96+AQ96</f>
        <v>0</v>
      </c>
      <c r="AS96" s="55" t="n">
        <f aca="false">ROUND(MAX(0,AS95+AT95-AW95),2)</f>
        <v>0</v>
      </c>
      <c r="AT96" s="55" t="n">
        <f aca="false">ROUND(AS96*$E$13/12,2)</f>
        <v>0</v>
      </c>
      <c r="AU96" s="55" t="n">
        <f aca="false">MIN($F$13,AS96+AT96)</f>
        <v>0</v>
      </c>
      <c r="AV96" s="55" t="n">
        <f aca="false">MAX(0,MIN(AS96+AT96-AU96,$D96-(H96+M96+R96+W96+AB96+AG96+AL96+AQ96)))</f>
        <v>0</v>
      </c>
      <c r="AW96" s="55" t="n">
        <f aca="false">AU96+AV96</f>
        <v>0</v>
      </c>
      <c r="AX96" s="55" t="n">
        <f aca="false">ROUND(MAX(0,AX95+AY95-BB95),2)</f>
        <v>0</v>
      </c>
      <c r="AY96" s="55" t="n">
        <f aca="false">ROUND(AX96*$E$14/12,2)</f>
        <v>0</v>
      </c>
      <c r="AZ96" s="55" t="n">
        <f aca="false">MIN($F$14,AX96+AY96)</f>
        <v>0</v>
      </c>
      <c r="BA96" s="55" t="n">
        <f aca="false">MAX(0,MIN(AX96+AY96-AZ96,$D96-(H96+M96+R96+W96+AB96+AG96+AL96+AQ96+AV96)))</f>
        <v>0</v>
      </c>
      <c r="BB96" s="55" t="n">
        <f aca="false">AZ96+BA96</f>
        <v>0</v>
      </c>
      <c r="BC96" s="55" t="n">
        <f aca="false">I96+N96+S96+X96+AC96+AH96+AM96+AR96+AW96+BB96</f>
        <v>0</v>
      </c>
      <c r="BD96" s="55" t="n">
        <f aca="false">ROUND((E96+F96-I96)+(J96+K96-N96)+(O96+P96-S96)+(T96+U96-X96)+(Y96+Z96-AC96)+(AD96+AE96-AH96)+(AI96+AJ96-AM96)+(AN96+AO96-AR96)+(AS96+AT96-AW96)+(AX96+AY96-BB96),2)</f>
        <v>0</v>
      </c>
      <c r="BE96" s="25" t="str">
        <f aca="false">IF(H96&gt;0.005,$C$5,IF(M96&gt;0.005,$C$6,IF(R96&gt;0.005,$C$7,IF(W96&gt;0.005,$C$8,IF(AB96&gt;0.005,$C$9,IF(AG96&gt;0.005,$C$10,IF(AL96&gt;0.005,$C$11,IF(AQ96&gt;0.005,$C$12,IF(AV96&gt;0.005,$C$13,IF(BA96&gt;0.005,$C$14,""))))))))))</f>
        <v/>
      </c>
    </row>
    <row r="97" customFormat="false" ht="15" hidden="false" customHeight="false" outlineLevel="0" collapsed="false">
      <c r="A97" s="24" t="n">
        <v>74</v>
      </c>
      <c r="B97" s="54" t="n">
        <f aca="false">EDATE($C$17,A97-1)</f>
        <v>48549</v>
      </c>
      <c r="C97" s="55" t="n">
        <f aca="false">G97+L97+Q97+V97+AA97+AF97+AK97+AP97+AU97+AZ97</f>
        <v>0</v>
      </c>
      <c r="D97" s="55" t="n">
        <f aca="false">MAX(0,$C$16-C97)</f>
        <v>5822</v>
      </c>
      <c r="E97" s="55" t="n">
        <f aca="false">ROUND(MAX(0,E96+F96-I96),2)</f>
        <v>0</v>
      </c>
      <c r="F97" s="55" t="n">
        <f aca="false">ROUND(E97*$E$5/12,2)</f>
        <v>0</v>
      </c>
      <c r="G97" s="55" t="n">
        <f aca="false">MIN($F$5,E97+F97)</f>
        <v>0</v>
      </c>
      <c r="H97" s="55" t="n">
        <f aca="false">MAX(0,MIN(E97+F97-G97,$D97))</f>
        <v>0</v>
      </c>
      <c r="I97" s="55" t="n">
        <f aca="false">G97+H97</f>
        <v>0</v>
      </c>
      <c r="J97" s="55" t="n">
        <f aca="false">ROUND(MAX(0,J96+K96-N96),2)</f>
        <v>0</v>
      </c>
      <c r="K97" s="55" t="n">
        <f aca="false">ROUND(J97*$E$6/12,2)</f>
        <v>0</v>
      </c>
      <c r="L97" s="55" t="n">
        <f aca="false">MIN($F$6,J97+K97)</f>
        <v>0</v>
      </c>
      <c r="M97" s="55" t="n">
        <f aca="false">MAX(0,MIN(J97+K97-L97,$D97-(H97)))</f>
        <v>0</v>
      </c>
      <c r="N97" s="55" t="n">
        <f aca="false">L97+M97</f>
        <v>0</v>
      </c>
      <c r="O97" s="55" t="n">
        <f aca="false">ROUND(MAX(0,O96+P96-S96),2)</f>
        <v>0</v>
      </c>
      <c r="P97" s="55" t="n">
        <f aca="false">ROUND(O97*$E$7/12,2)</f>
        <v>0</v>
      </c>
      <c r="Q97" s="55" t="n">
        <f aca="false">MIN($F$7,O97+P97)</f>
        <v>0</v>
      </c>
      <c r="R97" s="55" t="n">
        <f aca="false">MAX(0,MIN(O97+P97-Q97,$D97-(H97+M97)))</f>
        <v>0</v>
      </c>
      <c r="S97" s="55" t="n">
        <f aca="false">Q97+R97</f>
        <v>0</v>
      </c>
      <c r="T97" s="55" t="n">
        <f aca="false">ROUND(MAX(0,T96+U96-X96),2)</f>
        <v>0</v>
      </c>
      <c r="U97" s="55" t="n">
        <f aca="false">ROUND(T97*$E$8/12,2)</f>
        <v>0</v>
      </c>
      <c r="V97" s="55" t="n">
        <f aca="false">MIN($F$8,T97+U97)</f>
        <v>0</v>
      </c>
      <c r="W97" s="55" t="n">
        <f aca="false">MAX(0,MIN(T97+U97-V97,$D97-(H97+M97+R97)))</f>
        <v>0</v>
      </c>
      <c r="X97" s="55" t="n">
        <f aca="false">V97+W97</f>
        <v>0</v>
      </c>
      <c r="Y97" s="55" t="n">
        <f aca="false">ROUND(MAX(0,Y96+Z96-AC96),2)</f>
        <v>0</v>
      </c>
      <c r="Z97" s="55" t="n">
        <f aca="false">ROUND(Y97*$E$9/12,2)</f>
        <v>0</v>
      </c>
      <c r="AA97" s="55" t="n">
        <f aca="false">MIN($F$9,Y97+Z97)</f>
        <v>0</v>
      </c>
      <c r="AB97" s="55" t="n">
        <f aca="false">MAX(0,MIN(Y97+Z97-AA97,$D97-(H97+M97+R97+W97)))</f>
        <v>0</v>
      </c>
      <c r="AC97" s="55" t="n">
        <f aca="false">AA97+AB97</f>
        <v>0</v>
      </c>
      <c r="AD97" s="55" t="n">
        <f aca="false">ROUND(MAX(0,AD96+AE96-AH96),2)</f>
        <v>0</v>
      </c>
      <c r="AE97" s="55" t="n">
        <f aca="false">ROUND(AD97*$E$10/12,2)</f>
        <v>0</v>
      </c>
      <c r="AF97" s="55" t="n">
        <f aca="false">MIN($F$10,AD97+AE97)</f>
        <v>0</v>
      </c>
      <c r="AG97" s="55" t="n">
        <f aca="false">MAX(0,MIN(AD97+AE97-AF97,$D97-(H97+M97+R97+W97+AB97)))</f>
        <v>0</v>
      </c>
      <c r="AH97" s="55" t="n">
        <f aca="false">AF97+AG97</f>
        <v>0</v>
      </c>
      <c r="AI97" s="55" t="n">
        <f aca="false">ROUND(MAX(0,AI96+AJ96-AM96),2)</f>
        <v>0</v>
      </c>
      <c r="AJ97" s="55" t="n">
        <f aca="false">ROUND(AI97*$E$11/12,2)</f>
        <v>0</v>
      </c>
      <c r="AK97" s="55" t="n">
        <f aca="false">MIN($F$11,AI97+AJ97)</f>
        <v>0</v>
      </c>
      <c r="AL97" s="55" t="n">
        <f aca="false">MAX(0,MIN(AI97+AJ97-AK97,$D97-(H97+M97+R97+W97+AB97+AG97)))</f>
        <v>0</v>
      </c>
      <c r="AM97" s="55" t="n">
        <f aca="false">AK97+AL97</f>
        <v>0</v>
      </c>
      <c r="AN97" s="55" t="n">
        <f aca="false">ROUND(MAX(0,AN96+AO96-AR96),2)</f>
        <v>0</v>
      </c>
      <c r="AO97" s="55" t="n">
        <f aca="false">ROUND(AN97*$E$12/12,2)</f>
        <v>0</v>
      </c>
      <c r="AP97" s="55" t="n">
        <f aca="false">MIN($F$12,AN97+AO97)</f>
        <v>0</v>
      </c>
      <c r="AQ97" s="55" t="n">
        <f aca="false">MAX(0,MIN(AN97+AO97-AP97,$D97-(H97+M97+R97+W97+AB97+AG97+AL97)))</f>
        <v>0</v>
      </c>
      <c r="AR97" s="55" t="n">
        <f aca="false">AP97+AQ97</f>
        <v>0</v>
      </c>
      <c r="AS97" s="55" t="n">
        <f aca="false">ROUND(MAX(0,AS96+AT96-AW96),2)</f>
        <v>0</v>
      </c>
      <c r="AT97" s="55" t="n">
        <f aca="false">ROUND(AS97*$E$13/12,2)</f>
        <v>0</v>
      </c>
      <c r="AU97" s="55" t="n">
        <f aca="false">MIN($F$13,AS97+AT97)</f>
        <v>0</v>
      </c>
      <c r="AV97" s="55" t="n">
        <f aca="false">MAX(0,MIN(AS97+AT97-AU97,$D97-(H97+M97+R97+W97+AB97+AG97+AL97+AQ97)))</f>
        <v>0</v>
      </c>
      <c r="AW97" s="55" t="n">
        <f aca="false">AU97+AV97</f>
        <v>0</v>
      </c>
      <c r="AX97" s="55" t="n">
        <f aca="false">ROUND(MAX(0,AX96+AY96-BB96),2)</f>
        <v>0</v>
      </c>
      <c r="AY97" s="55" t="n">
        <f aca="false">ROUND(AX97*$E$14/12,2)</f>
        <v>0</v>
      </c>
      <c r="AZ97" s="55" t="n">
        <f aca="false">MIN($F$14,AX97+AY97)</f>
        <v>0</v>
      </c>
      <c r="BA97" s="55" t="n">
        <f aca="false">MAX(0,MIN(AX97+AY97-AZ97,$D97-(H97+M97+R97+W97+AB97+AG97+AL97+AQ97+AV97)))</f>
        <v>0</v>
      </c>
      <c r="BB97" s="55" t="n">
        <f aca="false">AZ97+BA97</f>
        <v>0</v>
      </c>
      <c r="BC97" s="55" t="n">
        <f aca="false">I97+N97+S97+X97+AC97+AH97+AM97+AR97+AW97+BB97</f>
        <v>0</v>
      </c>
      <c r="BD97" s="55" t="n">
        <f aca="false">ROUND((E97+F97-I97)+(J97+K97-N97)+(O97+P97-S97)+(T97+U97-X97)+(Y97+Z97-AC97)+(AD97+AE97-AH97)+(AI97+AJ97-AM97)+(AN97+AO97-AR97)+(AS97+AT97-AW97)+(AX97+AY97-BB97),2)</f>
        <v>0</v>
      </c>
      <c r="BE97" s="25" t="str">
        <f aca="false">IF(H97&gt;0.005,$C$5,IF(M97&gt;0.005,$C$6,IF(R97&gt;0.005,$C$7,IF(W97&gt;0.005,$C$8,IF(AB97&gt;0.005,$C$9,IF(AG97&gt;0.005,$C$10,IF(AL97&gt;0.005,$C$11,IF(AQ97&gt;0.005,$C$12,IF(AV97&gt;0.005,$C$13,IF(BA97&gt;0.005,$C$14,""))))))))))</f>
        <v/>
      </c>
    </row>
    <row r="98" customFormat="false" ht="15" hidden="false" customHeight="false" outlineLevel="0" collapsed="false">
      <c r="A98" s="24" t="n">
        <v>75</v>
      </c>
      <c r="B98" s="54" t="n">
        <f aca="false">EDATE($C$17,A98-1)</f>
        <v>48580</v>
      </c>
      <c r="C98" s="55" t="n">
        <f aca="false">G98+L98+Q98+V98+AA98+AF98+AK98+AP98+AU98+AZ98</f>
        <v>0</v>
      </c>
      <c r="D98" s="55" t="n">
        <f aca="false">MAX(0,$C$16-C98)</f>
        <v>5822</v>
      </c>
      <c r="E98" s="55" t="n">
        <f aca="false">ROUND(MAX(0,E97+F97-I97),2)</f>
        <v>0</v>
      </c>
      <c r="F98" s="55" t="n">
        <f aca="false">ROUND(E98*$E$5/12,2)</f>
        <v>0</v>
      </c>
      <c r="G98" s="55" t="n">
        <f aca="false">MIN($F$5,E98+F98)</f>
        <v>0</v>
      </c>
      <c r="H98" s="55" t="n">
        <f aca="false">MAX(0,MIN(E98+F98-G98,$D98))</f>
        <v>0</v>
      </c>
      <c r="I98" s="55" t="n">
        <f aca="false">G98+H98</f>
        <v>0</v>
      </c>
      <c r="J98" s="55" t="n">
        <f aca="false">ROUND(MAX(0,J97+K97-N97),2)</f>
        <v>0</v>
      </c>
      <c r="K98" s="55" t="n">
        <f aca="false">ROUND(J98*$E$6/12,2)</f>
        <v>0</v>
      </c>
      <c r="L98" s="55" t="n">
        <f aca="false">MIN($F$6,J98+K98)</f>
        <v>0</v>
      </c>
      <c r="M98" s="55" t="n">
        <f aca="false">MAX(0,MIN(J98+K98-L98,$D98-(H98)))</f>
        <v>0</v>
      </c>
      <c r="N98" s="55" t="n">
        <f aca="false">L98+M98</f>
        <v>0</v>
      </c>
      <c r="O98" s="55" t="n">
        <f aca="false">ROUND(MAX(0,O97+P97-S97),2)</f>
        <v>0</v>
      </c>
      <c r="P98" s="55" t="n">
        <f aca="false">ROUND(O98*$E$7/12,2)</f>
        <v>0</v>
      </c>
      <c r="Q98" s="55" t="n">
        <f aca="false">MIN($F$7,O98+P98)</f>
        <v>0</v>
      </c>
      <c r="R98" s="55" t="n">
        <f aca="false">MAX(0,MIN(O98+P98-Q98,$D98-(H98+M98)))</f>
        <v>0</v>
      </c>
      <c r="S98" s="55" t="n">
        <f aca="false">Q98+R98</f>
        <v>0</v>
      </c>
      <c r="T98" s="55" t="n">
        <f aca="false">ROUND(MAX(0,T97+U97-X97),2)</f>
        <v>0</v>
      </c>
      <c r="U98" s="55" t="n">
        <f aca="false">ROUND(T98*$E$8/12,2)</f>
        <v>0</v>
      </c>
      <c r="V98" s="55" t="n">
        <f aca="false">MIN($F$8,T98+U98)</f>
        <v>0</v>
      </c>
      <c r="W98" s="55" t="n">
        <f aca="false">MAX(0,MIN(T98+U98-V98,$D98-(H98+M98+R98)))</f>
        <v>0</v>
      </c>
      <c r="X98" s="55" t="n">
        <f aca="false">V98+W98</f>
        <v>0</v>
      </c>
      <c r="Y98" s="55" t="n">
        <f aca="false">ROUND(MAX(0,Y97+Z97-AC97),2)</f>
        <v>0</v>
      </c>
      <c r="Z98" s="55" t="n">
        <f aca="false">ROUND(Y98*$E$9/12,2)</f>
        <v>0</v>
      </c>
      <c r="AA98" s="55" t="n">
        <f aca="false">MIN($F$9,Y98+Z98)</f>
        <v>0</v>
      </c>
      <c r="AB98" s="55" t="n">
        <f aca="false">MAX(0,MIN(Y98+Z98-AA98,$D98-(H98+M98+R98+W98)))</f>
        <v>0</v>
      </c>
      <c r="AC98" s="55" t="n">
        <f aca="false">AA98+AB98</f>
        <v>0</v>
      </c>
      <c r="AD98" s="55" t="n">
        <f aca="false">ROUND(MAX(0,AD97+AE97-AH97),2)</f>
        <v>0</v>
      </c>
      <c r="AE98" s="55" t="n">
        <f aca="false">ROUND(AD98*$E$10/12,2)</f>
        <v>0</v>
      </c>
      <c r="AF98" s="55" t="n">
        <f aca="false">MIN($F$10,AD98+AE98)</f>
        <v>0</v>
      </c>
      <c r="AG98" s="55" t="n">
        <f aca="false">MAX(0,MIN(AD98+AE98-AF98,$D98-(H98+M98+R98+W98+AB98)))</f>
        <v>0</v>
      </c>
      <c r="AH98" s="55" t="n">
        <f aca="false">AF98+AG98</f>
        <v>0</v>
      </c>
      <c r="AI98" s="55" t="n">
        <f aca="false">ROUND(MAX(0,AI97+AJ97-AM97),2)</f>
        <v>0</v>
      </c>
      <c r="AJ98" s="55" t="n">
        <f aca="false">ROUND(AI98*$E$11/12,2)</f>
        <v>0</v>
      </c>
      <c r="AK98" s="55" t="n">
        <f aca="false">MIN($F$11,AI98+AJ98)</f>
        <v>0</v>
      </c>
      <c r="AL98" s="55" t="n">
        <f aca="false">MAX(0,MIN(AI98+AJ98-AK98,$D98-(H98+M98+R98+W98+AB98+AG98)))</f>
        <v>0</v>
      </c>
      <c r="AM98" s="55" t="n">
        <f aca="false">AK98+AL98</f>
        <v>0</v>
      </c>
      <c r="AN98" s="55" t="n">
        <f aca="false">ROUND(MAX(0,AN97+AO97-AR97),2)</f>
        <v>0</v>
      </c>
      <c r="AO98" s="55" t="n">
        <f aca="false">ROUND(AN98*$E$12/12,2)</f>
        <v>0</v>
      </c>
      <c r="AP98" s="55" t="n">
        <f aca="false">MIN($F$12,AN98+AO98)</f>
        <v>0</v>
      </c>
      <c r="AQ98" s="55" t="n">
        <f aca="false">MAX(0,MIN(AN98+AO98-AP98,$D98-(H98+M98+R98+W98+AB98+AG98+AL98)))</f>
        <v>0</v>
      </c>
      <c r="AR98" s="55" t="n">
        <f aca="false">AP98+AQ98</f>
        <v>0</v>
      </c>
      <c r="AS98" s="55" t="n">
        <f aca="false">ROUND(MAX(0,AS97+AT97-AW97),2)</f>
        <v>0</v>
      </c>
      <c r="AT98" s="55" t="n">
        <f aca="false">ROUND(AS98*$E$13/12,2)</f>
        <v>0</v>
      </c>
      <c r="AU98" s="55" t="n">
        <f aca="false">MIN($F$13,AS98+AT98)</f>
        <v>0</v>
      </c>
      <c r="AV98" s="55" t="n">
        <f aca="false">MAX(0,MIN(AS98+AT98-AU98,$D98-(H98+M98+R98+W98+AB98+AG98+AL98+AQ98)))</f>
        <v>0</v>
      </c>
      <c r="AW98" s="55" t="n">
        <f aca="false">AU98+AV98</f>
        <v>0</v>
      </c>
      <c r="AX98" s="55" t="n">
        <f aca="false">ROUND(MAX(0,AX97+AY97-BB97),2)</f>
        <v>0</v>
      </c>
      <c r="AY98" s="55" t="n">
        <f aca="false">ROUND(AX98*$E$14/12,2)</f>
        <v>0</v>
      </c>
      <c r="AZ98" s="55" t="n">
        <f aca="false">MIN($F$14,AX98+AY98)</f>
        <v>0</v>
      </c>
      <c r="BA98" s="55" t="n">
        <f aca="false">MAX(0,MIN(AX98+AY98-AZ98,$D98-(H98+M98+R98+W98+AB98+AG98+AL98+AQ98+AV98)))</f>
        <v>0</v>
      </c>
      <c r="BB98" s="55" t="n">
        <f aca="false">AZ98+BA98</f>
        <v>0</v>
      </c>
      <c r="BC98" s="55" t="n">
        <f aca="false">I98+N98+S98+X98+AC98+AH98+AM98+AR98+AW98+BB98</f>
        <v>0</v>
      </c>
      <c r="BD98" s="55" t="n">
        <f aca="false">ROUND((E98+F98-I98)+(J98+K98-N98)+(O98+P98-S98)+(T98+U98-X98)+(Y98+Z98-AC98)+(AD98+AE98-AH98)+(AI98+AJ98-AM98)+(AN98+AO98-AR98)+(AS98+AT98-AW98)+(AX98+AY98-BB98),2)</f>
        <v>0</v>
      </c>
      <c r="BE98" s="25" t="str">
        <f aca="false">IF(H98&gt;0.005,$C$5,IF(M98&gt;0.005,$C$6,IF(R98&gt;0.005,$C$7,IF(W98&gt;0.005,$C$8,IF(AB98&gt;0.005,$C$9,IF(AG98&gt;0.005,$C$10,IF(AL98&gt;0.005,$C$11,IF(AQ98&gt;0.005,$C$12,IF(AV98&gt;0.005,$C$13,IF(BA98&gt;0.005,$C$14,""))))))))))</f>
        <v/>
      </c>
    </row>
    <row r="99" customFormat="false" ht="15" hidden="false" customHeight="false" outlineLevel="0" collapsed="false">
      <c r="A99" s="24" t="n">
        <v>76</v>
      </c>
      <c r="B99" s="54" t="n">
        <f aca="false">EDATE($C$17,A99-1)</f>
        <v>48611</v>
      </c>
      <c r="C99" s="55" t="n">
        <f aca="false">G99+L99+Q99+V99+AA99+AF99+AK99+AP99+AU99+AZ99</f>
        <v>0</v>
      </c>
      <c r="D99" s="55" t="n">
        <f aca="false">MAX(0,$C$16-C99)</f>
        <v>5822</v>
      </c>
      <c r="E99" s="55" t="n">
        <f aca="false">ROUND(MAX(0,E98+F98-I98),2)</f>
        <v>0</v>
      </c>
      <c r="F99" s="55" t="n">
        <f aca="false">ROUND(E99*$E$5/12,2)</f>
        <v>0</v>
      </c>
      <c r="G99" s="55" t="n">
        <f aca="false">MIN($F$5,E99+F99)</f>
        <v>0</v>
      </c>
      <c r="H99" s="55" t="n">
        <f aca="false">MAX(0,MIN(E99+F99-G99,$D99))</f>
        <v>0</v>
      </c>
      <c r="I99" s="55" t="n">
        <f aca="false">G99+H99</f>
        <v>0</v>
      </c>
      <c r="J99" s="55" t="n">
        <f aca="false">ROUND(MAX(0,J98+K98-N98),2)</f>
        <v>0</v>
      </c>
      <c r="K99" s="55" t="n">
        <f aca="false">ROUND(J99*$E$6/12,2)</f>
        <v>0</v>
      </c>
      <c r="L99" s="55" t="n">
        <f aca="false">MIN($F$6,J99+K99)</f>
        <v>0</v>
      </c>
      <c r="M99" s="55" t="n">
        <f aca="false">MAX(0,MIN(J99+K99-L99,$D99-(H99)))</f>
        <v>0</v>
      </c>
      <c r="N99" s="55" t="n">
        <f aca="false">L99+M99</f>
        <v>0</v>
      </c>
      <c r="O99" s="55" t="n">
        <f aca="false">ROUND(MAX(0,O98+P98-S98),2)</f>
        <v>0</v>
      </c>
      <c r="P99" s="55" t="n">
        <f aca="false">ROUND(O99*$E$7/12,2)</f>
        <v>0</v>
      </c>
      <c r="Q99" s="55" t="n">
        <f aca="false">MIN($F$7,O99+P99)</f>
        <v>0</v>
      </c>
      <c r="R99" s="55" t="n">
        <f aca="false">MAX(0,MIN(O99+P99-Q99,$D99-(H99+M99)))</f>
        <v>0</v>
      </c>
      <c r="S99" s="55" t="n">
        <f aca="false">Q99+R99</f>
        <v>0</v>
      </c>
      <c r="T99" s="55" t="n">
        <f aca="false">ROUND(MAX(0,T98+U98-X98),2)</f>
        <v>0</v>
      </c>
      <c r="U99" s="55" t="n">
        <f aca="false">ROUND(T99*$E$8/12,2)</f>
        <v>0</v>
      </c>
      <c r="V99" s="55" t="n">
        <f aca="false">MIN($F$8,T99+U99)</f>
        <v>0</v>
      </c>
      <c r="W99" s="55" t="n">
        <f aca="false">MAX(0,MIN(T99+U99-V99,$D99-(H99+M99+R99)))</f>
        <v>0</v>
      </c>
      <c r="X99" s="55" t="n">
        <f aca="false">V99+W99</f>
        <v>0</v>
      </c>
      <c r="Y99" s="55" t="n">
        <f aca="false">ROUND(MAX(0,Y98+Z98-AC98),2)</f>
        <v>0</v>
      </c>
      <c r="Z99" s="55" t="n">
        <f aca="false">ROUND(Y99*$E$9/12,2)</f>
        <v>0</v>
      </c>
      <c r="AA99" s="55" t="n">
        <f aca="false">MIN($F$9,Y99+Z99)</f>
        <v>0</v>
      </c>
      <c r="AB99" s="55" t="n">
        <f aca="false">MAX(0,MIN(Y99+Z99-AA99,$D99-(H99+M99+R99+W99)))</f>
        <v>0</v>
      </c>
      <c r="AC99" s="55" t="n">
        <f aca="false">AA99+AB99</f>
        <v>0</v>
      </c>
      <c r="AD99" s="55" t="n">
        <f aca="false">ROUND(MAX(0,AD98+AE98-AH98),2)</f>
        <v>0</v>
      </c>
      <c r="AE99" s="55" t="n">
        <f aca="false">ROUND(AD99*$E$10/12,2)</f>
        <v>0</v>
      </c>
      <c r="AF99" s="55" t="n">
        <f aca="false">MIN($F$10,AD99+AE99)</f>
        <v>0</v>
      </c>
      <c r="AG99" s="55" t="n">
        <f aca="false">MAX(0,MIN(AD99+AE99-AF99,$D99-(H99+M99+R99+W99+AB99)))</f>
        <v>0</v>
      </c>
      <c r="AH99" s="55" t="n">
        <f aca="false">AF99+AG99</f>
        <v>0</v>
      </c>
      <c r="AI99" s="55" t="n">
        <f aca="false">ROUND(MAX(0,AI98+AJ98-AM98),2)</f>
        <v>0</v>
      </c>
      <c r="AJ99" s="55" t="n">
        <f aca="false">ROUND(AI99*$E$11/12,2)</f>
        <v>0</v>
      </c>
      <c r="AK99" s="55" t="n">
        <f aca="false">MIN($F$11,AI99+AJ99)</f>
        <v>0</v>
      </c>
      <c r="AL99" s="55" t="n">
        <f aca="false">MAX(0,MIN(AI99+AJ99-AK99,$D99-(H99+M99+R99+W99+AB99+AG99)))</f>
        <v>0</v>
      </c>
      <c r="AM99" s="55" t="n">
        <f aca="false">AK99+AL99</f>
        <v>0</v>
      </c>
      <c r="AN99" s="55" t="n">
        <f aca="false">ROUND(MAX(0,AN98+AO98-AR98),2)</f>
        <v>0</v>
      </c>
      <c r="AO99" s="55" t="n">
        <f aca="false">ROUND(AN99*$E$12/12,2)</f>
        <v>0</v>
      </c>
      <c r="AP99" s="55" t="n">
        <f aca="false">MIN($F$12,AN99+AO99)</f>
        <v>0</v>
      </c>
      <c r="AQ99" s="55" t="n">
        <f aca="false">MAX(0,MIN(AN99+AO99-AP99,$D99-(H99+M99+R99+W99+AB99+AG99+AL99)))</f>
        <v>0</v>
      </c>
      <c r="AR99" s="55" t="n">
        <f aca="false">AP99+AQ99</f>
        <v>0</v>
      </c>
      <c r="AS99" s="55" t="n">
        <f aca="false">ROUND(MAX(0,AS98+AT98-AW98),2)</f>
        <v>0</v>
      </c>
      <c r="AT99" s="55" t="n">
        <f aca="false">ROUND(AS99*$E$13/12,2)</f>
        <v>0</v>
      </c>
      <c r="AU99" s="55" t="n">
        <f aca="false">MIN($F$13,AS99+AT99)</f>
        <v>0</v>
      </c>
      <c r="AV99" s="55" t="n">
        <f aca="false">MAX(0,MIN(AS99+AT99-AU99,$D99-(H99+M99+R99+W99+AB99+AG99+AL99+AQ99)))</f>
        <v>0</v>
      </c>
      <c r="AW99" s="55" t="n">
        <f aca="false">AU99+AV99</f>
        <v>0</v>
      </c>
      <c r="AX99" s="55" t="n">
        <f aca="false">ROUND(MAX(0,AX98+AY98-BB98),2)</f>
        <v>0</v>
      </c>
      <c r="AY99" s="55" t="n">
        <f aca="false">ROUND(AX99*$E$14/12,2)</f>
        <v>0</v>
      </c>
      <c r="AZ99" s="55" t="n">
        <f aca="false">MIN($F$14,AX99+AY99)</f>
        <v>0</v>
      </c>
      <c r="BA99" s="55" t="n">
        <f aca="false">MAX(0,MIN(AX99+AY99-AZ99,$D99-(H99+M99+R99+W99+AB99+AG99+AL99+AQ99+AV99)))</f>
        <v>0</v>
      </c>
      <c r="BB99" s="55" t="n">
        <f aca="false">AZ99+BA99</f>
        <v>0</v>
      </c>
      <c r="BC99" s="55" t="n">
        <f aca="false">I99+N99+S99+X99+AC99+AH99+AM99+AR99+AW99+BB99</f>
        <v>0</v>
      </c>
      <c r="BD99" s="55" t="n">
        <f aca="false">ROUND((E99+F99-I99)+(J99+K99-N99)+(O99+P99-S99)+(T99+U99-X99)+(Y99+Z99-AC99)+(AD99+AE99-AH99)+(AI99+AJ99-AM99)+(AN99+AO99-AR99)+(AS99+AT99-AW99)+(AX99+AY99-BB99),2)</f>
        <v>0</v>
      </c>
      <c r="BE99" s="25" t="str">
        <f aca="false">IF(H99&gt;0.005,$C$5,IF(M99&gt;0.005,$C$6,IF(R99&gt;0.005,$C$7,IF(W99&gt;0.005,$C$8,IF(AB99&gt;0.005,$C$9,IF(AG99&gt;0.005,$C$10,IF(AL99&gt;0.005,$C$11,IF(AQ99&gt;0.005,$C$12,IF(AV99&gt;0.005,$C$13,IF(BA99&gt;0.005,$C$14,""))))))))))</f>
        <v/>
      </c>
    </row>
    <row r="100" customFormat="false" ht="15" hidden="false" customHeight="false" outlineLevel="0" collapsed="false">
      <c r="A100" s="24" t="n">
        <v>77</v>
      </c>
      <c r="B100" s="54" t="n">
        <f aca="false">EDATE($C$17,A100-1)</f>
        <v>48639</v>
      </c>
      <c r="C100" s="55" t="n">
        <f aca="false">G100+L100+Q100+V100+AA100+AF100+AK100+AP100+AU100+AZ100</f>
        <v>0</v>
      </c>
      <c r="D100" s="55" t="n">
        <f aca="false">MAX(0,$C$16-C100)</f>
        <v>5822</v>
      </c>
      <c r="E100" s="55" t="n">
        <f aca="false">ROUND(MAX(0,E99+F99-I99),2)</f>
        <v>0</v>
      </c>
      <c r="F100" s="55" t="n">
        <f aca="false">ROUND(E100*$E$5/12,2)</f>
        <v>0</v>
      </c>
      <c r="G100" s="55" t="n">
        <f aca="false">MIN($F$5,E100+F100)</f>
        <v>0</v>
      </c>
      <c r="H100" s="55" t="n">
        <f aca="false">MAX(0,MIN(E100+F100-G100,$D100))</f>
        <v>0</v>
      </c>
      <c r="I100" s="55" t="n">
        <f aca="false">G100+H100</f>
        <v>0</v>
      </c>
      <c r="J100" s="55" t="n">
        <f aca="false">ROUND(MAX(0,J99+K99-N99),2)</f>
        <v>0</v>
      </c>
      <c r="K100" s="55" t="n">
        <f aca="false">ROUND(J100*$E$6/12,2)</f>
        <v>0</v>
      </c>
      <c r="L100" s="55" t="n">
        <f aca="false">MIN($F$6,J100+K100)</f>
        <v>0</v>
      </c>
      <c r="M100" s="55" t="n">
        <f aca="false">MAX(0,MIN(J100+K100-L100,$D100-(H100)))</f>
        <v>0</v>
      </c>
      <c r="N100" s="55" t="n">
        <f aca="false">L100+M100</f>
        <v>0</v>
      </c>
      <c r="O100" s="55" t="n">
        <f aca="false">ROUND(MAX(0,O99+P99-S99),2)</f>
        <v>0</v>
      </c>
      <c r="P100" s="55" t="n">
        <f aca="false">ROUND(O100*$E$7/12,2)</f>
        <v>0</v>
      </c>
      <c r="Q100" s="55" t="n">
        <f aca="false">MIN($F$7,O100+P100)</f>
        <v>0</v>
      </c>
      <c r="R100" s="55" t="n">
        <f aca="false">MAX(0,MIN(O100+P100-Q100,$D100-(H100+M100)))</f>
        <v>0</v>
      </c>
      <c r="S100" s="55" t="n">
        <f aca="false">Q100+R100</f>
        <v>0</v>
      </c>
      <c r="T100" s="55" t="n">
        <f aca="false">ROUND(MAX(0,T99+U99-X99),2)</f>
        <v>0</v>
      </c>
      <c r="U100" s="55" t="n">
        <f aca="false">ROUND(T100*$E$8/12,2)</f>
        <v>0</v>
      </c>
      <c r="V100" s="55" t="n">
        <f aca="false">MIN($F$8,T100+U100)</f>
        <v>0</v>
      </c>
      <c r="W100" s="55" t="n">
        <f aca="false">MAX(0,MIN(T100+U100-V100,$D100-(H100+M100+R100)))</f>
        <v>0</v>
      </c>
      <c r="X100" s="55" t="n">
        <f aca="false">V100+W100</f>
        <v>0</v>
      </c>
      <c r="Y100" s="55" t="n">
        <f aca="false">ROUND(MAX(0,Y99+Z99-AC99),2)</f>
        <v>0</v>
      </c>
      <c r="Z100" s="55" t="n">
        <f aca="false">ROUND(Y100*$E$9/12,2)</f>
        <v>0</v>
      </c>
      <c r="AA100" s="55" t="n">
        <f aca="false">MIN($F$9,Y100+Z100)</f>
        <v>0</v>
      </c>
      <c r="AB100" s="55" t="n">
        <f aca="false">MAX(0,MIN(Y100+Z100-AA100,$D100-(H100+M100+R100+W100)))</f>
        <v>0</v>
      </c>
      <c r="AC100" s="55" t="n">
        <f aca="false">AA100+AB100</f>
        <v>0</v>
      </c>
      <c r="AD100" s="55" t="n">
        <f aca="false">ROUND(MAX(0,AD99+AE99-AH99),2)</f>
        <v>0</v>
      </c>
      <c r="AE100" s="55" t="n">
        <f aca="false">ROUND(AD100*$E$10/12,2)</f>
        <v>0</v>
      </c>
      <c r="AF100" s="55" t="n">
        <f aca="false">MIN($F$10,AD100+AE100)</f>
        <v>0</v>
      </c>
      <c r="AG100" s="55" t="n">
        <f aca="false">MAX(0,MIN(AD100+AE100-AF100,$D100-(H100+M100+R100+W100+AB100)))</f>
        <v>0</v>
      </c>
      <c r="AH100" s="55" t="n">
        <f aca="false">AF100+AG100</f>
        <v>0</v>
      </c>
      <c r="AI100" s="55" t="n">
        <f aca="false">ROUND(MAX(0,AI99+AJ99-AM99),2)</f>
        <v>0</v>
      </c>
      <c r="AJ100" s="55" t="n">
        <f aca="false">ROUND(AI100*$E$11/12,2)</f>
        <v>0</v>
      </c>
      <c r="AK100" s="55" t="n">
        <f aca="false">MIN($F$11,AI100+AJ100)</f>
        <v>0</v>
      </c>
      <c r="AL100" s="55" t="n">
        <f aca="false">MAX(0,MIN(AI100+AJ100-AK100,$D100-(H100+M100+R100+W100+AB100+AG100)))</f>
        <v>0</v>
      </c>
      <c r="AM100" s="55" t="n">
        <f aca="false">AK100+AL100</f>
        <v>0</v>
      </c>
      <c r="AN100" s="55" t="n">
        <f aca="false">ROUND(MAX(0,AN99+AO99-AR99),2)</f>
        <v>0</v>
      </c>
      <c r="AO100" s="55" t="n">
        <f aca="false">ROUND(AN100*$E$12/12,2)</f>
        <v>0</v>
      </c>
      <c r="AP100" s="55" t="n">
        <f aca="false">MIN($F$12,AN100+AO100)</f>
        <v>0</v>
      </c>
      <c r="AQ100" s="55" t="n">
        <f aca="false">MAX(0,MIN(AN100+AO100-AP100,$D100-(H100+M100+R100+W100+AB100+AG100+AL100)))</f>
        <v>0</v>
      </c>
      <c r="AR100" s="55" t="n">
        <f aca="false">AP100+AQ100</f>
        <v>0</v>
      </c>
      <c r="AS100" s="55" t="n">
        <f aca="false">ROUND(MAX(0,AS99+AT99-AW99),2)</f>
        <v>0</v>
      </c>
      <c r="AT100" s="55" t="n">
        <f aca="false">ROUND(AS100*$E$13/12,2)</f>
        <v>0</v>
      </c>
      <c r="AU100" s="55" t="n">
        <f aca="false">MIN($F$13,AS100+AT100)</f>
        <v>0</v>
      </c>
      <c r="AV100" s="55" t="n">
        <f aca="false">MAX(0,MIN(AS100+AT100-AU100,$D100-(H100+M100+R100+W100+AB100+AG100+AL100+AQ100)))</f>
        <v>0</v>
      </c>
      <c r="AW100" s="55" t="n">
        <f aca="false">AU100+AV100</f>
        <v>0</v>
      </c>
      <c r="AX100" s="55" t="n">
        <f aca="false">ROUND(MAX(0,AX99+AY99-BB99),2)</f>
        <v>0</v>
      </c>
      <c r="AY100" s="55" t="n">
        <f aca="false">ROUND(AX100*$E$14/12,2)</f>
        <v>0</v>
      </c>
      <c r="AZ100" s="55" t="n">
        <f aca="false">MIN($F$14,AX100+AY100)</f>
        <v>0</v>
      </c>
      <c r="BA100" s="55" t="n">
        <f aca="false">MAX(0,MIN(AX100+AY100-AZ100,$D100-(H100+M100+R100+W100+AB100+AG100+AL100+AQ100+AV100)))</f>
        <v>0</v>
      </c>
      <c r="BB100" s="55" t="n">
        <f aca="false">AZ100+BA100</f>
        <v>0</v>
      </c>
      <c r="BC100" s="55" t="n">
        <f aca="false">I100+N100+S100+X100+AC100+AH100+AM100+AR100+AW100+BB100</f>
        <v>0</v>
      </c>
      <c r="BD100" s="55" t="n">
        <f aca="false">ROUND((E100+F100-I100)+(J100+K100-N100)+(O100+P100-S100)+(T100+U100-X100)+(Y100+Z100-AC100)+(AD100+AE100-AH100)+(AI100+AJ100-AM100)+(AN100+AO100-AR100)+(AS100+AT100-AW100)+(AX100+AY100-BB100),2)</f>
        <v>0</v>
      </c>
      <c r="BE100" s="25" t="str">
        <f aca="false">IF(H100&gt;0.005,$C$5,IF(M100&gt;0.005,$C$6,IF(R100&gt;0.005,$C$7,IF(W100&gt;0.005,$C$8,IF(AB100&gt;0.005,$C$9,IF(AG100&gt;0.005,$C$10,IF(AL100&gt;0.005,$C$11,IF(AQ100&gt;0.005,$C$12,IF(AV100&gt;0.005,$C$13,IF(BA100&gt;0.005,$C$14,""))))))))))</f>
        <v/>
      </c>
    </row>
    <row r="101" customFormat="false" ht="15" hidden="false" customHeight="false" outlineLevel="0" collapsed="false">
      <c r="A101" s="24" t="n">
        <v>78</v>
      </c>
      <c r="B101" s="54" t="n">
        <f aca="false">EDATE($C$17,A101-1)</f>
        <v>48670</v>
      </c>
      <c r="C101" s="55" t="n">
        <f aca="false">G101+L101+Q101+V101+AA101+AF101+AK101+AP101+AU101+AZ101</f>
        <v>0</v>
      </c>
      <c r="D101" s="55" t="n">
        <f aca="false">MAX(0,$C$16-C101)</f>
        <v>5822</v>
      </c>
      <c r="E101" s="55" t="n">
        <f aca="false">ROUND(MAX(0,E100+F100-I100),2)</f>
        <v>0</v>
      </c>
      <c r="F101" s="55" t="n">
        <f aca="false">ROUND(E101*$E$5/12,2)</f>
        <v>0</v>
      </c>
      <c r="G101" s="55" t="n">
        <f aca="false">MIN($F$5,E101+F101)</f>
        <v>0</v>
      </c>
      <c r="H101" s="55" t="n">
        <f aca="false">MAX(0,MIN(E101+F101-G101,$D101))</f>
        <v>0</v>
      </c>
      <c r="I101" s="55" t="n">
        <f aca="false">G101+H101</f>
        <v>0</v>
      </c>
      <c r="J101" s="55" t="n">
        <f aca="false">ROUND(MAX(0,J100+K100-N100),2)</f>
        <v>0</v>
      </c>
      <c r="K101" s="55" t="n">
        <f aca="false">ROUND(J101*$E$6/12,2)</f>
        <v>0</v>
      </c>
      <c r="L101" s="55" t="n">
        <f aca="false">MIN($F$6,J101+K101)</f>
        <v>0</v>
      </c>
      <c r="M101" s="55" t="n">
        <f aca="false">MAX(0,MIN(J101+K101-L101,$D101-(H101)))</f>
        <v>0</v>
      </c>
      <c r="N101" s="55" t="n">
        <f aca="false">L101+M101</f>
        <v>0</v>
      </c>
      <c r="O101" s="55" t="n">
        <f aca="false">ROUND(MAX(0,O100+P100-S100),2)</f>
        <v>0</v>
      </c>
      <c r="P101" s="55" t="n">
        <f aca="false">ROUND(O101*$E$7/12,2)</f>
        <v>0</v>
      </c>
      <c r="Q101" s="55" t="n">
        <f aca="false">MIN($F$7,O101+P101)</f>
        <v>0</v>
      </c>
      <c r="R101" s="55" t="n">
        <f aca="false">MAX(0,MIN(O101+P101-Q101,$D101-(H101+M101)))</f>
        <v>0</v>
      </c>
      <c r="S101" s="55" t="n">
        <f aca="false">Q101+R101</f>
        <v>0</v>
      </c>
      <c r="T101" s="55" t="n">
        <f aca="false">ROUND(MAX(0,T100+U100-X100),2)</f>
        <v>0</v>
      </c>
      <c r="U101" s="55" t="n">
        <f aca="false">ROUND(T101*$E$8/12,2)</f>
        <v>0</v>
      </c>
      <c r="V101" s="55" t="n">
        <f aca="false">MIN($F$8,T101+U101)</f>
        <v>0</v>
      </c>
      <c r="W101" s="55" t="n">
        <f aca="false">MAX(0,MIN(T101+U101-V101,$D101-(H101+M101+R101)))</f>
        <v>0</v>
      </c>
      <c r="X101" s="55" t="n">
        <f aca="false">V101+W101</f>
        <v>0</v>
      </c>
      <c r="Y101" s="55" t="n">
        <f aca="false">ROUND(MAX(0,Y100+Z100-AC100),2)</f>
        <v>0</v>
      </c>
      <c r="Z101" s="55" t="n">
        <f aca="false">ROUND(Y101*$E$9/12,2)</f>
        <v>0</v>
      </c>
      <c r="AA101" s="55" t="n">
        <f aca="false">MIN($F$9,Y101+Z101)</f>
        <v>0</v>
      </c>
      <c r="AB101" s="55" t="n">
        <f aca="false">MAX(0,MIN(Y101+Z101-AA101,$D101-(H101+M101+R101+W101)))</f>
        <v>0</v>
      </c>
      <c r="AC101" s="55" t="n">
        <f aca="false">AA101+AB101</f>
        <v>0</v>
      </c>
      <c r="AD101" s="55" t="n">
        <f aca="false">ROUND(MAX(0,AD100+AE100-AH100),2)</f>
        <v>0</v>
      </c>
      <c r="AE101" s="55" t="n">
        <f aca="false">ROUND(AD101*$E$10/12,2)</f>
        <v>0</v>
      </c>
      <c r="AF101" s="55" t="n">
        <f aca="false">MIN($F$10,AD101+AE101)</f>
        <v>0</v>
      </c>
      <c r="AG101" s="55" t="n">
        <f aca="false">MAX(0,MIN(AD101+AE101-AF101,$D101-(H101+M101+R101+W101+AB101)))</f>
        <v>0</v>
      </c>
      <c r="AH101" s="55" t="n">
        <f aca="false">AF101+AG101</f>
        <v>0</v>
      </c>
      <c r="AI101" s="55" t="n">
        <f aca="false">ROUND(MAX(0,AI100+AJ100-AM100),2)</f>
        <v>0</v>
      </c>
      <c r="AJ101" s="55" t="n">
        <f aca="false">ROUND(AI101*$E$11/12,2)</f>
        <v>0</v>
      </c>
      <c r="AK101" s="55" t="n">
        <f aca="false">MIN($F$11,AI101+AJ101)</f>
        <v>0</v>
      </c>
      <c r="AL101" s="55" t="n">
        <f aca="false">MAX(0,MIN(AI101+AJ101-AK101,$D101-(H101+M101+R101+W101+AB101+AG101)))</f>
        <v>0</v>
      </c>
      <c r="AM101" s="55" t="n">
        <f aca="false">AK101+AL101</f>
        <v>0</v>
      </c>
      <c r="AN101" s="55" t="n">
        <f aca="false">ROUND(MAX(0,AN100+AO100-AR100),2)</f>
        <v>0</v>
      </c>
      <c r="AO101" s="55" t="n">
        <f aca="false">ROUND(AN101*$E$12/12,2)</f>
        <v>0</v>
      </c>
      <c r="AP101" s="55" t="n">
        <f aca="false">MIN($F$12,AN101+AO101)</f>
        <v>0</v>
      </c>
      <c r="AQ101" s="55" t="n">
        <f aca="false">MAX(0,MIN(AN101+AO101-AP101,$D101-(H101+M101+R101+W101+AB101+AG101+AL101)))</f>
        <v>0</v>
      </c>
      <c r="AR101" s="55" t="n">
        <f aca="false">AP101+AQ101</f>
        <v>0</v>
      </c>
      <c r="AS101" s="55" t="n">
        <f aca="false">ROUND(MAX(0,AS100+AT100-AW100),2)</f>
        <v>0</v>
      </c>
      <c r="AT101" s="55" t="n">
        <f aca="false">ROUND(AS101*$E$13/12,2)</f>
        <v>0</v>
      </c>
      <c r="AU101" s="55" t="n">
        <f aca="false">MIN($F$13,AS101+AT101)</f>
        <v>0</v>
      </c>
      <c r="AV101" s="55" t="n">
        <f aca="false">MAX(0,MIN(AS101+AT101-AU101,$D101-(H101+M101+R101+W101+AB101+AG101+AL101+AQ101)))</f>
        <v>0</v>
      </c>
      <c r="AW101" s="55" t="n">
        <f aca="false">AU101+AV101</f>
        <v>0</v>
      </c>
      <c r="AX101" s="55" t="n">
        <f aca="false">ROUND(MAX(0,AX100+AY100-BB100),2)</f>
        <v>0</v>
      </c>
      <c r="AY101" s="55" t="n">
        <f aca="false">ROUND(AX101*$E$14/12,2)</f>
        <v>0</v>
      </c>
      <c r="AZ101" s="55" t="n">
        <f aca="false">MIN($F$14,AX101+AY101)</f>
        <v>0</v>
      </c>
      <c r="BA101" s="55" t="n">
        <f aca="false">MAX(0,MIN(AX101+AY101-AZ101,$D101-(H101+M101+R101+W101+AB101+AG101+AL101+AQ101+AV101)))</f>
        <v>0</v>
      </c>
      <c r="BB101" s="55" t="n">
        <f aca="false">AZ101+BA101</f>
        <v>0</v>
      </c>
      <c r="BC101" s="55" t="n">
        <f aca="false">I101+N101+S101+X101+AC101+AH101+AM101+AR101+AW101+BB101</f>
        <v>0</v>
      </c>
      <c r="BD101" s="55" t="n">
        <f aca="false">ROUND((E101+F101-I101)+(J101+K101-N101)+(O101+P101-S101)+(T101+U101-X101)+(Y101+Z101-AC101)+(AD101+AE101-AH101)+(AI101+AJ101-AM101)+(AN101+AO101-AR101)+(AS101+AT101-AW101)+(AX101+AY101-BB101),2)</f>
        <v>0</v>
      </c>
      <c r="BE101" s="25" t="str">
        <f aca="false">IF(H101&gt;0.005,$C$5,IF(M101&gt;0.005,$C$6,IF(R101&gt;0.005,$C$7,IF(W101&gt;0.005,$C$8,IF(AB101&gt;0.005,$C$9,IF(AG101&gt;0.005,$C$10,IF(AL101&gt;0.005,$C$11,IF(AQ101&gt;0.005,$C$12,IF(AV101&gt;0.005,$C$13,IF(BA101&gt;0.005,$C$14,""))))))))))</f>
        <v/>
      </c>
    </row>
    <row r="102" customFormat="false" ht="15" hidden="false" customHeight="false" outlineLevel="0" collapsed="false">
      <c r="A102" s="24" t="n">
        <v>79</v>
      </c>
      <c r="B102" s="54" t="n">
        <f aca="false">EDATE($C$17,A102-1)</f>
        <v>48700</v>
      </c>
      <c r="C102" s="55" t="n">
        <f aca="false">G102+L102+Q102+V102+AA102+AF102+AK102+AP102+AU102+AZ102</f>
        <v>0</v>
      </c>
      <c r="D102" s="55" t="n">
        <f aca="false">MAX(0,$C$16-C102)</f>
        <v>5822</v>
      </c>
      <c r="E102" s="55" t="n">
        <f aca="false">ROUND(MAX(0,E101+F101-I101),2)</f>
        <v>0</v>
      </c>
      <c r="F102" s="55" t="n">
        <f aca="false">ROUND(E102*$E$5/12,2)</f>
        <v>0</v>
      </c>
      <c r="G102" s="55" t="n">
        <f aca="false">MIN($F$5,E102+F102)</f>
        <v>0</v>
      </c>
      <c r="H102" s="55" t="n">
        <f aca="false">MAX(0,MIN(E102+F102-G102,$D102))</f>
        <v>0</v>
      </c>
      <c r="I102" s="55" t="n">
        <f aca="false">G102+H102</f>
        <v>0</v>
      </c>
      <c r="J102" s="55" t="n">
        <f aca="false">ROUND(MAX(0,J101+K101-N101),2)</f>
        <v>0</v>
      </c>
      <c r="K102" s="55" t="n">
        <f aca="false">ROUND(J102*$E$6/12,2)</f>
        <v>0</v>
      </c>
      <c r="L102" s="55" t="n">
        <f aca="false">MIN($F$6,J102+K102)</f>
        <v>0</v>
      </c>
      <c r="M102" s="55" t="n">
        <f aca="false">MAX(0,MIN(J102+K102-L102,$D102-(H102)))</f>
        <v>0</v>
      </c>
      <c r="N102" s="55" t="n">
        <f aca="false">L102+M102</f>
        <v>0</v>
      </c>
      <c r="O102" s="55" t="n">
        <f aca="false">ROUND(MAX(0,O101+P101-S101),2)</f>
        <v>0</v>
      </c>
      <c r="P102" s="55" t="n">
        <f aca="false">ROUND(O102*$E$7/12,2)</f>
        <v>0</v>
      </c>
      <c r="Q102" s="55" t="n">
        <f aca="false">MIN($F$7,O102+P102)</f>
        <v>0</v>
      </c>
      <c r="R102" s="55" t="n">
        <f aca="false">MAX(0,MIN(O102+P102-Q102,$D102-(H102+M102)))</f>
        <v>0</v>
      </c>
      <c r="S102" s="55" t="n">
        <f aca="false">Q102+R102</f>
        <v>0</v>
      </c>
      <c r="T102" s="55" t="n">
        <f aca="false">ROUND(MAX(0,T101+U101-X101),2)</f>
        <v>0</v>
      </c>
      <c r="U102" s="55" t="n">
        <f aca="false">ROUND(T102*$E$8/12,2)</f>
        <v>0</v>
      </c>
      <c r="V102" s="55" t="n">
        <f aca="false">MIN($F$8,T102+U102)</f>
        <v>0</v>
      </c>
      <c r="W102" s="55" t="n">
        <f aca="false">MAX(0,MIN(T102+U102-V102,$D102-(H102+M102+R102)))</f>
        <v>0</v>
      </c>
      <c r="X102" s="55" t="n">
        <f aca="false">V102+W102</f>
        <v>0</v>
      </c>
      <c r="Y102" s="55" t="n">
        <f aca="false">ROUND(MAX(0,Y101+Z101-AC101),2)</f>
        <v>0</v>
      </c>
      <c r="Z102" s="55" t="n">
        <f aca="false">ROUND(Y102*$E$9/12,2)</f>
        <v>0</v>
      </c>
      <c r="AA102" s="55" t="n">
        <f aca="false">MIN($F$9,Y102+Z102)</f>
        <v>0</v>
      </c>
      <c r="AB102" s="55" t="n">
        <f aca="false">MAX(0,MIN(Y102+Z102-AA102,$D102-(H102+M102+R102+W102)))</f>
        <v>0</v>
      </c>
      <c r="AC102" s="55" t="n">
        <f aca="false">AA102+AB102</f>
        <v>0</v>
      </c>
      <c r="AD102" s="55" t="n">
        <f aca="false">ROUND(MAX(0,AD101+AE101-AH101),2)</f>
        <v>0</v>
      </c>
      <c r="AE102" s="55" t="n">
        <f aca="false">ROUND(AD102*$E$10/12,2)</f>
        <v>0</v>
      </c>
      <c r="AF102" s="55" t="n">
        <f aca="false">MIN($F$10,AD102+AE102)</f>
        <v>0</v>
      </c>
      <c r="AG102" s="55" t="n">
        <f aca="false">MAX(0,MIN(AD102+AE102-AF102,$D102-(H102+M102+R102+W102+AB102)))</f>
        <v>0</v>
      </c>
      <c r="AH102" s="55" t="n">
        <f aca="false">AF102+AG102</f>
        <v>0</v>
      </c>
      <c r="AI102" s="55" t="n">
        <f aca="false">ROUND(MAX(0,AI101+AJ101-AM101),2)</f>
        <v>0</v>
      </c>
      <c r="AJ102" s="55" t="n">
        <f aca="false">ROUND(AI102*$E$11/12,2)</f>
        <v>0</v>
      </c>
      <c r="AK102" s="55" t="n">
        <f aca="false">MIN($F$11,AI102+AJ102)</f>
        <v>0</v>
      </c>
      <c r="AL102" s="55" t="n">
        <f aca="false">MAX(0,MIN(AI102+AJ102-AK102,$D102-(H102+M102+R102+W102+AB102+AG102)))</f>
        <v>0</v>
      </c>
      <c r="AM102" s="55" t="n">
        <f aca="false">AK102+AL102</f>
        <v>0</v>
      </c>
      <c r="AN102" s="55" t="n">
        <f aca="false">ROUND(MAX(0,AN101+AO101-AR101),2)</f>
        <v>0</v>
      </c>
      <c r="AO102" s="55" t="n">
        <f aca="false">ROUND(AN102*$E$12/12,2)</f>
        <v>0</v>
      </c>
      <c r="AP102" s="55" t="n">
        <f aca="false">MIN($F$12,AN102+AO102)</f>
        <v>0</v>
      </c>
      <c r="AQ102" s="55" t="n">
        <f aca="false">MAX(0,MIN(AN102+AO102-AP102,$D102-(H102+M102+R102+W102+AB102+AG102+AL102)))</f>
        <v>0</v>
      </c>
      <c r="AR102" s="55" t="n">
        <f aca="false">AP102+AQ102</f>
        <v>0</v>
      </c>
      <c r="AS102" s="55" t="n">
        <f aca="false">ROUND(MAX(0,AS101+AT101-AW101),2)</f>
        <v>0</v>
      </c>
      <c r="AT102" s="55" t="n">
        <f aca="false">ROUND(AS102*$E$13/12,2)</f>
        <v>0</v>
      </c>
      <c r="AU102" s="55" t="n">
        <f aca="false">MIN($F$13,AS102+AT102)</f>
        <v>0</v>
      </c>
      <c r="AV102" s="55" t="n">
        <f aca="false">MAX(0,MIN(AS102+AT102-AU102,$D102-(H102+M102+R102+W102+AB102+AG102+AL102+AQ102)))</f>
        <v>0</v>
      </c>
      <c r="AW102" s="55" t="n">
        <f aca="false">AU102+AV102</f>
        <v>0</v>
      </c>
      <c r="AX102" s="55" t="n">
        <f aca="false">ROUND(MAX(0,AX101+AY101-BB101),2)</f>
        <v>0</v>
      </c>
      <c r="AY102" s="55" t="n">
        <f aca="false">ROUND(AX102*$E$14/12,2)</f>
        <v>0</v>
      </c>
      <c r="AZ102" s="55" t="n">
        <f aca="false">MIN($F$14,AX102+AY102)</f>
        <v>0</v>
      </c>
      <c r="BA102" s="55" t="n">
        <f aca="false">MAX(0,MIN(AX102+AY102-AZ102,$D102-(H102+M102+R102+W102+AB102+AG102+AL102+AQ102+AV102)))</f>
        <v>0</v>
      </c>
      <c r="BB102" s="55" t="n">
        <f aca="false">AZ102+BA102</f>
        <v>0</v>
      </c>
      <c r="BC102" s="55" t="n">
        <f aca="false">I102+N102+S102+X102+AC102+AH102+AM102+AR102+AW102+BB102</f>
        <v>0</v>
      </c>
      <c r="BD102" s="55" t="n">
        <f aca="false">ROUND((E102+F102-I102)+(J102+K102-N102)+(O102+P102-S102)+(T102+U102-X102)+(Y102+Z102-AC102)+(AD102+AE102-AH102)+(AI102+AJ102-AM102)+(AN102+AO102-AR102)+(AS102+AT102-AW102)+(AX102+AY102-BB102),2)</f>
        <v>0</v>
      </c>
      <c r="BE102" s="25" t="str">
        <f aca="false">IF(H102&gt;0.005,$C$5,IF(M102&gt;0.005,$C$6,IF(R102&gt;0.005,$C$7,IF(W102&gt;0.005,$C$8,IF(AB102&gt;0.005,$C$9,IF(AG102&gt;0.005,$C$10,IF(AL102&gt;0.005,$C$11,IF(AQ102&gt;0.005,$C$12,IF(AV102&gt;0.005,$C$13,IF(BA102&gt;0.005,$C$14,""))))))))))</f>
        <v/>
      </c>
    </row>
    <row r="103" customFormat="false" ht="15" hidden="false" customHeight="false" outlineLevel="0" collapsed="false">
      <c r="A103" s="24" t="n">
        <v>80</v>
      </c>
      <c r="B103" s="54" t="n">
        <f aca="false">EDATE($C$17,A103-1)</f>
        <v>48731</v>
      </c>
      <c r="C103" s="55" t="n">
        <f aca="false">G103+L103+Q103+V103+AA103+AF103+AK103+AP103+AU103+AZ103</f>
        <v>0</v>
      </c>
      <c r="D103" s="55" t="n">
        <f aca="false">MAX(0,$C$16-C103)</f>
        <v>5822</v>
      </c>
      <c r="E103" s="55" t="n">
        <f aca="false">ROUND(MAX(0,E102+F102-I102),2)</f>
        <v>0</v>
      </c>
      <c r="F103" s="55" t="n">
        <f aca="false">ROUND(E103*$E$5/12,2)</f>
        <v>0</v>
      </c>
      <c r="G103" s="55" t="n">
        <f aca="false">MIN($F$5,E103+F103)</f>
        <v>0</v>
      </c>
      <c r="H103" s="55" t="n">
        <f aca="false">MAX(0,MIN(E103+F103-G103,$D103))</f>
        <v>0</v>
      </c>
      <c r="I103" s="55" t="n">
        <f aca="false">G103+H103</f>
        <v>0</v>
      </c>
      <c r="J103" s="55" t="n">
        <f aca="false">ROUND(MAX(0,J102+K102-N102),2)</f>
        <v>0</v>
      </c>
      <c r="K103" s="55" t="n">
        <f aca="false">ROUND(J103*$E$6/12,2)</f>
        <v>0</v>
      </c>
      <c r="L103" s="55" t="n">
        <f aca="false">MIN($F$6,J103+K103)</f>
        <v>0</v>
      </c>
      <c r="M103" s="55" t="n">
        <f aca="false">MAX(0,MIN(J103+K103-L103,$D103-(H103)))</f>
        <v>0</v>
      </c>
      <c r="N103" s="55" t="n">
        <f aca="false">L103+M103</f>
        <v>0</v>
      </c>
      <c r="O103" s="55" t="n">
        <f aca="false">ROUND(MAX(0,O102+P102-S102),2)</f>
        <v>0</v>
      </c>
      <c r="P103" s="55" t="n">
        <f aca="false">ROUND(O103*$E$7/12,2)</f>
        <v>0</v>
      </c>
      <c r="Q103" s="55" t="n">
        <f aca="false">MIN($F$7,O103+P103)</f>
        <v>0</v>
      </c>
      <c r="R103" s="55" t="n">
        <f aca="false">MAX(0,MIN(O103+P103-Q103,$D103-(H103+M103)))</f>
        <v>0</v>
      </c>
      <c r="S103" s="55" t="n">
        <f aca="false">Q103+R103</f>
        <v>0</v>
      </c>
      <c r="T103" s="55" t="n">
        <f aca="false">ROUND(MAX(0,T102+U102-X102),2)</f>
        <v>0</v>
      </c>
      <c r="U103" s="55" t="n">
        <f aca="false">ROUND(T103*$E$8/12,2)</f>
        <v>0</v>
      </c>
      <c r="V103" s="55" t="n">
        <f aca="false">MIN($F$8,T103+U103)</f>
        <v>0</v>
      </c>
      <c r="W103" s="55" t="n">
        <f aca="false">MAX(0,MIN(T103+U103-V103,$D103-(H103+M103+R103)))</f>
        <v>0</v>
      </c>
      <c r="X103" s="55" t="n">
        <f aca="false">V103+W103</f>
        <v>0</v>
      </c>
      <c r="Y103" s="55" t="n">
        <f aca="false">ROUND(MAX(0,Y102+Z102-AC102),2)</f>
        <v>0</v>
      </c>
      <c r="Z103" s="55" t="n">
        <f aca="false">ROUND(Y103*$E$9/12,2)</f>
        <v>0</v>
      </c>
      <c r="AA103" s="55" t="n">
        <f aca="false">MIN($F$9,Y103+Z103)</f>
        <v>0</v>
      </c>
      <c r="AB103" s="55" t="n">
        <f aca="false">MAX(0,MIN(Y103+Z103-AA103,$D103-(H103+M103+R103+W103)))</f>
        <v>0</v>
      </c>
      <c r="AC103" s="55" t="n">
        <f aca="false">AA103+AB103</f>
        <v>0</v>
      </c>
      <c r="AD103" s="55" t="n">
        <f aca="false">ROUND(MAX(0,AD102+AE102-AH102),2)</f>
        <v>0</v>
      </c>
      <c r="AE103" s="55" t="n">
        <f aca="false">ROUND(AD103*$E$10/12,2)</f>
        <v>0</v>
      </c>
      <c r="AF103" s="55" t="n">
        <f aca="false">MIN($F$10,AD103+AE103)</f>
        <v>0</v>
      </c>
      <c r="AG103" s="55" t="n">
        <f aca="false">MAX(0,MIN(AD103+AE103-AF103,$D103-(H103+M103+R103+W103+AB103)))</f>
        <v>0</v>
      </c>
      <c r="AH103" s="55" t="n">
        <f aca="false">AF103+AG103</f>
        <v>0</v>
      </c>
      <c r="AI103" s="55" t="n">
        <f aca="false">ROUND(MAX(0,AI102+AJ102-AM102),2)</f>
        <v>0</v>
      </c>
      <c r="AJ103" s="55" t="n">
        <f aca="false">ROUND(AI103*$E$11/12,2)</f>
        <v>0</v>
      </c>
      <c r="AK103" s="55" t="n">
        <f aca="false">MIN($F$11,AI103+AJ103)</f>
        <v>0</v>
      </c>
      <c r="AL103" s="55" t="n">
        <f aca="false">MAX(0,MIN(AI103+AJ103-AK103,$D103-(H103+M103+R103+W103+AB103+AG103)))</f>
        <v>0</v>
      </c>
      <c r="AM103" s="55" t="n">
        <f aca="false">AK103+AL103</f>
        <v>0</v>
      </c>
      <c r="AN103" s="55" t="n">
        <f aca="false">ROUND(MAX(0,AN102+AO102-AR102),2)</f>
        <v>0</v>
      </c>
      <c r="AO103" s="55" t="n">
        <f aca="false">ROUND(AN103*$E$12/12,2)</f>
        <v>0</v>
      </c>
      <c r="AP103" s="55" t="n">
        <f aca="false">MIN($F$12,AN103+AO103)</f>
        <v>0</v>
      </c>
      <c r="AQ103" s="55" t="n">
        <f aca="false">MAX(0,MIN(AN103+AO103-AP103,$D103-(H103+M103+R103+W103+AB103+AG103+AL103)))</f>
        <v>0</v>
      </c>
      <c r="AR103" s="55" t="n">
        <f aca="false">AP103+AQ103</f>
        <v>0</v>
      </c>
      <c r="AS103" s="55" t="n">
        <f aca="false">ROUND(MAX(0,AS102+AT102-AW102),2)</f>
        <v>0</v>
      </c>
      <c r="AT103" s="55" t="n">
        <f aca="false">ROUND(AS103*$E$13/12,2)</f>
        <v>0</v>
      </c>
      <c r="AU103" s="55" t="n">
        <f aca="false">MIN($F$13,AS103+AT103)</f>
        <v>0</v>
      </c>
      <c r="AV103" s="55" t="n">
        <f aca="false">MAX(0,MIN(AS103+AT103-AU103,$D103-(H103+M103+R103+W103+AB103+AG103+AL103+AQ103)))</f>
        <v>0</v>
      </c>
      <c r="AW103" s="55" t="n">
        <f aca="false">AU103+AV103</f>
        <v>0</v>
      </c>
      <c r="AX103" s="55" t="n">
        <f aca="false">ROUND(MAX(0,AX102+AY102-BB102),2)</f>
        <v>0</v>
      </c>
      <c r="AY103" s="55" t="n">
        <f aca="false">ROUND(AX103*$E$14/12,2)</f>
        <v>0</v>
      </c>
      <c r="AZ103" s="55" t="n">
        <f aca="false">MIN($F$14,AX103+AY103)</f>
        <v>0</v>
      </c>
      <c r="BA103" s="55" t="n">
        <f aca="false">MAX(0,MIN(AX103+AY103-AZ103,$D103-(H103+M103+R103+W103+AB103+AG103+AL103+AQ103+AV103)))</f>
        <v>0</v>
      </c>
      <c r="BB103" s="55" t="n">
        <f aca="false">AZ103+BA103</f>
        <v>0</v>
      </c>
      <c r="BC103" s="55" t="n">
        <f aca="false">I103+N103+S103+X103+AC103+AH103+AM103+AR103+AW103+BB103</f>
        <v>0</v>
      </c>
      <c r="BD103" s="55" t="n">
        <f aca="false">ROUND((E103+F103-I103)+(J103+K103-N103)+(O103+P103-S103)+(T103+U103-X103)+(Y103+Z103-AC103)+(AD103+AE103-AH103)+(AI103+AJ103-AM103)+(AN103+AO103-AR103)+(AS103+AT103-AW103)+(AX103+AY103-BB103),2)</f>
        <v>0</v>
      </c>
      <c r="BE103" s="25" t="str">
        <f aca="false">IF(H103&gt;0.005,$C$5,IF(M103&gt;0.005,$C$6,IF(R103&gt;0.005,$C$7,IF(W103&gt;0.005,$C$8,IF(AB103&gt;0.005,$C$9,IF(AG103&gt;0.005,$C$10,IF(AL103&gt;0.005,$C$11,IF(AQ103&gt;0.005,$C$12,IF(AV103&gt;0.005,$C$13,IF(BA103&gt;0.005,$C$14,""))))))))))</f>
        <v/>
      </c>
    </row>
    <row r="104" customFormat="false" ht="15" hidden="false" customHeight="false" outlineLevel="0" collapsed="false">
      <c r="A104" s="24" t="n">
        <v>81</v>
      </c>
      <c r="B104" s="54" t="n">
        <f aca="false">EDATE($C$17,A104-1)</f>
        <v>48761</v>
      </c>
      <c r="C104" s="55" t="n">
        <f aca="false">G104+L104+Q104+V104+AA104+AF104+AK104+AP104+AU104+AZ104</f>
        <v>0</v>
      </c>
      <c r="D104" s="55" t="n">
        <f aca="false">MAX(0,$C$16-C104)</f>
        <v>5822</v>
      </c>
      <c r="E104" s="55" t="n">
        <f aca="false">ROUND(MAX(0,E103+F103-I103),2)</f>
        <v>0</v>
      </c>
      <c r="F104" s="55" t="n">
        <f aca="false">ROUND(E104*$E$5/12,2)</f>
        <v>0</v>
      </c>
      <c r="G104" s="55" t="n">
        <f aca="false">MIN($F$5,E104+F104)</f>
        <v>0</v>
      </c>
      <c r="H104" s="55" t="n">
        <f aca="false">MAX(0,MIN(E104+F104-G104,$D104))</f>
        <v>0</v>
      </c>
      <c r="I104" s="55" t="n">
        <f aca="false">G104+H104</f>
        <v>0</v>
      </c>
      <c r="J104" s="55" t="n">
        <f aca="false">ROUND(MAX(0,J103+K103-N103),2)</f>
        <v>0</v>
      </c>
      <c r="K104" s="55" t="n">
        <f aca="false">ROUND(J104*$E$6/12,2)</f>
        <v>0</v>
      </c>
      <c r="L104" s="55" t="n">
        <f aca="false">MIN($F$6,J104+K104)</f>
        <v>0</v>
      </c>
      <c r="M104" s="55" t="n">
        <f aca="false">MAX(0,MIN(J104+K104-L104,$D104-(H104)))</f>
        <v>0</v>
      </c>
      <c r="N104" s="55" t="n">
        <f aca="false">L104+M104</f>
        <v>0</v>
      </c>
      <c r="O104" s="55" t="n">
        <f aca="false">ROUND(MAX(0,O103+P103-S103),2)</f>
        <v>0</v>
      </c>
      <c r="P104" s="55" t="n">
        <f aca="false">ROUND(O104*$E$7/12,2)</f>
        <v>0</v>
      </c>
      <c r="Q104" s="55" t="n">
        <f aca="false">MIN($F$7,O104+P104)</f>
        <v>0</v>
      </c>
      <c r="R104" s="55" t="n">
        <f aca="false">MAX(0,MIN(O104+P104-Q104,$D104-(H104+M104)))</f>
        <v>0</v>
      </c>
      <c r="S104" s="55" t="n">
        <f aca="false">Q104+R104</f>
        <v>0</v>
      </c>
      <c r="T104" s="55" t="n">
        <f aca="false">ROUND(MAX(0,T103+U103-X103),2)</f>
        <v>0</v>
      </c>
      <c r="U104" s="55" t="n">
        <f aca="false">ROUND(T104*$E$8/12,2)</f>
        <v>0</v>
      </c>
      <c r="V104" s="55" t="n">
        <f aca="false">MIN($F$8,T104+U104)</f>
        <v>0</v>
      </c>
      <c r="W104" s="55" t="n">
        <f aca="false">MAX(0,MIN(T104+U104-V104,$D104-(H104+M104+R104)))</f>
        <v>0</v>
      </c>
      <c r="X104" s="55" t="n">
        <f aca="false">V104+W104</f>
        <v>0</v>
      </c>
      <c r="Y104" s="55" t="n">
        <f aca="false">ROUND(MAX(0,Y103+Z103-AC103),2)</f>
        <v>0</v>
      </c>
      <c r="Z104" s="55" t="n">
        <f aca="false">ROUND(Y104*$E$9/12,2)</f>
        <v>0</v>
      </c>
      <c r="AA104" s="55" t="n">
        <f aca="false">MIN($F$9,Y104+Z104)</f>
        <v>0</v>
      </c>
      <c r="AB104" s="55" t="n">
        <f aca="false">MAX(0,MIN(Y104+Z104-AA104,$D104-(H104+M104+R104+W104)))</f>
        <v>0</v>
      </c>
      <c r="AC104" s="55" t="n">
        <f aca="false">AA104+AB104</f>
        <v>0</v>
      </c>
      <c r="AD104" s="55" t="n">
        <f aca="false">ROUND(MAX(0,AD103+AE103-AH103),2)</f>
        <v>0</v>
      </c>
      <c r="AE104" s="55" t="n">
        <f aca="false">ROUND(AD104*$E$10/12,2)</f>
        <v>0</v>
      </c>
      <c r="AF104" s="55" t="n">
        <f aca="false">MIN($F$10,AD104+AE104)</f>
        <v>0</v>
      </c>
      <c r="AG104" s="55" t="n">
        <f aca="false">MAX(0,MIN(AD104+AE104-AF104,$D104-(H104+M104+R104+W104+AB104)))</f>
        <v>0</v>
      </c>
      <c r="AH104" s="55" t="n">
        <f aca="false">AF104+AG104</f>
        <v>0</v>
      </c>
      <c r="AI104" s="55" t="n">
        <f aca="false">ROUND(MAX(0,AI103+AJ103-AM103),2)</f>
        <v>0</v>
      </c>
      <c r="AJ104" s="55" t="n">
        <f aca="false">ROUND(AI104*$E$11/12,2)</f>
        <v>0</v>
      </c>
      <c r="AK104" s="55" t="n">
        <f aca="false">MIN($F$11,AI104+AJ104)</f>
        <v>0</v>
      </c>
      <c r="AL104" s="55" t="n">
        <f aca="false">MAX(0,MIN(AI104+AJ104-AK104,$D104-(H104+M104+R104+W104+AB104+AG104)))</f>
        <v>0</v>
      </c>
      <c r="AM104" s="55" t="n">
        <f aca="false">AK104+AL104</f>
        <v>0</v>
      </c>
      <c r="AN104" s="55" t="n">
        <f aca="false">ROUND(MAX(0,AN103+AO103-AR103),2)</f>
        <v>0</v>
      </c>
      <c r="AO104" s="55" t="n">
        <f aca="false">ROUND(AN104*$E$12/12,2)</f>
        <v>0</v>
      </c>
      <c r="AP104" s="55" t="n">
        <f aca="false">MIN($F$12,AN104+AO104)</f>
        <v>0</v>
      </c>
      <c r="AQ104" s="55" t="n">
        <f aca="false">MAX(0,MIN(AN104+AO104-AP104,$D104-(H104+M104+R104+W104+AB104+AG104+AL104)))</f>
        <v>0</v>
      </c>
      <c r="AR104" s="55" t="n">
        <f aca="false">AP104+AQ104</f>
        <v>0</v>
      </c>
      <c r="AS104" s="55" t="n">
        <f aca="false">ROUND(MAX(0,AS103+AT103-AW103),2)</f>
        <v>0</v>
      </c>
      <c r="AT104" s="55" t="n">
        <f aca="false">ROUND(AS104*$E$13/12,2)</f>
        <v>0</v>
      </c>
      <c r="AU104" s="55" t="n">
        <f aca="false">MIN($F$13,AS104+AT104)</f>
        <v>0</v>
      </c>
      <c r="AV104" s="55" t="n">
        <f aca="false">MAX(0,MIN(AS104+AT104-AU104,$D104-(H104+M104+R104+W104+AB104+AG104+AL104+AQ104)))</f>
        <v>0</v>
      </c>
      <c r="AW104" s="55" t="n">
        <f aca="false">AU104+AV104</f>
        <v>0</v>
      </c>
      <c r="AX104" s="55" t="n">
        <f aca="false">ROUND(MAX(0,AX103+AY103-BB103),2)</f>
        <v>0</v>
      </c>
      <c r="AY104" s="55" t="n">
        <f aca="false">ROUND(AX104*$E$14/12,2)</f>
        <v>0</v>
      </c>
      <c r="AZ104" s="55" t="n">
        <f aca="false">MIN($F$14,AX104+AY104)</f>
        <v>0</v>
      </c>
      <c r="BA104" s="55" t="n">
        <f aca="false">MAX(0,MIN(AX104+AY104-AZ104,$D104-(H104+M104+R104+W104+AB104+AG104+AL104+AQ104+AV104)))</f>
        <v>0</v>
      </c>
      <c r="BB104" s="55" t="n">
        <f aca="false">AZ104+BA104</f>
        <v>0</v>
      </c>
      <c r="BC104" s="55" t="n">
        <f aca="false">I104+N104+S104+X104+AC104+AH104+AM104+AR104+AW104+BB104</f>
        <v>0</v>
      </c>
      <c r="BD104" s="55" t="n">
        <f aca="false">ROUND((E104+F104-I104)+(J104+K104-N104)+(O104+P104-S104)+(T104+U104-X104)+(Y104+Z104-AC104)+(AD104+AE104-AH104)+(AI104+AJ104-AM104)+(AN104+AO104-AR104)+(AS104+AT104-AW104)+(AX104+AY104-BB104),2)</f>
        <v>0</v>
      </c>
      <c r="BE104" s="25" t="str">
        <f aca="false">IF(H104&gt;0.005,$C$5,IF(M104&gt;0.005,$C$6,IF(R104&gt;0.005,$C$7,IF(W104&gt;0.005,$C$8,IF(AB104&gt;0.005,$C$9,IF(AG104&gt;0.005,$C$10,IF(AL104&gt;0.005,$C$11,IF(AQ104&gt;0.005,$C$12,IF(AV104&gt;0.005,$C$13,IF(BA104&gt;0.005,$C$14,""))))))))))</f>
        <v/>
      </c>
    </row>
    <row r="105" customFormat="false" ht="15" hidden="false" customHeight="false" outlineLevel="0" collapsed="false">
      <c r="A105" s="24" t="n">
        <v>82</v>
      </c>
      <c r="B105" s="54" t="n">
        <f aca="false">EDATE($C$17,A105-1)</f>
        <v>48792</v>
      </c>
      <c r="C105" s="55" t="n">
        <f aca="false">G105+L105+Q105+V105+AA105+AF105+AK105+AP105+AU105+AZ105</f>
        <v>0</v>
      </c>
      <c r="D105" s="55" t="n">
        <f aca="false">MAX(0,$C$16-C105)</f>
        <v>5822</v>
      </c>
      <c r="E105" s="55" t="n">
        <f aca="false">ROUND(MAX(0,E104+F104-I104),2)</f>
        <v>0</v>
      </c>
      <c r="F105" s="55" t="n">
        <f aca="false">ROUND(E105*$E$5/12,2)</f>
        <v>0</v>
      </c>
      <c r="G105" s="55" t="n">
        <f aca="false">MIN($F$5,E105+F105)</f>
        <v>0</v>
      </c>
      <c r="H105" s="55" t="n">
        <f aca="false">MAX(0,MIN(E105+F105-G105,$D105))</f>
        <v>0</v>
      </c>
      <c r="I105" s="55" t="n">
        <f aca="false">G105+H105</f>
        <v>0</v>
      </c>
      <c r="J105" s="55" t="n">
        <f aca="false">ROUND(MAX(0,J104+K104-N104),2)</f>
        <v>0</v>
      </c>
      <c r="K105" s="55" t="n">
        <f aca="false">ROUND(J105*$E$6/12,2)</f>
        <v>0</v>
      </c>
      <c r="L105" s="55" t="n">
        <f aca="false">MIN($F$6,J105+K105)</f>
        <v>0</v>
      </c>
      <c r="M105" s="55" t="n">
        <f aca="false">MAX(0,MIN(J105+K105-L105,$D105-(H105)))</f>
        <v>0</v>
      </c>
      <c r="N105" s="55" t="n">
        <f aca="false">L105+M105</f>
        <v>0</v>
      </c>
      <c r="O105" s="55" t="n">
        <f aca="false">ROUND(MAX(0,O104+P104-S104),2)</f>
        <v>0</v>
      </c>
      <c r="P105" s="55" t="n">
        <f aca="false">ROUND(O105*$E$7/12,2)</f>
        <v>0</v>
      </c>
      <c r="Q105" s="55" t="n">
        <f aca="false">MIN($F$7,O105+P105)</f>
        <v>0</v>
      </c>
      <c r="R105" s="55" t="n">
        <f aca="false">MAX(0,MIN(O105+P105-Q105,$D105-(H105+M105)))</f>
        <v>0</v>
      </c>
      <c r="S105" s="55" t="n">
        <f aca="false">Q105+R105</f>
        <v>0</v>
      </c>
      <c r="T105" s="55" t="n">
        <f aca="false">ROUND(MAX(0,T104+U104-X104),2)</f>
        <v>0</v>
      </c>
      <c r="U105" s="55" t="n">
        <f aca="false">ROUND(T105*$E$8/12,2)</f>
        <v>0</v>
      </c>
      <c r="V105" s="55" t="n">
        <f aca="false">MIN($F$8,T105+U105)</f>
        <v>0</v>
      </c>
      <c r="W105" s="55" t="n">
        <f aca="false">MAX(0,MIN(T105+U105-V105,$D105-(H105+M105+R105)))</f>
        <v>0</v>
      </c>
      <c r="X105" s="55" t="n">
        <f aca="false">V105+W105</f>
        <v>0</v>
      </c>
      <c r="Y105" s="55" t="n">
        <f aca="false">ROUND(MAX(0,Y104+Z104-AC104),2)</f>
        <v>0</v>
      </c>
      <c r="Z105" s="55" t="n">
        <f aca="false">ROUND(Y105*$E$9/12,2)</f>
        <v>0</v>
      </c>
      <c r="AA105" s="55" t="n">
        <f aca="false">MIN($F$9,Y105+Z105)</f>
        <v>0</v>
      </c>
      <c r="AB105" s="55" t="n">
        <f aca="false">MAX(0,MIN(Y105+Z105-AA105,$D105-(H105+M105+R105+W105)))</f>
        <v>0</v>
      </c>
      <c r="AC105" s="55" t="n">
        <f aca="false">AA105+AB105</f>
        <v>0</v>
      </c>
      <c r="AD105" s="55" t="n">
        <f aca="false">ROUND(MAX(0,AD104+AE104-AH104),2)</f>
        <v>0</v>
      </c>
      <c r="AE105" s="55" t="n">
        <f aca="false">ROUND(AD105*$E$10/12,2)</f>
        <v>0</v>
      </c>
      <c r="AF105" s="55" t="n">
        <f aca="false">MIN($F$10,AD105+AE105)</f>
        <v>0</v>
      </c>
      <c r="AG105" s="55" t="n">
        <f aca="false">MAX(0,MIN(AD105+AE105-AF105,$D105-(H105+M105+R105+W105+AB105)))</f>
        <v>0</v>
      </c>
      <c r="AH105" s="55" t="n">
        <f aca="false">AF105+AG105</f>
        <v>0</v>
      </c>
      <c r="AI105" s="55" t="n">
        <f aca="false">ROUND(MAX(0,AI104+AJ104-AM104),2)</f>
        <v>0</v>
      </c>
      <c r="AJ105" s="55" t="n">
        <f aca="false">ROUND(AI105*$E$11/12,2)</f>
        <v>0</v>
      </c>
      <c r="AK105" s="55" t="n">
        <f aca="false">MIN($F$11,AI105+AJ105)</f>
        <v>0</v>
      </c>
      <c r="AL105" s="55" t="n">
        <f aca="false">MAX(0,MIN(AI105+AJ105-AK105,$D105-(H105+M105+R105+W105+AB105+AG105)))</f>
        <v>0</v>
      </c>
      <c r="AM105" s="55" t="n">
        <f aca="false">AK105+AL105</f>
        <v>0</v>
      </c>
      <c r="AN105" s="55" t="n">
        <f aca="false">ROUND(MAX(0,AN104+AO104-AR104),2)</f>
        <v>0</v>
      </c>
      <c r="AO105" s="55" t="n">
        <f aca="false">ROUND(AN105*$E$12/12,2)</f>
        <v>0</v>
      </c>
      <c r="AP105" s="55" t="n">
        <f aca="false">MIN($F$12,AN105+AO105)</f>
        <v>0</v>
      </c>
      <c r="AQ105" s="55" t="n">
        <f aca="false">MAX(0,MIN(AN105+AO105-AP105,$D105-(H105+M105+R105+W105+AB105+AG105+AL105)))</f>
        <v>0</v>
      </c>
      <c r="AR105" s="55" t="n">
        <f aca="false">AP105+AQ105</f>
        <v>0</v>
      </c>
      <c r="AS105" s="55" t="n">
        <f aca="false">ROUND(MAX(0,AS104+AT104-AW104),2)</f>
        <v>0</v>
      </c>
      <c r="AT105" s="55" t="n">
        <f aca="false">ROUND(AS105*$E$13/12,2)</f>
        <v>0</v>
      </c>
      <c r="AU105" s="55" t="n">
        <f aca="false">MIN($F$13,AS105+AT105)</f>
        <v>0</v>
      </c>
      <c r="AV105" s="55" t="n">
        <f aca="false">MAX(0,MIN(AS105+AT105-AU105,$D105-(H105+M105+R105+W105+AB105+AG105+AL105+AQ105)))</f>
        <v>0</v>
      </c>
      <c r="AW105" s="55" t="n">
        <f aca="false">AU105+AV105</f>
        <v>0</v>
      </c>
      <c r="AX105" s="55" t="n">
        <f aca="false">ROUND(MAX(0,AX104+AY104-BB104),2)</f>
        <v>0</v>
      </c>
      <c r="AY105" s="55" t="n">
        <f aca="false">ROUND(AX105*$E$14/12,2)</f>
        <v>0</v>
      </c>
      <c r="AZ105" s="55" t="n">
        <f aca="false">MIN($F$14,AX105+AY105)</f>
        <v>0</v>
      </c>
      <c r="BA105" s="55" t="n">
        <f aca="false">MAX(0,MIN(AX105+AY105-AZ105,$D105-(H105+M105+R105+W105+AB105+AG105+AL105+AQ105+AV105)))</f>
        <v>0</v>
      </c>
      <c r="BB105" s="55" t="n">
        <f aca="false">AZ105+BA105</f>
        <v>0</v>
      </c>
      <c r="BC105" s="55" t="n">
        <f aca="false">I105+N105+S105+X105+AC105+AH105+AM105+AR105+AW105+BB105</f>
        <v>0</v>
      </c>
      <c r="BD105" s="55" t="n">
        <f aca="false">ROUND((E105+F105-I105)+(J105+K105-N105)+(O105+P105-S105)+(T105+U105-X105)+(Y105+Z105-AC105)+(AD105+AE105-AH105)+(AI105+AJ105-AM105)+(AN105+AO105-AR105)+(AS105+AT105-AW105)+(AX105+AY105-BB105),2)</f>
        <v>0</v>
      </c>
      <c r="BE105" s="25" t="str">
        <f aca="false">IF(H105&gt;0.005,$C$5,IF(M105&gt;0.005,$C$6,IF(R105&gt;0.005,$C$7,IF(W105&gt;0.005,$C$8,IF(AB105&gt;0.005,$C$9,IF(AG105&gt;0.005,$C$10,IF(AL105&gt;0.005,$C$11,IF(AQ105&gt;0.005,$C$12,IF(AV105&gt;0.005,$C$13,IF(BA105&gt;0.005,$C$14,""))))))))))</f>
        <v/>
      </c>
    </row>
    <row r="106" customFormat="false" ht="15" hidden="false" customHeight="false" outlineLevel="0" collapsed="false">
      <c r="A106" s="24" t="n">
        <v>83</v>
      </c>
      <c r="B106" s="54" t="n">
        <f aca="false">EDATE($C$17,A106-1)</f>
        <v>48823</v>
      </c>
      <c r="C106" s="55" t="n">
        <f aca="false">G106+L106+Q106+V106+AA106+AF106+AK106+AP106+AU106+AZ106</f>
        <v>0</v>
      </c>
      <c r="D106" s="55" t="n">
        <f aca="false">MAX(0,$C$16-C106)</f>
        <v>5822</v>
      </c>
      <c r="E106" s="55" t="n">
        <f aca="false">ROUND(MAX(0,E105+F105-I105),2)</f>
        <v>0</v>
      </c>
      <c r="F106" s="55" t="n">
        <f aca="false">ROUND(E106*$E$5/12,2)</f>
        <v>0</v>
      </c>
      <c r="G106" s="55" t="n">
        <f aca="false">MIN($F$5,E106+F106)</f>
        <v>0</v>
      </c>
      <c r="H106" s="55" t="n">
        <f aca="false">MAX(0,MIN(E106+F106-G106,$D106))</f>
        <v>0</v>
      </c>
      <c r="I106" s="55" t="n">
        <f aca="false">G106+H106</f>
        <v>0</v>
      </c>
      <c r="J106" s="55" t="n">
        <f aca="false">ROUND(MAX(0,J105+K105-N105),2)</f>
        <v>0</v>
      </c>
      <c r="K106" s="55" t="n">
        <f aca="false">ROUND(J106*$E$6/12,2)</f>
        <v>0</v>
      </c>
      <c r="L106" s="55" t="n">
        <f aca="false">MIN($F$6,J106+K106)</f>
        <v>0</v>
      </c>
      <c r="M106" s="55" t="n">
        <f aca="false">MAX(0,MIN(J106+K106-L106,$D106-(H106)))</f>
        <v>0</v>
      </c>
      <c r="N106" s="55" t="n">
        <f aca="false">L106+M106</f>
        <v>0</v>
      </c>
      <c r="O106" s="55" t="n">
        <f aca="false">ROUND(MAX(0,O105+P105-S105),2)</f>
        <v>0</v>
      </c>
      <c r="P106" s="55" t="n">
        <f aca="false">ROUND(O106*$E$7/12,2)</f>
        <v>0</v>
      </c>
      <c r="Q106" s="55" t="n">
        <f aca="false">MIN($F$7,O106+P106)</f>
        <v>0</v>
      </c>
      <c r="R106" s="55" t="n">
        <f aca="false">MAX(0,MIN(O106+P106-Q106,$D106-(H106+M106)))</f>
        <v>0</v>
      </c>
      <c r="S106" s="55" t="n">
        <f aca="false">Q106+R106</f>
        <v>0</v>
      </c>
      <c r="T106" s="55" t="n">
        <f aca="false">ROUND(MAX(0,T105+U105-X105),2)</f>
        <v>0</v>
      </c>
      <c r="U106" s="55" t="n">
        <f aca="false">ROUND(T106*$E$8/12,2)</f>
        <v>0</v>
      </c>
      <c r="V106" s="55" t="n">
        <f aca="false">MIN($F$8,T106+U106)</f>
        <v>0</v>
      </c>
      <c r="W106" s="55" t="n">
        <f aca="false">MAX(0,MIN(T106+U106-V106,$D106-(H106+M106+R106)))</f>
        <v>0</v>
      </c>
      <c r="X106" s="55" t="n">
        <f aca="false">V106+W106</f>
        <v>0</v>
      </c>
      <c r="Y106" s="55" t="n">
        <f aca="false">ROUND(MAX(0,Y105+Z105-AC105),2)</f>
        <v>0</v>
      </c>
      <c r="Z106" s="55" t="n">
        <f aca="false">ROUND(Y106*$E$9/12,2)</f>
        <v>0</v>
      </c>
      <c r="AA106" s="55" t="n">
        <f aca="false">MIN($F$9,Y106+Z106)</f>
        <v>0</v>
      </c>
      <c r="AB106" s="55" t="n">
        <f aca="false">MAX(0,MIN(Y106+Z106-AA106,$D106-(H106+M106+R106+W106)))</f>
        <v>0</v>
      </c>
      <c r="AC106" s="55" t="n">
        <f aca="false">AA106+AB106</f>
        <v>0</v>
      </c>
      <c r="AD106" s="55" t="n">
        <f aca="false">ROUND(MAX(0,AD105+AE105-AH105),2)</f>
        <v>0</v>
      </c>
      <c r="AE106" s="55" t="n">
        <f aca="false">ROUND(AD106*$E$10/12,2)</f>
        <v>0</v>
      </c>
      <c r="AF106" s="55" t="n">
        <f aca="false">MIN($F$10,AD106+AE106)</f>
        <v>0</v>
      </c>
      <c r="AG106" s="55" t="n">
        <f aca="false">MAX(0,MIN(AD106+AE106-AF106,$D106-(H106+M106+R106+W106+AB106)))</f>
        <v>0</v>
      </c>
      <c r="AH106" s="55" t="n">
        <f aca="false">AF106+AG106</f>
        <v>0</v>
      </c>
      <c r="AI106" s="55" t="n">
        <f aca="false">ROUND(MAX(0,AI105+AJ105-AM105),2)</f>
        <v>0</v>
      </c>
      <c r="AJ106" s="55" t="n">
        <f aca="false">ROUND(AI106*$E$11/12,2)</f>
        <v>0</v>
      </c>
      <c r="AK106" s="55" t="n">
        <f aca="false">MIN($F$11,AI106+AJ106)</f>
        <v>0</v>
      </c>
      <c r="AL106" s="55" t="n">
        <f aca="false">MAX(0,MIN(AI106+AJ106-AK106,$D106-(H106+M106+R106+W106+AB106+AG106)))</f>
        <v>0</v>
      </c>
      <c r="AM106" s="55" t="n">
        <f aca="false">AK106+AL106</f>
        <v>0</v>
      </c>
      <c r="AN106" s="55" t="n">
        <f aca="false">ROUND(MAX(0,AN105+AO105-AR105),2)</f>
        <v>0</v>
      </c>
      <c r="AO106" s="55" t="n">
        <f aca="false">ROUND(AN106*$E$12/12,2)</f>
        <v>0</v>
      </c>
      <c r="AP106" s="55" t="n">
        <f aca="false">MIN($F$12,AN106+AO106)</f>
        <v>0</v>
      </c>
      <c r="AQ106" s="55" t="n">
        <f aca="false">MAX(0,MIN(AN106+AO106-AP106,$D106-(H106+M106+R106+W106+AB106+AG106+AL106)))</f>
        <v>0</v>
      </c>
      <c r="AR106" s="55" t="n">
        <f aca="false">AP106+AQ106</f>
        <v>0</v>
      </c>
      <c r="AS106" s="55" t="n">
        <f aca="false">ROUND(MAX(0,AS105+AT105-AW105),2)</f>
        <v>0</v>
      </c>
      <c r="AT106" s="55" t="n">
        <f aca="false">ROUND(AS106*$E$13/12,2)</f>
        <v>0</v>
      </c>
      <c r="AU106" s="55" t="n">
        <f aca="false">MIN($F$13,AS106+AT106)</f>
        <v>0</v>
      </c>
      <c r="AV106" s="55" t="n">
        <f aca="false">MAX(0,MIN(AS106+AT106-AU106,$D106-(H106+M106+R106+W106+AB106+AG106+AL106+AQ106)))</f>
        <v>0</v>
      </c>
      <c r="AW106" s="55" t="n">
        <f aca="false">AU106+AV106</f>
        <v>0</v>
      </c>
      <c r="AX106" s="55" t="n">
        <f aca="false">ROUND(MAX(0,AX105+AY105-BB105),2)</f>
        <v>0</v>
      </c>
      <c r="AY106" s="55" t="n">
        <f aca="false">ROUND(AX106*$E$14/12,2)</f>
        <v>0</v>
      </c>
      <c r="AZ106" s="55" t="n">
        <f aca="false">MIN($F$14,AX106+AY106)</f>
        <v>0</v>
      </c>
      <c r="BA106" s="55" t="n">
        <f aca="false">MAX(0,MIN(AX106+AY106-AZ106,$D106-(H106+M106+R106+W106+AB106+AG106+AL106+AQ106+AV106)))</f>
        <v>0</v>
      </c>
      <c r="BB106" s="55" t="n">
        <f aca="false">AZ106+BA106</f>
        <v>0</v>
      </c>
      <c r="BC106" s="55" t="n">
        <f aca="false">I106+N106+S106+X106+AC106+AH106+AM106+AR106+AW106+BB106</f>
        <v>0</v>
      </c>
      <c r="BD106" s="55" t="n">
        <f aca="false">ROUND((E106+F106-I106)+(J106+K106-N106)+(O106+P106-S106)+(T106+U106-X106)+(Y106+Z106-AC106)+(AD106+AE106-AH106)+(AI106+AJ106-AM106)+(AN106+AO106-AR106)+(AS106+AT106-AW106)+(AX106+AY106-BB106),2)</f>
        <v>0</v>
      </c>
      <c r="BE106" s="25" t="str">
        <f aca="false">IF(H106&gt;0.005,$C$5,IF(M106&gt;0.005,$C$6,IF(R106&gt;0.005,$C$7,IF(W106&gt;0.005,$C$8,IF(AB106&gt;0.005,$C$9,IF(AG106&gt;0.005,$C$10,IF(AL106&gt;0.005,$C$11,IF(AQ106&gt;0.005,$C$12,IF(AV106&gt;0.005,$C$13,IF(BA106&gt;0.005,$C$14,""))))))))))</f>
        <v/>
      </c>
    </row>
    <row r="107" customFormat="false" ht="15" hidden="false" customHeight="false" outlineLevel="0" collapsed="false">
      <c r="A107" s="24" t="n">
        <v>84</v>
      </c>
      <c r="B107" s="54" t="n">
        <f aca="false">EDATE($C$17,A107-1)</f>
        <v>48853</v>
      </c>
      <c r="C107" s="55" t="n">
        <f aca="false">G107+L107+Q107+V107+AA107+AF107+AK107+AP107+AU107+AZ107</f>
        <v>0</v>
      </c>
      <c r="D107" s="55" t="n">
        <f aca="false">MAX(0,$C$16-C107)</f>
        <v>5822</v>
      </c>
      <c r="E107" s="55" t="n">
        <f aca="false">ROUND(MAX(0,E106+F106-I106),2)</f>
        <v>0</v>
      </c>
      <c r="F107" s="55" t="n">
        <f aca="false">ROUND(E107*$E$5/12,2)</f>
        <v>0</v>
      </c>
      <c r="G107" s="55" t="n">
        <f aca="false">MIN($F$5,E107+F107)</f>
        <v>0</v>
      </c>
      <c r="H107" s="55" t="n">
        <f aca="false">MAX(0,MIN(E107+F107-G107,$D107))</f>
        <v>0</v>
      </c>
      <c r="I107" s="55" t="n">
        <f aca="false">G107+H107</f>
        <v>0</v>
      </c>
      <c r="J107" s="55" t="n">
        <f aca="false">ROUND(MAX(0,J106+K106-N106),2)</f>
        <v>0</v>
      </c>
      <c r="K107" s="55" t="n">
        <f aca="false">ROUND(J107*$E$6/12,2)</f>
        <v>0</v>
      </c>
      <c r="L107" s="55" t="n">
        <f aca="false">MIN($F$6,J107+K107)</f>
        <v>0</v>
      </c>
      <c r="M107" s="55" t="n">
        <f aca="false">MAX(0,MIN(J107+K107-L107,$D107-(H107)))</f>
        <v>0</v>
      </c>
      <c r="N107" s="55" t="n">
        <f aca="false">L107+M107</f>
        <v>0</v>
      </c>
      <c r="O107" s="55" t="n">
        <f aca="false">ROUND(MAX(0,O106+P106-S106),2)</f>
        <v>0</v>
      </c>
      <c r="P107" s="55" t="n">
        <f aca="false">ROUND(O107*$E$7/12,2)</f>
        <v>0</v>
      </c>
      <c r="Q107" s="55" t="n">
        <f aca="false">MIN($F$7,O107+P107)</f>
        <v>0</v>
      </c>
      <c r="R107" s="55" t="n">
        <f aca="false">MAX(0,MIN(O107+P107-Q107,$D107-(H107+M107)))</f>
        <v>0</v>
      </c>
      <c r="S107" s="55" t="n">
        <f aca="false">Q107+R107</f>
        <v>0</v>
      </c>
      <c r="T107" s="55" t="n">
        <f aca="false">ROUND(MAX(0,T106+U106-X106),2)</f>
        <v>0</v>
      </c>
      <c r="U107" s="55" t="n">
        <f aca="false">ROUND(T107*$E$8/12,2)</f>
        <v>0</v>
      </c>
      <c r="V107" s="55" t="n">
        <f aca="false">MIN($F$8,T107+U107)</f>
        <v>0</v>
      </c>
      <c r="W107" s="55" t="n">
        <f aca="false">MAX(0,MIN(T107+U107-V107,$D107-(H107+M107+R107)))</f>
        <v>0</v>
      </c>
      <c r="X107" s="55" t="n">
        <f aca="false">V107+W107</f>
        <v>0</v>
      </c>
      <c r="Y107" s="55" t="n">
        <f aca="false">ROUND(MAX(0,Y106+Z106-AC106),2)</f>
        <v>0</v>
      </c>
      <c r="Z107" s="55" t="n">
        <f aca="false">ROUND(Y107*$E$9/12,2)</f>
        <v>0</v>
      </c>
      <c r="AA107" s="55" t="n">
        <f aca="false">MIN($F$9,Y107+Z107)</f>
        <v>0</v>
      </c>
      <c r="AB107" s="55" t="n">
        <f aca="false">MAX(0,MIN(Y107+Z107-AA107,$D107-(H107+M107+R107+W107)))</f>
        <v>0</v>
      </c>
      <c r="AC107" s="55" t="n">
        <f aca="false">AA107+AB107</f>
        <v>0</v>
      </c>
      <c r="AD107" s="55" t="n">
        <f aca="false">ROUND(MAX(0,AD106+AE106-AH106),2)</f>
        <v>0</v>
      </c>
      <c r="AE107" s="55" t="n">
        <f aca="false">ROUND(AD107*$E$10/12,2)</f>
        <v>0</v>
      </c>
      <c r="AF107" s="55" t="n">
        <f aca="false">MIN($F$10,AD107+AE107)</f>
        <v>0</v>
      </c>
      <c r="AG107" s="55" t="n">
        <f aca="false">MAX(0,MIN(AD107+AE107-AF107,$D107-(H107+M107+R107+W107+AB107)))</f>
        <v>0</v>
      </c>
      <c r="AH107" s="55" t="n">
        <f aca="false">AF107+AG107</f>
        <v>0</v>
      </c>
      <c r="AI107" s="55" t="n">
        <f aca="false">ROUND(MAX(0,AI106+AJ106-AM106),2)</f>
        <v>0</v>
      </c>
      <c r="AJ107" s="55" t="n">
        <f aca="false">ROUND(AI107*$E$11/12,2)</f>
        <v>0</v>
      </c>
      <c r="AK107" s="55" t="n">
        <f aca="false">MIN($F$11,AI107+AJ107)</f>
        <v>0</v>
      </c>
      <c r="AL107" s="55" t="n">
        <f aca="false">MAX(0,MIN(AI107+AJ107-AK107,$D107-(H107+M107+R107+W107+AB107+AG107)))</f>
        <v>0</v>
      </c>
      <c r="AM107" s="55" t="n">
        <f aca="false">AK107+AL107</f>
        <v>0</v>
      </c>
      <c r="AN107" s="55" t="n">
        <f aca="false">ROUND(MAX(0,AN106+AO106-AR106),2)</f>
        <v>0</v>
      </c>
      <c r="AO107" s="55" t="n">
        <f aca="false">ROUND(AN107*$E$12/12,2)</f>
        <v>0</v>
      </c>
      <c r="AP107" s="55" t="n">
        <f aca="false">MIN($F$12,AN107+AO107)</f>
        <v>0</v>
      </c>
      <c r="AQ107" s="55" t="n">
        <f aca="false">MAX(0,MIN(AN107+AO107-AP107,$D107-(H107+M107+R107+W107+AB107+AG107+AL107)))</f>
        <v>0</v>
      </c>
      <c r="AR107" s="55" t="n">
        <f aca="false">AP107+AQ107</f>
        <v>0</v>
      </c>
      <c r="AS107" s="55" t="n">
        <f aca="false">ROUND(MAX(0,AS106+AT106-AW106),2)</f>
        <v>0</v>
      </c>
      <c r="AT107" s="55" t="n">
        <f aca="false">ROUND(AS107*$E$13/12,2)</f>
        <v>0</v>
      </c>
      <c r="AU107" s="55" t="n">
        <f aca="false">MIN($F$13,AS107+AT107)</f>
        <v>0</v>
      </c>
      <c r="AV107" s="55" t="n">
        <f aca="false">MAX(0,MIN(AS107+AT107-AU107,$D107-(H107+M107+R107+W107+AB107+AG107+AL107+AQ107)))</f>
        <v>0</v>
      </c>
      <c r="AW107" s="55" t="n">
        <f aca="false">AU107+AV107</f>
        <v>0</v>
      </c>
      <c r="AX107" s="55" t="n">
        <f aca="false">ROUND(MAX(0,AX106+AY106-BB106),2)</f>
        <v>0</v>
      </c>
      <c r="AY107" s="55" t="n">
        <f aca="false">ROUND(AX107*$E$14/12,2)</f>
        <v>0</v>
      </c>
      <c r="AZ107" s="55" t="n">
        <f aca="false">MIN($F$14,AX107+AY107)</f>
        <v>0</v>
      </c>
      <c r="BA107" s="55" t="n">
        <f aca="false">MAX(0,MIN(AX107+AY107-AZ107,$D107-(H107+M107+R107+W107+AB107+AG107+AL107+AQ107+AV107)))</f>
        <v>0</v>
      </c>
      <c r="BB107" s="55" t="n">
        <f aca="false">AZ107+BA107</f>
        <v>0</v>
      </c>
      <c r="BC107" s="55" t="n">
        <f aca="false">I107+N107+S107+X107+AC107+AH107+AM107+AR107+AW107+BB107</f>
        <v>0</v>
      </c>
      <c r="BD107" s="55" t="n">
        <f aca="false">ROUND((E107+F107-I107)+(J107+K107-N107)+(O107+P107-S107)+(T107+U107-X107)+(Y107+Z107-AC107)+(AD107+AE107-AH107)+(AI107+AJ107-AM107)+(AN107+AO107-AR107)+(AS107+AT107-AW107)+(AX107+AY107-BB107),2)</f>
        <v>0</v>
      </c>
      <c r="BE107" s="25" t="str">
        <f aca="false">IF(H107&gt;0.005,$C$5,IF(M107&gt;0.005,$C$6,IF(R107&gt;0.005,$C$7,IF(W107&gt;0.005,$C$8,IF(AB107&gt;0.005,$C$9,IF(AG107&gt;0.005,$C$10,IF(AL107&gt;0.005,$C$11,IF(AQ107&gt;0.005,$C$12,IF(AV107&gt;0.005,$C$13,IF(BA107&gt;0.005,$C$14,""))))))))))</f>
        <v/>
      </c>
    </row>
    <row r="108" customFormat="false" ht="15" hidden="false" customHeight="false" outlineLevel="0" collapsed="false">
      <c r="A108" s="24" t="n">
        <v>85</v>
      </c>
      <c r="B108" s="54" t="n">
        <f aca="false">EDATE($C$17,A108-1)</f>
        <v>48884</v>
      </c>
      <c r="C108" s="55" t="n">
        <f aca="false">G108+L108+Q108+V108+AA108+AF108+AK108+AP108+AU108+AZ108</f>
        <v>0</v>
      </c>
      <c r="D108" s="55" t="n">
        <f aca="false">MAX(0,$C$16-C108)</f>
        <v>5822</v>
      </c>
      <c r="E108" s="55" t="n">
        <f aca="false">ROUND(MAX(0,E107+F107-I107),2)</f>
        <v>0</v>
      </c>
      <c r="F108" s="55" t="n">
        <f aca="false">ROUND(E108*$E$5/12,2)</f>
        <v>0</v>
      </c>
      <c r="G108" s="55" t="n">
        <f aca="false">MIN($F$5,E108+F108)</f>
        <v>0</v>
      </c>
      <c r="H108" s="55" t="n">
        <f aca="false">MAX(0,MIN(E108+F108-G108,$D108))</f>
        <v>0</v>
      </c>
      <c r="I108" s="55" t="n">
        <f aca="false">G108+H108</f>
        <v>0</v>
      </c>
      <c r="J108" s="55" t="n">
        <f aca="false">ROUND(MAX(0,J107+K107-N107),2)</f>
        <v>0</v>
      </c>
      <c r="K108" s="55" t="n">
        <f aca="false">ROUND(J108*$E$6/12,2)</f>
        <v>0</v>
      </c>
      <c r="L108" s="55" t="n">
        <f aca="false">MIN($F$6,J108+K108)</f>
        <v>0</v>
      </c>
      <c r="M108" s="55" t="n">
        <f aca="false">MAX(0,MIN(J108+K108-L108,$D108-(H108)))</f>
        <v>0</v>
      </c>
      <c r="N108" s="55" t="n">
        <f aca="false">L108+M108</f>
        <v>0</v>
      </c>
      <c r="O108" s="55" t="n">
        <f aca="false">ROUND(MAX(0,O107+P107-S107),2)</f>
        <v>0</v>
      </c>
      <c r="P108" s="55" t="n">
        <f aca="false">ROUND(O108*$E$7/12,2)</f>
        <v>0</v>
      </c>
      <c r="Q108" s="55" t="n">
        <f aca="false">MIN($F$7,O108+P108)</f>
        <v>0</v>
      </c>
      <c r="R108" s="55" t="n">
        <f aca="false">MAX(0,MIN(O108+P108-Q108,$D108-(H108+M108)))</f>
        <v>0</v>
      </c>
      <c r="S108" s="55" t="n">
        <f aca="false">Q108+R108</f>
        <v>0</v>
      </c>
      <c r="T108" s="55" t="n">
        <f aca="false">ROUND(MAX(0,T107+U107-X107),2)</f>
        <v>0</v>
      </c>
      <c r="U108" s="55" t="n">
        <f aca="false">ROUND(T108*$E$8/12,2)</f>
        <v>0</v>
      </c>
      <c r="V108" s="55" t="n">
        <f aca="false">MIN($F$8,T108+U108)</f>
        <v>0</v>
      </c>
      <c r="W108" s="55" t="n">
        <f aca="false">MAX(0,MIN(T108+U108-V108,$D108-(H108+M108+R108)))</f>
        <v>0</v>
      </c>
      <c r="X108" s="55" t="n">
        <f aca="false">V108+W108</f>
        <v>0</v>
      </c>
      <c r="Y108" s="55" t="n">
        <f aca="false">ROUND(MAX(0,Y107+Z107-AC107),2)</f>
        <v>0</v>
      </c>
      <c r="Z108" s="55" t="n">
        <f aca="false">ROUND(Y108*$E$9/12,2)</f>
        <v>0</v>
      </c>
      <c r="AA108" s="55" t="n">
        <f aca="false">MIN($F$9,Y108+Z108)</f>
        <v>0</v>
      </c>
      <c r="AB108" s="55" t="n">
        <f aca="false">MAX(0,MIN(Y108+Z108-AA108,$D108-(H108+M108+R108+W108)))</f>
        <v>0</v>
      </c>
      <c r="AC108" s="55" t="n">
        <f aca="false">AA108+AB108</f>
        <v>0</v>
      </c>
      <c r="AD108" s="55" t="n">
        <f aca="false">ROUND(MAX(0,AD107+AE107-AH107),2)</f>
        <v>0</v>
      </c>
      <c r="AE108" s="55" t="n">
        <f aca="false">ROUND(AD108*$E$10/12,2)</f>
        <v>0</v>
      </c>
      <c r="AF108" s="55" t="n">
        <f aca="false">MIN($F$10,AD108+AE108)</f>
        <v>0</v>
      </c>
      <c r="AG108" s="55" t="n">
        <f aca="false">MAX(0,MIN(AD108+AE108-AF108,$D108-(H108+M108+R108+W108+AB108)))</f>
        <v>0</v>
      </c>
      <c r="AH108" s="55" t="n">
        <f aca="false">AF108+AG108</f>
        <v>0</v>
      </c>
      <c r="AI108" s="55" t="n">
        <f aca="false">ROUND(MAX(0,AI107+AJ107-AM107),2)</f>
        <v>0</v>
      </c>
      <c r="AJ108" s="55" t="n">
        <f aca="false">ROUND(AI108*$E$11/12,2)</f>
        <v>0</v>
      </c>
      <c r="AK108" s="55" t="n">
        <f aca="false">MIN($F$11,AI108+AJ108)</f>
        <v>0</v>
      </c>
      <c r="AL108" s="55" t="n">
        <f aca="false">MAX(0,MIN(AI108+AJ108-AK108,$D108-(H108+M108+R108+W108+AB108+AG108)))</f>
        <v>0</v>
      </c>
      <c r="AM108" s="55" t="n">
        <f aca="false">AK108+AL108</f>
        <v>0</v>
      </c>
      <c r="AN108" s="55" t="n">
        <f aca="false">ROUND(MAX(0,AN107+AO107-AR107),2)</f>
        <v>0</v>
      </c>
      <c r="AO108" s="55" t="n">
        <f aca="false">ROUND(AN108*$E$12/12,2)</f>
        <v>0</v>
      </c>
      <c r="AP108" s="55" t="n">
        <f aca="false">MIN($F$12,AN108+AO108)</f>
        <v>0</v>
      </c>
      <c r="AQ108" s="55" t="n">
        <f aca="false">MAX(0,MIN(AN108+AO108-AP108,$D108-(H108+M108+R108+W108+AB108+AG108+AL108)))</f>
        <v>0</v>
      </c>
      <c r="AR108" s="55" t="n">
        <f aca="false">AP108+AQ108</f>
        <v>0</v>
      </c>
      <c r="AS108" s="55" t="n">
        <f aca="false">ROUND(MAX(0,AS107+AT107-AW107),2)</f>
        <v>0</v>
      </c>
      <c r="AT108" s="55" t="n">
        <f aca="false">ROUND(AS108*$E$13/12,2)</f>
        <v>0</v>
      </c>
      <c r="AU108" s="55" t="n">
        <f aca="false">MIN($F$13,AS108+AT108)</f>
        <v>0</v>
      </c>
      <c r="AV108" s="55" t="n">
        <f aca="false">MAX(0,MIN(AS108+AT108-AU108,$D108-(H108+M108+R108+W108+AB108+AG108+AL108+AQ108)))</f>
        <v>0</v>
      </c>
      <c r="AW108" s="55" t="n">
        <f aca="false">AU108+AV108</f>
        <v>0</v>
      </c>
      <c r="AX108" s="55" t="n">
        <f aca="false">ROUND(MAX(0,AX107+AY107-BB107),2)</f>
        <v>0</v>
      </c>
      <c r="AY108" s="55" t="n">
        <f aca="false">ROUND(AX108*$E$14/12,2)</f>
        <v>0</v>
      </c>
      <c r="AZ108" s="55" t="n">
        <f aca="false">MIN($F$14,AX108+AY108)</f>
        <v>0</v>
      </c>
      <c r="BA108" s="55" t="n">
        <f aca="false">MAX(0,MIN(AX108+AY108-AZ108,$D108-(H108+M108+R108+W108+AB108+AG108+AL108+AQ108+AV108)))</f>
        <v>0</v>
      </c>
      <c r="BB108" s="55" t="n">
        <f aca="false">AZ108+BA108</f>
        <v>0</v>
      </c>
      <c r="BC108" s="55" t="n">
        <f aca="false">I108+N108+S108+X108+AC108+AH108+AM108+AR108+AW108+BB108</f>
        <v>0</v>
      </c>
      <c r="BD108" s="55" t="n">
        <f aca="false">ROUND((E108+F108-I108)+(J108+K108-N108)+(O108+P108-S108)+(T108+U108-X108)+(Y108+Z108-AC108)+(AD108+AE108-AH108)+(AI108+AJ108-AM108)+(AN108+AO108-AR108)+(AS108+AT108-AW108)+(AX108+AY108-BB108),2)</f>
        <v>0</v>
      </c>
      <c r="BE108" s="25" t="str">
        <f aca="false">IF(H108&gt;0.005,$C$5,IF(M108&gt;0.005,$C$6,IF(R108&gt;0.005,$C$7,IF(W108&gt;0.005,$C$8,IF(AB108&gt;0.005,$C$9,IF(AG108&gt;0.005,$C$10,IF(AL108&gt;0.005,$C$11,IF(AQ108&gt;0.005,$C$12,IF(AV108&gt;0.005,$C$13,IF(BA108&gt;0.005,$C$14,""))))))))))</f>
        <v/>
      </c>
    </row>
    <row r="109" customFormat="false" ht="15" hidden="false" customHeight="false" outlineLevel="0" collapsed="false">
      <c r="A109" s="24" t="n">
        <v>86</v>
      </c>
      <c r="B109" s="54" t="n">
        <f aca="false">EDATE($C$17,A109-1)</f>
        <v>48914</v>
      </c>
      <c r="C109" s="55" t="n">
        <f aca="false">G109+L109+Q109+V109+AA109+AF109+AK109+AP109+AU109+AZ109</f>
        <v>0</v>
      </c>
      <c r="D109" s="55" t="n">
        <f aca="false">MAX(0,$C$16-C109)</f>
        <v>5822</v>
      </c>
      <c r="E109" s="55" t="n">
        <f aca="false">ROUND(MAX(0,E108+F108-I108),2)</f>
        <v>0</v>
      </c>
      <c r="F109" s="55" t="n">
        <f aca="false">ROUND(E109*$E$5/12,2)</f>
        <v>0</v>
      </c>
      <c r="G109" s="55" t="n">
        <f aca="false">MIN($F$5,E109+F109)</f>
        <v>0</v>
      </c>
      <c r="H109" s="55" t="n">
        <f aca="false">MAX(0,MIN(E109+F109-G109,$D109))</f>
        <v>0</v>
      </c>
      <c r="I109" s="55" t="n">
        <f aca="false">G109+H109</f>
        <v>0</v>
      </c>
      <c r="J109" s="55" t="n">
        <f aca="false">ROUND(MAX(0,J108+K108-N108),2)</f>
        <v>0</v>
      </c>
      <c r="K109" s="55" t="n">
        <f aca="false">ROUND(J109*$E$6/12,2)</f>
        <v>0</v>
      </c>
      <c r="L109" s="55" t="n">
        <f aca="false">MIN($F$6,J109+K109)</f>
        <v>0</v>
      </c>
      <c r="M109" s="55" t="n">
        <f aca="false">MAX(0,MIN(J109+K109-L109,$D109-(H109)))</f>
        <v>0</v>
      </c>
      <c r="N109" s="55" t="n">
        <f aca="false">L109+M109</f>
        <v>0</v>
      </c>
      <c r="O109" s="55" t="n">
        <f aca="false">ROUND(MAX(0,O108+P108-S108),2)</f>
        <v>0</v>
      </c>
      <c r="P109" s="55" t="n">
        <f aca="false">ROUND(O109*$E$7/12,2)</f>
        <v>0</v>
      </c>
      <c r="Q109" s="55" t="n">
        <f aca="false">MIN($F$7,O109+P109)</f>
        <v>0</v>
      </c>
      <c r="R109" s="55" t="n">
        <f aca="false">MAX(0,MIN(O109+P109-Q109,$D109-(H109+M109)))</f>
        <v>0</v>
      </c>
      <c r="S109" s="55" t="n">
        <f aca="false">Q109+R109</f>
        <v>0</v>
      </c>
      <c r="T109" s="55" t="n">
        <f aca="false">ROUND(MAX(0,T108+U108-X108),2)</f>
        <v>0</v>
      </c>
      <c r="U109" s="55" t="n">
        <f aca="false">ROUND(T109*$E$8/12,2)</f>
        <v>0</v>
      </c>
      <c r="V109" s="55" t="n">
        <f aca="false">MIN($F$8,T109+U109)</f>
        <v>0</v>
      </c>
      <c r="W109" s="55" t="n">
        <f aca="false">MAX(0,MIN(T109+U109-V109,$D109-(H109+M109+R109)))</f>
        <v>0</v>
      </c>
      <c r="X109" s="55" t="n">
        <f aca="false">V109+W109</f>
        <v>0</v>
      </c>
      <c r="Y109" s="55" t="n">
        <f aca="false">ROUND(MAX(0,Y108+Z108-AC108),2)</f>
        <v>0</v>
      </c>
      <c r="Z109" s="55" t="n">
        <f aca="false">ROUND(Y109*$E$9/12,2)</f>
        <v>0</v>
      </c>
      <c r="AA109" s="55" t="n">
        <f aca="false">MIN($F$9,Y109+Z109)</f>
        <v>0</v>
      </c>
      <c r="AB109" s="55" t="n">
        <f aca="false">MAX(0,MIN(Y109+Z109-AA109,$D109-(H109+M109+R109+W109)))</f>
        <v>0</v>
      </c>
      <c r="AC109" s="55" t="n">
        <f aca="false">AA109+AB109</f>
        <v>0</v>
      </c>
      <c r="AD109" s="55" t="n">
        <f aca="false">ROUND(MAX(0,AD108+AE108-AH108),2)</f>
        <v>0</v>
      </c>
      <c r="AE109" s="55" t="n">
        <f aca="false">ROUND(AD109*$E$10/12,2)</f>
        <v>0</v>
      </c>
      <c r="AF109" s="55" t="n">
        <f aca="false">MIN($F$10,AD109+AE109)</f>
        <v>0</v>
      </c>
      <c r="AG109" s="55" t="n">
        <f aca="false">MAX(0,MIN(AD109+AE109-AF109,$D109-(H109+M109+R109+W109+AB109)))</f>
        <v>0</v>
      </c>
      <c r="AH109" s="55" t="n">
        <f aca="false">AF109+AG109</f>
        <v>0</v>
      </c>
      <c r="AI109" s="55" t="n">
        <f aca="false">ROUND(MAX(0,AI108+AJ108-AM108),2)</f>
        <v>0</v>
      </c>
      <c r="AJ109" s="55" t="n">
        <f aca="false">ROUND(AI109*$E$11/12,2)</f>
        <v>0</v>
      </c>
      <c r="AK109" s="55" t="n">
        <f aca="false">MIN($F$11,AI109+AJ109)</f>
        <v>0</v>
      </c>
      <c r="AL109" s="55" t="n">
        <f aca="false">MAX(0,MIN(AI109+AJ109-AK109,$D109-(H109+M109+R109+W109+AB109+AG109)))</f>
        <v>0</v>
      </c>
      <c r="AM109" s="55" t="n">
        <f aca="false">AK109+AL109</f>
        <v>0</v>
      </c>
      <c r="AN109" s="55" t="n">
        <f aca="false">ROUND(MAX(0,AN108+AO108-AR108),2)</f>
        <v>0</v>
      </c>
      <c r="AO109" s="55" t="n">
        <f aca="false">ROUND(AN109*$E$12/12,2)</f>
        <v>0</v>
      </c>
      <c r="AP109" s="55" t="n">
        <f aca="false">MIN($F$12,AN109+AO109)</f>
        <v>0</v>
      </c>
      <c r="AQ109" s="55" t="n">
        <f aca="false">MAX(0,MIN(AN109+AO109-AP109,$D109-(H109+M109+R109+W109+AB109+AG109+AL109)))</f>
        <v>0</v>
      </c>
      <c r="AR109" s="55" t="n">
        <f aca="false">AP109+AQ109</f>
        <v>0</v>
      </c>
      <c r="AS109" s="55" t="n">
        <f aca="false">ROUND(MAX(0,AS108+AT108-AW108),2)</f>
        <v>0</v>
      </c>
      <c r="AT109" s="55" t="n">
        <f aca="false">ROUND(AS109*$E$13/12,2)</f>
        <v>0</v>
      </c>
      <c r="AU109" s="55" t="n">
        <f aca="false">MIN($F$13,AS109+AT109)</f>
        <v>0</v>
      </c>
      <c r="AV109" s="55" t="n">
        <f aca="false">MAX(0,MIN(AS109+AT109-AU109,$D109-(H109+M109+R109+W109+AB109+AG109+AL109+AQ109)))</f>
        <v>0</v>
      </c>
      <c r="AW109" s="55" t="n">
        <f aca="false">AU109+AV109</f>
        <v>0</v>
      </c>
      <c r="AX109" s="55" t="n">
        <f aca="false">ROUND(MAX(0,AX108+AY108-BB108),2)</f>
        <v>0</v>
      </c>
      <c r="AY109" s="55" t="n">
        <f aca="false">ROUND(AX109*$E$14/12,2)</f>
        <v>0</v>
      </c>
      <c r="AZ109" s="55" t="n">
        <f aca="false">MIN($F$14,AX109+AY109)</f>
        <v>0</v>
      </c>
      <c r="BA109" s="55" t="n">
        <f aca="false">MAX(0,MIN(AX109+AY109-AZ109,$D109-(H109+M109+R109+W109+AB109+AG109+AL109+AQ109+AV109)))</f>
        <v>0</v>
      </c>
      <c r="BB109" s="55" t="n">
        <f aca="false">AZ109+BA109</f>
        <v>0</v>
      </c>
      <c r="BC109" s="55" t="n">
        <f aca="false">I109+N109+S109+X109+AC109+AH109+AM109+AR109+AW109+BB109</f>
        <v>0</v>
      </c>
      <c r="BD109" s="55" t="n">
        <f aca="false">ROUND((E109+F109-I109)+(J109+K109-N109)+(O109+P109-S109)+(T109+U109-X109)+(Y109+Z109-AC109)+(AD109+AE109-AH109)+(AI109+AJ109-AM109)+(AN109+AO109-AR109)+(AS109+AT109-AW109)+(AX109+AY109-BB109),2)</f>
        <v>0</v>
      </c>
      <c r="BE109" s="25" t="str">
        <f aca="false">IF(H109&gt;0.005,$C$5,IF(M109&gt;0.005,$C$6,IF(R109&gt;0.005,$C$7,IF(W109&gt;0.005,$C$8,IF(AB109&gt;0.005,$C$9,IF(AG109&gt;0.005,$C$10,IF(AL109&gt;0.005,$C$11,IF(AQ109&gt;0.005,$C$12,IF(AV109&gt;0.005,$C$13,IF(BA109&gt;0.005,$C$14,""))))))))))</f>
        <v/>
      </c>
    </row>
    <row r="110" customFormat="false" ht="15" hidden="false" customHeight="false" outlineLevel="0" collapsed="false">
      <c r="A110" s="24" t="n">
        <v>87</v>
      </c>
      <c r="B110" s="54" t="n">
        <f aca="false">EDATE($C$17,A110-1)</f>
        <v>48945</v>
      </c>
      <c r="C110" s="55" t="n">
        <f aca="false">G110+L110+Q110+V110+AA110+AF110+AK110+AP110+AU110+AZ110</f>
        <v>0</v>
      </c>
      <c r="D110" s="55" t="n">
        <f aca="false">MAX(0,$C$16-C110)</f>
        <v>5822</v>
      </c>
      <c r="E110" s="55" t="n">
        <f aca="false">ROUND(MAX(0,E109+F109-I109),2)</f>
        <v>0</v>
      </c>
      <c r="F110" s="55" t="n">
        <f aca="false">ROUND(E110*$E$5/12,2)</f>
        <v>0</v>
      </c>
      <c r="G110" s="55" t="n">
        <f aca="false">MIN($F$5,E110+F110)</f>
        <v>0</v>
      </c>
      <c r="H110" s="55" t="n">
        <f aca="false">MAX(0,MIN(E110+F110-G110,$D110))</f>
        <v>0</v>
      </c>
      <c r="I110" s="55" t="n">
        <f aca="false">G110+H110</f>
        <v>0</v>
      </c>
      <c r="J110" s="55" t="n">
        <f aca="false">ROUND(MAX(0,J109+K109-N109),2)</f>
        <v>0</v>
      </c>
      <c r="K110" s="55" t="n">
        <f aca="false">ROUND(J110*$E$6/12,2)</f>
        <v>0</v>
      </c>
      <c r="L110" s="55" t="n">
        <f aca="false">MIN($F$6,J110+K110)</f>
        <v>0</v>
      </c>
      <c r="M110" s="55" t="n">
        <f aca="false">MAX(0,MIN(J110+K110-L110,$D110-(H110)))</f>
        <v>0</v>
      </c>
      <c r="N110" s="55" t="n">
        <f aca="false">L110+M110</f>
        <v>0</v>
      </c>
      <c r="O110" s="55" t="n">
        <f aca="false">ROUND(MAX(0,O109+P109-S109),2)</f>
        <v>0</v>
      </c>
      <c r="P110" s="55" t="n">
        <f aca="false">ROUND(O110*$E$7/12,2)</f>
        <v>0</v>
      </c>
      <c r="Q110" s="55" t="n">
        <f aca="false">MIN($F$7,O110+P110)</f>
        <v>0</v>
      </c>
      <c r="R110" s="55" t="n">
        <f aca="false">MAX(0,MIN(O110+P110-Q110,$D110-(H110+M110)))</f>
        <v>0</v>
      </c>
      <c r="S110" s="55" t="n">
        <f aca="false">Q110+R110</f>
        <v>0</v>
      </c>
      <c r="T110" s="55" t="n">
        <f aca="false">ROUND(MAX(0,T109+U109-X109),2)</f>
        <v>0</v>
      </c>
      <c r="U110" s="55" t="n">
        <f aca="false">ROUND(T110*$E$8/12,2)</f>
        <v>0</v>
      </c>
      <c r="V110" s="55" t="n">
        <f aca="false">MIN($F$8,T110+U110)</f>
        <v>0</v>
      </c>
      <c r="W110" s="55" t="n">
        <f aca="false">MAX(0,MIN(T110+U110-V110,$D110-(H110+M110+R110)))</f>
        <v>0</v>
      </c>
      <c r="X110" s="55" t="n">
        <f aca="false">V110+W110</f>
        <v>0</v>
      </c>
      <c r="Y110" s="55" t="n">
        <f aca="false">ROUND(MAX(0,Y109+Z109-AC109),2)</f>
        <v>0</v>
      </c>
      <c r="Z110" s="55" t="n">
        <f aca="false">ROUND(Y110*$E$9/12,2)</f>
        <v>0</v>
      </c>
      <c r="AA110" s="55" t="n">
        <f aca="false">MIN($F$9,Y110+Z110)</f>
        <v>0</v>
      </c>
      <c r="AB110" s="55" t="n">
        <f aca="false">MAX(0,MIN(Y110+Z110-AA110,$D110-(H110+M110+R110+W110)))</f>
        <v>0</v>
      </c>
      <c r="AC110" s="55" t="n">
        <f aca="false">AA110+AB110</f>
        <v>0</v>
      </c>
      <c r="AD110" s="55" t="n">
        <f aca="false">ROUND(MAX(0,AD109+AE109-AH109),2)</f>
        <v>0</v>
      </c>
      <c r="AE110" s="55" t="n">
        <f aca="false">ROUND(AD110*$E$10/12,2)</f>
        <v>0</v>
      </c>
      <c r="AF110" s="55" t="n">
        <f aca="false">MIN($F$10,AD110+AE110)</f>
        <v>0</v>
      </c>
      <c r="AG110" s="55" t="n">
        <f aca="false">MAX(0,MIN(AD110+AE110-AF110,$D110-(H110+M110+R110+W110+AB110)))</f>
        <v>0</v>
      </c>
      <c r="AH110" s="55" t="n">
        <f aca="false">AF110+AG110</f>
        <v>0</v>
      </c>
      <c r="AI110" s="55" t="n">
        <f aca="false">ROUND(MAX(0,AI109+AJ109-AM109),2)</f>
        <v>0</v>
      </c>
      <c r="AJ110" s="55" t="n">
        <f aca="false">ROUND(AI110*$E$11/12,2)</f>
        <v>0</v>
      </c>
      <c r="AK110" s="55" t="n">
        <f aca="false">MIN($F$11,AI110+AJ110)</f>
        <v>0</v>
      </c>
      <c r="AL110" s="55" t="n">
        <f aca="false">MAX(0,MIN(AI110+AJ110-AK110,$D110-(H110+M110+R110+W110+AB110+AG110)))</f>
        <v>0</v>
      </c>
      <c r="AM110" s="55" t="n">
        <f aca="false">AK110+AL110</f>
        <v>0</v>
      </c>
      <c r="AN110" s="55" t="n">
        <f aca="false">ROUND(MAX(0,AN109+AO109-AR109),2)</f>
        <v>0</v>
      </c>
      <c r="AO110" s="55" t="n">
        <f aca="false">ROUND(AN110*$E$12/12,2)</f>
        <v>0</v>
      </c>
      <c r="AP110" s="55" t="n">
        <f aca="false">MIN($F$12,AN110+AO110)</f>
        <v>0</v>
      </c>
      <c r="AQ110" s="55" t="n">
        <f aca="false">MAX(0,MIN(AN110+AO110-AP110,$D110-(H110+M110+R110+W110+AB110+AG110+AL110)))</f>
        <v>0</v>
      </c>
      <c r="AR110" s="55" t="n">
        <f aca="false">AP110+AQ110</f>
        <v>0</v>
      </c>
      <c r="AS110" s="55" t="n">
        <f aca="false">ROUND(MAX(0,AS109+AT109-AW109),2)</f>
        <v>0</v>
      </c>
      <c r="AT110" s="55" t="n">
        <f aca="false">ROUND(AS110*$E$13/12,2)</f>
        <v>0</v>
      </c>
      <c r="AU110" s="55" t="n">
        <f aca="false">MIN($F$13,AS110+AT110)</f>
        <v>0</v>
      </c>
      <c r="AV110" s="55" t="n">
        <f aca="false">MAX(0,MIN(AS110+AT110-AU110,$D110-(H110+M110+R110+W110+AB110+AG110+AL110+AQ110)))</f>
        <v>0</v>
      </c>
      <c r="AW110" s="55" t="n">
        <f aca="false">AU110+AV110</f>
        <v>0</v>
      </c>
      <c r="AX110" s="55" t="n">
        <f aca="false">ROUND(MAX(0,AX109+AY109-BB109),2)</f>
        <v>0</v>
      </c>
      <c r="AY110" s="55" t="n">
        <f aca="false">ROUND(AX110*$E$14/12,2)</f>
        <v>0</v>
      </c>
      <c r="AZ110" s="55" t="n">
        <f aca="false">MIN($F$14,AX110+AY110)</f>
        <v>0</v>
      </c>
      <c r="BA110" s="55" t="n">
        <f aca="false">MAX(0,MIN(AX110+AY110-AZ110,$D110-(H110+M110+R110+W110+AB110+AG110+AL110+AQ110+AV110)))</f>
        <v>0</v>
      </c>
      <c r="BB110" s="55" t="n">
        <f aca="false">AZ110+BA110</f>
        <v>0</v>
      </c>
      <c r="BC110" s="55" t="n">
        <f aca="false">I110+N110+S110+X110+AC110+AH110+AM110+AR110+AW110+BB110</f>
        <v>0</v>
      </c>
      <c r="BD110" s="55" t="n">
        <f aca="false">ROUND((E110+F110-I110)+(J110+K110-N110)+(O110+P110-S110)+(T110+U110-X110)+(Y110+Z110-AC110)+(AD110+AE110-AH110)+(AI110+AJ110-AM110)+(AN110+AO110-AR110)+(AS110+AT110-AW110)+(AX110+AY110-BB110),2)</f>
        <v>0</v>
      </c>
      <c r="BE110" s="25" t="str">
        <f aca="false">IF(H110&gt;0.005,$C$5,IF(M110&gt;0.005,$C$6,IF(R110&gt;0.005,$C$7,IF(W110&gt;0.005,$C$8,IF(AB110&gt;0.005,$C$9,IF(AG110&gt;0.005,$C$10,IF(AL110&gt;0.005,$C$11,IF(AQ110&gt;0.005,$C$12,IF(AV110&gt;0.005,$C$13,IF(BA110&gt;0.005,$C$14,""))))))))))</f>
        <v/>
      </c>
    </row>
    <row r="111" customFormat="false" ht="15" hidden="false" customHeight="false" outlineLevel="0" collapsed="false">
      <c r="A111" s="24" t="n">
        <v>88</v>
      </c>
      <c r="B111" s="54" t="n">
        <f aca="false">EDATE($C$17,A111-1)</f>
        <v>48976</v>
      </c>
      <c r="C111" s="55" t="n">
        <f aca="false">G111+L111+Q111+V111+AA111+AF111+AK111+AP111+AU111+AZ111</f>
        <v>0</v>
      </c>
      <c r="D111" s="55" t="n">
        <f aca="false">MAX(0,$C$16-C111)</f>
        <v>5822</v>
      </c>
      <c r="E111" s="55" t="n">
        <f aca="false">ROUND(MAX(0,E110+F110-I110),2)</f>
        <v>0</v>
      </c>
      <c r="F111" s="55" t="n">
        <f aca="false">ROUND(E111*$E$5/12,2)</f>
        <v>0</v>
      </c>
      <c r="G111" s="55" t="n">
        <f aca="false">MIN($F$5,E111+F111)</f>
        <v>0</v>
      </c>
      <c r="H111" s="55" t="n">
        <f aca="false">MAX(0,MIN(E111+F111-G111,$D111))</f>
        <v>0</v>
      </c>
      <c r="I111" s="55" t="n">
        <f aca="false">G111+H111</f>
        <v>0</v>
      </c>
      <c r="J111" s="55" t="n">
        <f aca="false">ROUND(MAX(0,J110+K110-N110),2)</f>
        <v>0</v>
      </c>
      <c r="K111" s="55" t="n">
        <f aca="false">ROUND(J111*$E$6/12,2)</f>
        <v>0</v>
      </c>
      <c r="L111" s="55" t="n">
        <f aca="false">MIN($F$6,J111+K111)</f>
        <v>0</v>
      </c>
      <c r="M111" s="55" t="n">
        <f aca="false">MAX(0,MIN(J111+K111-L111,$D111-(H111)))</f>
        <v>0</v>
      </c>
      <c r="N111" s="55" t="n">
        <f aca="false">L111+M111</f>
        <v>0</v>
      </c>
      <c r="O111" s="55" t="n">
        <f aca="false">ROUND(MAX(0,O110+P110-S110),2)</f>
        <v>0</v>
      </c>
      <c r="P111" s="55" t="n">
        <f aca="false">ROUND(O111*$E$7/12,2)</f>
        <v>0</v>
      </c>
      <c r="Q111" s="55" t="n">
        <f aca="false">MIN($F$7,O111+P111)</f>
        <v>0</v>
      </c>
      <c r="R111" s="55" t="n">
        <f aca="false">MAX(0,MIN(O111+P111-Q111,$D111-(H111+M111)))</f>
        <v>0</v>
      </c>
      <c r="S111" s="55" t="n">
        <f aca="false">Q111+R111</f>
        <v>0</v>
      </c>
      <c r="T111" s="55" t="n">
        <f aca="false">ROUND(MAX(0,T110+U110-X110),2)</f>
        <v>0</v>
      </c>
      <c r="U111" s="55" t="n">
        <f aca="false">ROUND(T111*$E$8/12,2)</f>
        <v>0</v>
      </c>
      <c r="V111" s="55" t="n">
        <f aca="false">MIN($F$8,T111+U111)</f>
        <v>0</v>
      </c>
      <c r="W111" s="55" t="n">
        <f aca="false">MAX(0,MIN(T111+U111-V111,$D111-(H111+M111+R111)))</f>
        <v>0</v>
      </c>
      <c r="X111" s="55" t="n">
        <f aca="false">V111+W111</f>
        <v>0</v>
      </c>
      <c r="Y111" s="55" t="n">
        <f aca="false">ROUND(MAX(0,Y110+Z110-AC110),2)</f>
        <v>0</v>
      </c>
      <c r="Z111" s="55" t="n">
        <f aca="false">ROUND(Y111*$E$9/12,2)</f>
        <v>0</v>
      </c>
      <c r="AA111" s="55" t="n">
        <f aca="false">MIN($F$9,Y111+Z111)</f>
        <v>0</v>
      </c>
      <c r="AB111" s="55" t="n">
        <f aca="false">MAX(0,MIN(Y111+Z111-AA111,$D111-(H111+M111+R111+W111)))</f>
        <v>0</v>
      </c>
      <c r="AC111" s="55" t="n">
        <f aca="false">AA111+AB111</f>
        <v>0</v>
      </c>
      <c r="AD111" s="55" t="n">
        <f aca="false">ROUND(MAX(0,AD110+AE110-AH110),2)</f>
        <v>0</v>
      </c>
      <c r="AE111" s="55" t="n">
        <f aca="false">ROUND(AD111*$E$10/12,2)</f>
        <v>0</v>
      </c>
      <c r="AF111" s="55" t="n">
        <f aca="false">MIN($F$10,AD111+AE111)</f>
        <v>0</v>
      </c>
      <c r="AG111" s="55" t="n">
        <f aca="false">MAX(0,MIN(AD111+AE111-AF111,$D111-(H111+M111+R111+W111+AB111)))</f>
        <v>0</v>
      </c>
      <c r="AH111" s="55" t="n">
        <f aca="false">AF111+AG111</f>
        <v>0</v>
      </c>
      <c r="AI111" s="55" t="n">
        <f aca="false">ROUND(MAX(0,AI110+AJ110-AM110),2)</f>
        <v>0</v>
      </c>
      <c r="AJ111" s="55" t="n">
        <f aca="false">ROUND(AI111*$E$11/12,2)</f>
        <v>0</v>
      </c>
      <c r="AK111" s="55" t="n">
        <f aca="false">MIN($F$11,AI111+AJ111)</f>
        <v>0</v>
      </c>
      <c r="AL111" s="55" t="n">
        <f aca="false">MAX(0,MIN(AI111+AJ111-AK111,$D111-(H111+M111+R111+W111+AB111+AG111)))</f>
        <v>0</v>
      </c>
      <c r="AM111" s="55" t="n">
        <f aca="false">AK111+AL111</f>
        <v>0</v>
      </c>
      <c r="AN111" s="55" t="n">
        <f aca="false">ROUND(MAX(0,AN110+AO110-AR110),2)</f>
        <v>0</v>
      </c>
      <c r="AO111" s="55" t="n">
        <f aca="false">ROUND(AN111*$E$12/12,2)</f>
        <v>0</v>
      </c>
      <c r="AP111" s="55" t="n">
        <f aca="false">MIN($F$12,AN111+AO111)</f>
        <v>0</v>
      </c>
      <c r="AQ111" s="55" t="n">
        <f aca="false">MAX(0,MIN(AN111+AO111-AP111,$D111-(H111+M111+R111+W111+AB111+AG111+AL111)))</f>
        <v>0</v>
      </c>
      <c r="AR111" s="55" t="n">
        <f aca="false">AP111+AQ111</f>
        <v>0</v>
      </c>
      <c r="AS111" s="55" t="n">
        <f aca="false">ROUND(MAX(0,AS110+AT110-AW110),2)</f>
        <v>0</v>
      </c>
      <c r="AT111" s="55" t="n">
        <f aca="false">ROUND(AS111*$E$13/12,2)</f>
        <v>0</v>
      </c>
      <c r="AU111" s="55" t="n">
        <f aca="false">MIN($F$13,AS111+AT111)</f>
        <v>0</v>
      </c>
      <c r="AV111" s="55" t="n">
        <f aca="false">MAX(0,MIN(AS111+AT111-AU111,$D111-(H111+M111+R111+W111+AB111+AG111+AL111+AQ111)))</f>
        <v>0</v>
      </c>
      <c r="AW111" s="55" t="n">
        <f aca="false">AU111+AV111</f>
        <v>0</v>
      </c>
      <c r="AX111" s="55" t="n">
        <f aca="false">ROUND(MAX(0,AX110+AY110-BB110),2)</f>
        <v>0</v>
      </c>
      <c r="AY111" s="55" t="n">
        <f aca="false">ROUND(AX111*$E$14/12,2)</f>
        <v>0</v>
      </c>
      <c r="AZ111" s="55" t="n">
        <f aca="false">MIN($F$14,AX111+AY111)</f>
        <v>0</v>
      </c>
      <c r="BA111" s="55" t="n">
        <f aca="false">MAX(0,MIN(AX111+AY111-AZ111,$D111-(H111+M111+R111+W111+AB111+AG111+AL111+AQ111+AV111)))</f>
        <v>0</v>
      </c>
      <c r="BB111" s="55" t="n">
        <f aca="false">AZ111+BA111</f>
        <v>0</v>
      </c>
      <c r="BC111" s="55" t="n">
        <f aca="false">I111+N111+S111+X111+AC111+AH111+AM111+AR111+AW111+BB111</f>
        <v>0</v>
      </c>
      <c r="BD111" s="55" t="n">
        <f aca="false">ROUND((E111+F111-I111)+(J111+K111-N111)+(O111+P111-S111)+(T111+U111-X111)+(Y111+Z111-AC111)+(AD111+AE111-AH111)+(AI111+AJ111-AM111)+(AN111+AO111-AR111)+(AS111+AT111-AW111)+(AX111+AY111-BB111),2)</f>
        <v>0</v>
      </c>
      <c r="BE111" s="25" t="str">
        <f aca="false">IF(H111&gt;0.005,$C$5,IF(M111&gt;0.005,$C$6,IF(R111&gt;0.005,$C$7,IF(W111&gt;0.005,$C$8,IF(AB111&gt;0.005,$C$9,IF(AG111&gt;0.005,$C$10,IF(AL111&gt;0.005,$C$11,IF(AQ111&gt;0.005,$C$12,IF(AV111&gt;0.005,$C$13,IF(BA111&gt;0.005,$C$14,""))))))))))</f>
        <v/>
      </c>
    </row>
    <row r="112" customFormat="false" ht="15" hidden="false" customHeight="false" outlineLevel="0" collapsed="false">
      <c r="A112" s="24" t="n">
        <v>89</v>
      </c>
      <c r="B112" s="54" t="n">
        <f aca="false">EDATE($C$17,A112-1)</f>
        <v>49004</v>
      </c>
      <c r="C112" s="55" t="n">
        <f aca="false">G112+L112+Q112+V112+AA112+AF112+AK112+AP112+AU112+AZ112</f>
        <v>0</v>
      </c>
      <c r="D112" s="55" t="n">
        <f aca="false">MAX(0,$C$16-C112)</f>
        <v>5822</v>
      </c>
      <c r="E112" s="55" t="n">
        <f aca="false">ROUND(MAX(0,E111+F111-I111),2)</f>
        <v>0</v>
      </c>
      <c r="F112" s="55" t="n">
        <f aca="false">ROUND(E112*$E$5/12,2)</f>
        <v>0</v>
      </c>
      <c r="G112" s="55" t="n">
        <f aca="false">MIN($F$5,E112+F112)</f>
        <v>0</v>
      </c>
      <c r="H112" s="55" t="n">
        <f aca="false">MAX(0,MIN(E112+F112-G112,$D112))</f>
        <v>0</v>
      </c>
      <c r="I112" s="55" t="n">
        <f aca="false">G112+H112</f>
        <v>0</v>
      </c>
      <c r="J112" s="55" t="n">
        <f aca="false">ROUND(MAX(0,J111+K111-N111),2)</f>
        <v>0</v>
      </c>
      <c r="K112" s="55" t="n">
        <f aca="false">ROUND(J112*$E$6/12,2)</f>
        <v>0</v>
      </c>
      <c r="L112" s="55" t="n">
        <f aca="false">MIN($F$6,J112+K112)</f>
        <v>0</v>
      </c>
      <c r="M112" s="55" t="n">
        <f aca="false">MAX(0,MIN(J112+K112-L112,$D112-(H112)))</f>
        <v>0</v>
      </c>
      <c r="N112" s="55" t="n">
        <f aca="false">L112+M112</f>
        <v>0</v>
      </c>
      <c r="O112" s="55" t="n">
        <f aca="false">ROUND(MAX(0,O111+P111-S111),2)</f>
        <v>0</v>
      </c>
      <c r="P112" s="55" t="n">
        <f aca="false">ROUND(O112*$E$7/12,2)</f>
        <v>0</v>
      </c>
      <c r="Q112" s="55" t="n">
        <f aca="false">MIN($F$7,O112+P112)</f>
        <v>0</v>
      </c>
      <c r="R112" s="55" t="n">
        <f aca="false">MAX(0,MIN(O112+P112-Q112,$D112-(H112+M112)))</f>
        <v>0</v>
      </c>
      <c r="S112" s="55" t="n">
        <f aca="false">Q112+R112</f>
        <v>0</v>
      </c>
      <c r="T112" s="55" t="n">
        <f aca="false">ROUND(MAX(0,T111+U111-X111),2)</f>
        <v>0</v>
      </c>
      <c r="U112" s="55" t="n">
        <f aca="false">ROUND(T112*$E$8/12,2)</f>
        <v>0</v>
      </c>
      <c r="V112" s="55" t="n">
        <f aca="false">MIN($F$8,T112+U112)</f>
        <v>0</v>
      </c>
      <c r="W112" s="55" t="n">
        <f aca="false">MAX(0,MIN(T112+U112-V112,$D112-(H112+M112+R112)))</f>
        <v>0</v>
      </c>
      <c r="X112" s="55" t="n">
        <f aca="false">V112+W112</f>
        <v>0</v>
      </c>
      <c r="Y112" s="55" t="n">
        <f aca="false">ROUND(MAX(0,Y111+Z111-AC111),2)</f>
        <v>0</v>
      </c>
      <c r="Z112" s="55" t="n">
        <f aca="false">ROUND(Y112*$E$9/12,2)</f>
        <v>0</v>
      </c>
      <c r="AA112" s="55" t="n">
        <f aca="false">MIN($F$9,Y112+Z112)</f>
        <v>0</v>
      </c>
      <c r="AB112" s="55" t="n">
        <f aca="false">MAX(0,MIN(Y112+Z112-AA112,$D112-(H112+M112+R112+W112)))</f>
        <v>0</v>
      </c>
      <c r="AC112" s="55" t="n">
        <f aca="false">AA112+AB112</f>
        <v>0</v>
      </c>
      <c r="AD112" s="55" t="n">
        <f aca="false">ROUND(MAX(0,AD111+AE111-AH111),2)</f>
        <v>0</v>
      </c>
      <c r="AE112" s="55" t="n">
        <f aca="false">ROUND(AD112*$E$10/12,2)</f>
        <v>0</v>
      </c>
      <c r="AF112" s="55" t="n">
        <f aca="false">MIN($F$10,AD112+AE112)</f>
        <v>0</v>
      </c>
      <c r="AG112" s="55" t="n">
        <f aca="false">MAX(0,MIN(AD112+AE112-AF112,$D112-(H112+M112+R112+W112+AB112)))</f>
        <v>0</v>
      </c>
      <c r="AH112" s="55" t="n">
        <f aca="false">AF112+AG112</f>
        <v>0</v>
      </c>
      <c r="AI112" s="55" t="n">
        <f aca="false">ROUND(MAX(0,AI111+AJ111-AM111),2)</f>
        <v>0</v>
      </c>
      <c r="AJ112" s="55" t="n">
        <f aca="false">ROUND(AI112*$E$11/12,2)</f>
        <v>0</v>
      </c>
      <c r="AK112" s="55" t="n">
        <f aca="false">MIN($F$11,AI112+AJ112)</f>
        <v>0</v>
      </c>
      <c r="AL112" s="55" t="n">
        <f aca="false">MAX(0,MIN(AI112+AJ112-AK112,$D112-(H112+M112+R112+W112+AB112+AG112)))</f>
        <v>0</v>
      </c>
      <c r="AM112" s="55" t="n">
        <f aca="false">AK112+AL112</f>
        <v>0</v>
      </c>
      <c r="AN112" s="55" t="n">
        <f aca="false">ROUND(MAX(0,AN111+AO111-AR111),2)</f>
        <v>0</v>
      </c>
      <c r="AO112" s="55" t="n">
        <f aca="false">ROUND(AN112*$E$12/12,2)</f>
        <v>0</v>
      </c>
      <c r="AP112" s="55" t="n">
        <f aca="false">MIN($F$12,AN112+AO112)</f>
        <v>0</v>
      </c>
      <c r="AQ112" s="55" t="n">
        <f aca="false">MAX(0,MIN(AN112+AO112-AP112,$D112-(H112+M112+R112+W112+AB112+AG112+AL112)))</f>
        <v>0</v>
      </c>
      <c r="AR112" s="55" t="n">
        <f aca="false">AP112+AQ112</f>
        <v>0</v>
      </c>
      <c r="AS112" s="55" t="n">
        <f aca="false">ROUND(MAX(0,AS111+AT111-AW111),2)</f>
        <v>0</v>
      </c>
      <c r="AT112" s="55" t="n">
        <f aca="false">ROUND(AS112*$E$13/12,2)</f>
        <v>0</v>
      </c>
      <c r="AU112" s="55" t="n">
        <f aca="false">MIN($F$13,AS112+AT112)</f>
        <v>0</v>
      </c>
      <c r="AV112" s="55" t="n">
        <f aca="false">MAX(0,MIN(AS112+AT112-AU112,$D112-(H112+M112+R112+W112+AB112+AG112+AL112+AQ112)))</f>
        <v>0</v>
      </c>
      <c r="AW112" s="55" t="n">
        <f aca="false">AU112+AV112</f>
        <v>0</v>
      </c>
      <c r="AX112" s="55" t="n">
        <f aca="false">ROUND(MAX(0,AX111+AY111-BB111),2)</f>
        <v>0</v>
      </c>
      <c r="AY112" s="55" t="n">
        <f aca="false">ROUND(AX112*$E$14/12,2)</f>
        <v>0</v>
      </c>
      <c r="AZ112" s="55" t="n">
        <f aca="false">MIN($F$14,AX112+AY112)</f>
        <v>0</v>
      </c>
      <c r="BA112" s="55" t="n">
        <f aca="false">MAX(0,MIN(AX112+AY112-AZ112,$D112-(H112+M112+R112+W112+AB112+AG112+AL112+AQ112+AV112)))</f>
        <v>0</v>
      </c>
      <c r="BB112" s="55" t="n">
        <f aca="false">AZ112+BA112</f>
        <v>0</v>
      </c>
      <c r="BC112" s="55" t="n">
        <f aca="false">I112+N112+S112+X112+AC112+AH112+AM112+AR112+AW112+BB112</f>
        <v>0</v>
      </c>
      <c r="BD112" s="55" t="n">
        <f aca="false">ROUND((E112+F112-I112)+(J112+K112-N112)+(O112+P112-S112)+(T112+U112-X112)+(Y112+Z112-AC112)+(AD112+AE112-AH112)+(AI112+AJ112-AM112)+(AN112+AO112-AR112)+(AS112+AT112-AW112)+(AX112+AY112-BB112),2)</f>
        <v>0</v>
      </c>
      <c r="BE112" s="25" t="str">
        <f aca="false">IF(H112&gt;0.005,$C$5,IF(M112&gt;0.005,$C$6,IF(R112&gt;0.005,$C$7,IF(W112&gt;0.005,$C$8,IF(AB112&gt;0.005,$C$9,IF(AG112&gt;0.005,$C$10,IF(AL112&gt;0.005,$C$11,IF(AQ112&gt;0.005,$C$12,IF(AV112&gt;0.005,$C$13,IF(BA112&gt;0.005,$C$14,""))))))))))</f>
        <v/>
      </c>
    </row>
    <row r="113" customFormat="false" ht="15" hidden="false" customHeight="false" outlineLevel="0" collapsed="false">
      <c r="A113" s="24" t="n">
        <v>90</v>
      </c>
      <c r="B113" s="54" t="n">
        <f aca="false">EDATE($C$17,A113-1)</f>
        <v>49035</v>
      </c>
      <c r="C113" s="55" t="n">
        <f aca="false">G113+L113+Q113+V113+AA113+AF113+AK113+AP113+AU113+AZ113</f>
        <v>0</v>
      </c>
      <c r="D113" s="55" t="n">
        <f aca="false">MAX(0,$C$16-C113)</f>
        <v>5822</v>
      </c>
      <c r="E113" s="55" t="n">
        <f aca="false">ROUND(MAX(0,E112+F112-I112),2)</f>
        <v>0</v>
      </c>
      <c r="F113" s="55" t="n">
        <f aca="false">ROUND(E113*$E$5/12,2)</f>
        <v>0</v>
      </c>
      <c r="G113" s="55" t="n">
        <f aca="false">MIN($F$5,E113+F113)</f>
        <v>0</v>
      </c>
      <c r="H113" s="55" t="n">
        <f aca="false">MAX(0,MIN(E113+F113-G113,$D113))</f>
        <v>0</v>
      </c>
      <c r="I113" s="55" t="n">
        <f aca="false">G113+H113</f>
        <v>0</v>
      </c>
      <c r="J113" s="55" t="n">
        <f aca="false">ROUND(MAX(0,J112+K112-N112),2)</f>
        <v>0</v>
      </c>
      <c r="K113" s="55" t="n">
        <f aca="false">ROUND(J113*$E$6/12,2)</f>
        <v>0</v>
      </c>
      <c r="L113" s="55" t="n">
        <f aca="false">MIN($F$6,J113+K113)</f>
        <v>0</v>
      </c>
      <c r="M113" s="55" t="n">
        <f aca="false">MAX(0,MIN(J113+K113-L113,$D113-(H113)))</f>
        <v>0</v>
      </c>
      <c r="N113" s="55" t="n">
        <f aca="false">L113+M113</f>
        <v>0</v>
      </c>
      <c r="O113" s="55" t="n">
        <f aca="false">ROUND(MAX(0,O112+P112-S112),2)</f>
        <v>0</v>
      </c>
      <c r="P113" s="55" t="n">
        <f aca="false">ROUND(O113*$E$7/12,2)</f>
        <v>0</v>
      </c>
      <c r="Q113" s="55" t="n">
        <f aca="false">MIN($F$7,O113+P113)</f>
        <v>0</v>
      </c>
      <c r="R113" s="55" t="n">
        <f aca="false">MAX(0,MIN(O113+P113-Q113,$D113-(H113+M113)))</f>
        <v>0</v>
      </c>
      <c r="S113" s="55" t="n">
        <f aca="false">Q113+R113</f>
        <v>0</v>
      </c>
      <c r="T113" s="55" t="n">
        <f aca="false">ROUND(MAX(0,T112+U112-X112),2)</f>
        <v>0</v>
      </c>
      <c r="U113" s="55" t="n">
        <f aca="false">ROUND(T113*$E$8/12,2)</f>
        <v>0</v>
      </c>
      <c r="V113" s="55" t="n">
        <f aca="false">MIN($F$8,T113+U113)</f>
        <v>0</v>
      </c>
      <c r="W113" s="55" t="n">
        <f aca="false">MAX(0,MIN(T113+U113-V113,$D113-(H113+M113+R113)))</f>
        <v>0</v>
      </c>
      <c r="X113" s="55" t="n">
        <f aca="false">V113+W113</f>
        <v>0</v>
      </c>
      <c r="Y113" s="55" t="n">
        <f aca="false">ROUND(MAX(0,Y112+Z112-AC112),2)</f>
        <v>0</v>
      </c>
      <c r="Z113" s="55" t="n">
        <f aca="false">ROUND(Y113*$E$9/12,2)</f>
        <v>0</v>
      </c>
      <c r="AA113" s="55" t="n">
        <f aca="false">MIN($F$9,Y113+Z113)</f>
        <v>0</v>
      </c>
      <c r="AB113" s="55" t="n">
        <f aca="false">MAX(0,MIN(Y113+Z113-AA113,$D113-(H113+M113+R113+W113)))</f>
        <v>0</v>
      </c>
      <c r="AC113" s="55" t="n">
        <f aca="false">AA113+AB113</f>
        <v>0</v>
      </c>
      <c r="AD113" s="55" t="n">
        <f aca="false">ROUND(MAX(0,AD112+AE112-AH112),2)</f>
        <v>0</v>
      </c>
      <c r="AE113" s="55" t="n">
        <f aca="false">ROUND(AD113*$E$10/12,2)</f>
        <v>0</v>
      </c>
      <c r="AF113" s="55" t="n">
        <f aca="false">MIN($F$10,AD113+AE113)</f>
        <v>0</v>
      </c>
      <c r="AG113" s="55" t="n">
        <f aca="false">MAX(0,MIN(AD113+AE113-AF113,$D113-(H113+M113+R113+W113+AB113)))</f>
        <v>0</v>
      </c>
      <c r="AH113" s="55" t="n">
        <f aca="false">AF113+AG113</f>
        <v>0</v>
      </c>
      <c r="AI113" s="55" t="n">
        <f aca="false">ROUND(MAX(0,AI112+AJ112-AM112),2)</f>
        <v>0</v>
      </c>
      <c r="AJ113" s="55" t="n">
        <f aca="false">ROUND(AI113*$E$11/12,2)</f>
        <v>0</v>
      </c>
      <c r="AK113" s="55" t="n">
        <f aca="false">MIN($F$11,AI113+AJ113)</f>
        <v>0</v>
      </c>
      <c r="AL113" s="55" t="n">
        <f aca="false">MAX(0,MIN(AI113+AJ113-AK113,$D113-(H113+M113+R113+W113+AB113+AG113)))</f>
        <v>0</v>
      </c>
      <c r="AM113" s="55" t="n">
        <f aca="false">AK113+AL113</f>
        <v>0</v>
      </c>
      <c r="AN113" s="55" t="n">
        <f aca="false">ROUND(MAX(0,AN112+AO112-AR112),2)</f>
        <v>0</v>
      </c>
      <c r="AO113" s="55" t="n">
        <f aca="false">ROUND(AN113*$E$12/12,2)</f>
        <v>0</v>
      </c>
      <c r="AP113" s="55" t="n">
        <f aca="false">MIN($F$12,AN113+AO113)</f>
        <v>0</v>
      </c>
      <c r="AQ113" s="55" t="n">
        <f aca="false">MAX(0,MIN(AN113+AO113-AP113,$D113-(H113+M113+R113+W113+AB113+AG113+AL113)))</f>
        <v>0</v>
      </c>
      <c r="AR113" s="55" t="n">
        <f aca="false">AP113+AQ113</f>
        <v>0</v>
      </c>
      <c r="AS113" s="55" t="n">
        <f aca="false">ROUND(MAX(0,AS112+AT112-AW112),2)</f>
        <v>0</v>
      </c>
      <c r="AT113" s="55" t="n">
        <f aca="false">ROUND(AS113*$E$13/12,2)</f>
        <v>0</v>
      </c>
      <c r="AU113" s="55" t="n">
        <f aca="false">MIN($F$13,AS113+AT113)</f>
        <v>0</v>
      </c>
      <c r="AV113" s="55" t="n">
        <f aca="false">MAX(0,MIN(AS113+AT113-AU113,$D113-(H113+M113+R113+W113+AB113+AG113+AL113+AQ113)))</f>
        <v>0</v>
      </c>
      <c r="AW113" s="55" t="n">
        <f aca="false">AU113+AV113</f>
        <v>0</v>
      </c>
      <c r="AX113" s="55" t="n">
        <f aca="false">ROUND(MAX(0,AX112+AY112-BB112),2)</f>
        <v>0</v>
      </c>
      <c r="AY113" s="55" t="n">
        <f aca="false">ROUND(AX113*$E$14/12,2)</f>
        <v>0</v>
      </c>
      <c r="AZ113" s="55" t="n">
        <f aca="false">MIN($F$14,AX113+AY113)</f>
        <v>0</v>
      </c>
      <c r="BA113" s="55" t="n">
        <f aca="false">MAX(0,MIN(AX113+AY113-AZ113,$D113-(H113+M113+R113+W113+AB113+AG113+AL113+AQ113+AV113)))</f>
        <v>0</v>
      </c>
      <c r="BB113" s="55" t="n">
        <f aca="false">AZ113+BA113</f>
        <v>0</v>
      </c>
      <c r="BC113" s="55" t="n">
        <f aca="false">I113+N113+S113+X113+AC113+AH113+AM113+AR113+AW113+BB113</f>
        <v>0</v>
      </c>
      <c r="BD113" s="55" t="n">
        <f aca="false">ROUND((E113+F113-I113)+(J113+K113-N113)+(O113+P113-S113)+(T113+U113-X113)+(Y113+Z113-AC113)+(AD113+AE113-AH113)+(AI113+AJ113-AM113)+(AN113+AO113-AR113)+(AS113+AT113-AW113)+(AX113+AY113-BB113),2)</f>
        <v>0</v>
      </c>
      <c r="BE113" s="25" t="str">
        <f aca="false">IF(H113&gt;0.005,$C$5,IF(M113&gt;0.005,$C$6,IF(R113&gt;0.005,$C$7,IF(W113&gt;0.005,$C$8,IF(AB113&gt;0.005,$C$9,IF(AG113&gt;0.005,$C$10,IF(AL113&gt;0.005,$C$11,IF(AQ113&gt;0.005,$C$12,IF(AV113&gt;0.005,$C$13,IF(BA113&gt;0.005,$C$14,""))))))))))</f>
        <v/>
      </c>
    </row>
    <row r="114" customFormat="false" ht="15" hidden="false" customHeight="false" outlineLevel="0" collapsed="false">
      <c r="A114" s="24" t="n">
        <v>91</v>
      </c>
      <c r="B114" s="54" t="n">
        <f aca="false">EDATE($C$17,A114-1)</f>
        <v>49065</v>
      </c>
      <c r="C114" s="55" t="n">
        <f aca="false">G114+L114+Q114+V114+AA114+AF114+AK114+AP114+AU114+AZ114</f>
        <v>0</v>
      </c>
      <c r="D114" s="55" t="n">
        <f aca="false">MAX(0,$C$16-C114)</f>
        <v>5822</v>
      </c>
      <c r="E114" s="55" t="n">
        <f aca="false">ROUND(MAX(0,E113+F113-I113),2)</f>
        <v>0</v>
      </c>
      <c r="F114" s="55" t="n">
        <f aca="false">ROUND(E114*$E$5/12,2)</f>
        <v>0</v>
      </c>
      <c r="G114" s="55" t="n">
        <f aca="false">MIN($F$5,E114+F114)</f>
        <v>0</v>
      </c>
      <c r="H114" s="55" t="n">
        <f aca="false">MAX(0,MIN(E114+F114-G114,$D114))</f>
        <v>0</v>
      </c>
      <c r="I114" s="55" t="n">
        <f aca="false">G114+H114</f>
        <v>0</v>
      </c>
      <c r="J114" s="55" t="n">
        <f aca="false">ROUND(MAX(0,J113+K113-N113),2)</f>
        <v>0</v>
      </c>
      <c r="K114" s="55" t="n">
        <f aca="false">ROUND(J114*$E$6/12,2)</f>
        <v>0</v>
      </c>
      <c r="L114" s="55" t="n">
        <f aca="false">MIN($F$6,J114+K114)</f>
        <v>0</v>
      </c>
      <c r="M114" s="55" t="n">
        <f aca="false">MAX(0,MIN(J114+K114-L114,$D114-(H114)))</f>
        <v>0</v>
      </c>
      <c r="N114" s="55" t="n">
        <f aca="false">L114+M114</f>
        <v>0</v>
      </c>
      <c r="O114" s="55" t="n">
        <f aca="false">ROUND(MAX(0,O113+P113-S113),2)</f>
        <v>0</v>
      </c>
      <c r="P114" s="55" t="n">
        <f aca="false">ROUND(O114*$E$7/12,2)</f>
        <v>0</v>
      </c>
      <c r="Q114" s="55" t="n">
        <f aca="false">MIN($F$7,O114+P114)</f>
        <v>0</v>
      </c>
      <c r="R114" s="55" t="n">
        <f aca="false">MAX(0,MIN(O114+P114-Q114,$D114-(H114+M114)))</f>
        <v>0</v>
      </c>
      <c r="S114" s="55" t="n">
        <f aca="false">Q114+R114</f>
        <v>0</v>
      </c>
      <c r="T114" s="55" t="n">
        <f aca="false">ROUND(MAX(0,T113+U113-X113),2)</f>
        <v>0</v>
      </c>
      <c r="U114" s="55" t="n">
        <f aca="false">ROUND(T114*$E$8/12,2)</f>
        <v>0</v>
      </c>
      <c r="V114" s="55" t="n">
        <f aca="false">MIN($F$8,T114+U114)</f>
        <v>0</v>
      </c>
      <c r="W114" s="55" t="n">
        <f aca="false">MAX(0,MIN(T114+U114-V114,$D114-(H114+M114+R114)))</f>
        <v>0</v>
      </c>
      <c r="X114" s="55" t="n">
        <f aca="false">V114+W114</f>
        <v>0</v>
      </c>
      <c r="Y114" s="55" t="n">
        <f aca="false">ROUND(MAX(0,Y113+Z113-AC113),2)</f>
        <v>0</v>
      </c>
      <c r="Z114" s="55" t="n">
        <f aca="false">ROUND(Y114*$E$9/12,2)</f>
        <v>0</v>
      </c>
      <c r="AA114" s="55" t="n">
        <f aca="false">MIN($F$9,Y114+Z114)</f>
        <v>0</v>
      </c>
      <c r="AB114" s="55" t="n">
        <f aca="false">MAX(0,MIN(Y114+Z114-AA114,$D114-(H114+M114+R114+W114)))</f>
        <v>0</v>
      </c>
      <c r="AC114" s="55" t="n">
        <f aca="false">AA114+AB114</f>
        <v>0</v>
      </c>
      <c r="AD114" s="55" t="n">
        <f aca="false">ROUND(MAX(0,AD113+AE113-AH113),2)</f>
        <v>0</v>
      </c>
      <c r="AE114" s="55" t="n">
        <f aca="false">ROUND(AD114*$E$10/12,2)</f>
        <v>0</v>
      </c>
      <c r="AF114" s="55" t="n">
        <f aca="false">MIN($F$10,AD114+AE114)</f>
        <v>0</v>
      </c>
      <c r="AG114" s="55" t="n">
        <f aca="false">MAX(0,MIN(AD114+AE114-AF114,$D114-(H114+M114+R114+W114+AB114)))</f>
        <v>0</v>
      </c>
      <c r="AH114" s="55" t="n">
        <f aca="false">AF114+AG114</f>
        <v>0</v>
      </c>
      <c r="AI114" s="55" t="n">
        <f aca="false">ROUND(MAX(0,AI113+AJ113-AM113),2)</f>
        <v>0</v>
      </c>
      <c r="AJ114" s="55" t="n">
        <f aca="false">ROUND(AI114*$E$11/12,2)</f>
        <v>0</v>
      </c>
      <c r="AK114" s="55" t="n">
        <f aca="false">MIN($F$11,AI114+AJ114)</f>
        <v>0</v>
      </c>
      <c r="AL114" s="55" t="n">
        <f aca="false">MAX(0,MIN(AI114+AJ114-AK114,$D114-(H114+M114+R114+W114+AB114+AG114)))</f>
        <v>0</v>
      </c>
      <c r="AM114" s="55" t="n">
        <f aca="false">AK114+AL114</f>
        <v>0</v>
      </c>
      <c r="AN114" s="55" t="n">
        <f aca="false">ROUND(MAX(0,AN113+AO113-AR113),2)</f>
        <v>0</v>
      </c>
      <c r="AO114" s="55" t="n">
        <f aca="false">ROUND(AN114*$E$12/12,2)</f>
        <v>0</v>
      </c>
      <c r="AP114" s="55" t="n">
        <f aca="false">MIN($F$12,AN114+AO114)</f>
        <v>0</v>
      </c>
      <c r="AQ114" s="55" t="n">
        <f aca="false">MAX(0,MIN(AN114+AO114-AP114,$D114-(H114+M114+R114+W114+AB114+AG114+AL114)))</f>
        <v>0</v>
      </c>
      <c r="AR114" s="55" t="n">
        <f aca="false">AP114+AQ114</f>
        <v>0</v>
      </c>
      <c r="AS114" s="55" t="n">
        <f aca="false">ROUND(MAX(0,AS113+AT113-AW113),2)</f>
        <v>0</v>
      </c>
      <c r="AT114" s="55" t="n">
        <f aca="false">ROUND(AS114*$E$13/12,2)</f>
        <v>0</v>
      </c>
      <c r="AU114" s="55" t="n">
        <f aca="false">MIN($F$13,AS114+AT114)</f>
        <v>0</v>
      </c>
      <c r="AV114" s="55" t="n">
        <f aca="false">MAX(0,MIN(AS114+AT114-AU114,$D114-(H114+M114+R114+W114+AB114+AG114+AL114+AQ114)))</f>
        <v>0</v>
      </c>
      <c r="AW114" s="55" t="n">
        <f aca="false">AU114+AV114</f>
        <v>0</v>
      </c>
      <c r="AX114" s="55" t="n">
        <f aca="false">ROUND(MAX(0,AX113+AY113-BB113),2)</f>
        <v>0</v>
      </c>
      <c r="AY114" s="55" t="n">
        <f aca="false">ROUND(AX114*$E$14/12,2)</f>
        <v>0</v>
      </c>
      <c r="AZ114" s="55" t="n">
        <f aca="false">MIN($F$14,AX114+AY114)</f>
        <v>0</v>
      </c>
      <c r="BA114" s="55" t="n">
        <f aca="false">MAX(0,MIN(AX114+AY114-AZ114,$D114-(H114+M114+R114+W114+AB114+AG114+AL114+AQ114+AV114)))</f>
        <v>0</v>
      </c>
      <c r="BB114" s="55" t="n">
        <f aca="false">AZ114+BA114</f>
        <v>0</v>
      </c>
      <c r="BC114" s="55" t="n">
        <f aca="false">I114+N114+S114+X114+AC114+AH114+AM114+AR114+AW114+BB114</f>
        <v>0</v>
      </c>
      <c r="BD114" s="55" t="n">
        <f aca="false">ROUND((E114+F114-I114)+(J114+K114-N114)+(O114+P114-S114)+(T114+U114-X114)+(Y114+Z114-AC114)+(AD114+AE114-AH114)+(AI114+AJ114-AM114)+(AN114+AO114-AR114)+(AS114+AT114-AW114)+(AX114+AY114-BB114),2)</f>
        <v>0</v>
      </c>
      <c r="BE114" s="25" t="str">
        <f aca="false">IF(H114&gt;0.005,$C$5,IF(M114&gt;0.005,$C$6,IF(R114&gt;0.005,$C$7,IF(W114&gt;0.005,$C$8,IF(AB114&gt;0.005,$C$9,IF(AG114&gt;0.005,$C$10,IF(AL114&gt;0.005,$C$11,IF(AQ114&gt;0.005,$C$12,IF(AV114&gt;0.005,$C$13,IF(BA114&gt;0.005,$C$14,""))))))))))</f>
        <v/>
      </c>
    </row>
    <row r="115" customFormat="false" ht="15" hidden="false" customHeight="false" outlineLevel="0" collapsed="false">
      <c r="A115" s="24" t="n">
        <v>92</v>
      </c>
      <c r="B115" s="54" t="n">
        <f aca="false">EDATE($C$17,A115-1)</f>
        <v>49096</v>
      </c>
      <c r="C115" s="55" t="n">
        <f aca="false">G115+L115+Q115+V115+AA115+AF115+AK115+AP115+AU115+AZ115</f>
        <v>0</v>
      </c>
      <c r="D115" s="55" t="n">
        <f aca="false">MAX(0,$C$16-C115)</f>
        <v>5822</v>
      </c>
      <c r="E115" s="55" t="n">
        <f aca="false">ROUND(MAX(0,E114+F114-I114),2)</f>
        <v>0</v>
      </c>
      <c r="F115" s="55" t="n">
        <f aca="false">ROUND(E115*$E$5/12,2)</f>
        <v>0</v>
      </c>
      <c r="G115" s="55" t="n">
        <f aca="false">MIN($F$5,E115+F115)</f>
        <v>0</v>
      </c>
      <c r="H115" s="55" t="n">
        <f aca="false">MAX(0,MIN(E115+F115-G115,$D115))</f>
        <v>0</v>
      </c>
      <c r="I115" s="55" t="n">
        <f aca="false">G115+H115</f>
        <v>0</v>
      </c>
      <c r="J115" s="55" t="n">
        <f aca="false">ROUND(MAX(0,J114+K114-N114),2)</f>
        <v>0</v>
      </c>
      <c r="K115" s="55" t="n">
        <f aca="false">ROUND(J115*$E$6/12,2)</f>
        <v>0</v>
      </c>
      <c r="L115" s="55" t="n">
        <f aca="false">MIN($F$6,J115+K115)</f>
        <v>0</v>
      </c>
      <c r="M115" s="55" t="n">
        <f aca="false">MAX(0,MIN(J115+K115-L115,$D115-(H115)))</f>
        <v>0</v>
      </c>
      <c r="N115" s="55" t="n">
        <f aca="false">L115+M115</f>
        <v>0</v>
      </c>
      <c r="O115" s="55" t="n">
        <f aca="false">ROUND(MAX(0,O114+P114-S114),2)</f>
        <v>0</v>
      </c>
      <c r="P115" s="55" t="n">
        <f aca="false">ROUND(O115*$E$7/12,2)</f>
        <v>0</v>
      </c>
      <c r="Q115" s="55" t="n">
        <f aca="false">MIN($F$7,O115+P115)</f>
        <v>0</v>
      </c>
      <c r="R115" s="55" t="n">
        <f aca="false">MAX(0,MIN(O115+P115-Q115,$D115-(H115+M115)))</f>
        <v>0</v>
      </c>
      <c r="S115" s="55" t="n">
        <f aca="false">Q115+R115</f>
        <v>0</v>
      </c>
      <c r="T115" s="55" t="n">
        <f aca="false">ROUND(MAX(0,T114+U114-X114),2)</f>
        <v>0</v>
      </c>
      <c r="U115" s="55" t="n">
        <f aca="false">ROUND(T115*$E$8/12,2)</f>
        <v>0</v>
      </c>
      <c r="V115" s="55" t="n">
        <f aca="false">MIN($F$8,T115+U115)</f>
        <v>0</v>
      </c>
      <c r="W115" s="55" t="n">
        <f aca="false">MAX(0,MIN(T115+U115-V115,$D115-(H115+M115+R115)))</f>
        <v>0</v>
      </c>
      <c r="X115" s="55" t="n">
        <f aca="false">V115+W115</f>
        <v>0</v>
      </c>
      <c r="Y115" s="55" t="n">
        <f aca="false">ROUND(MAX(0,Y114+Z114-AC114),2)</f>
        <v>0</v>
      </c>
      <c r="Z115" s="55" t="n">
        <f aca="false">ROUND(Y115*$E$9/12,2)</f>
        <v>0</v>
      </c>
      <c r="AA115" s="55" t="n">
        <f aca="false">MIN($F$9,Y115+Z115)</f>
        <v>0</v>
      </c>
      <c r="AB115" s="55" t="n">
        <f aca="false">MAX(0,MIN(Y115+Z115-AA115,$D115-(H115+M115+R115+W115)))</f>
        <v>0</v>
      </c>
      <c r="AC115" s="55" t="n">
        <f aca="false">AA115+AB115</f>
        <v>0</v>
      </c>
      <c r="AD115" s="55" t="n">
        <f aca="false">ROUND(MAX(0,AD114+AE114-AH114),2)</f>
        <v>0</v>
      </c>
      <c r="AE115" s="55" t="n">
        <f aca="false">ROUND(AD115*$E$10/12,2)</f>
        <v>0</v>
      </c>
      <c r="AF115" s="55" t="n">
        <f aca="false">MIN($F$10,AD115+AE115)</f>
        <v>0</v>
      </c>
      <c r="AG115" s="55" t="n">
        <f aca="false">MAX(0,MIN(AD115+AE115-AF115,$D115-(H115+M115+R115+W115+AB115)))</f>
        <v>0</v>
      </c>
      <c r="AH115" s="55" t="n">
        <f aca="false">AF115+AG115</f>
        <v>0</v>
      </c>
      <c r="AI115" s="55" t="n">
        <f aca="false">ROUND(MAX(0,AI114+AJ114-AM114),2)</f>
        <v>0</v>
      </c>
      <c r="AJ115" s="55" t="n">
        <f aca="false">ROUND(AI115*$E$11/12,2)</f>
        <v>0</v>
      </c>
      <c r="AK115" s="55" t="n">
        <f aca="false">MIN($F$11,AI115+AJ115)</f>
        <v>0</v>
      </c>
      <c r="AL115" s="55" t="n">
        <f aca="false">MAX(0,MIN(AI115+AJ115-AK115,$D115-(H115+M115+R115+W115+AB115+AG115)))</f>
        <v>0</v>
      </c>
      <c r="AM115" s="55" t="n">
        <f aca="false">AK115+AL115</f>
        <v>0</v>
      </c>
      <c r="AN115" s="55" t="n">
        <f aca="false">ROUND(MAX(0,AN114+AO114-AR114),2)</f>
        <v>0</v>
      </c>
      <c r="AO115" s="55" t="n">
        <f aca="false">ROUND(AN115*$E$12/12,2)</f>
        <v>0</v>
      </c>
      <c r="AP115" s="55" t="n">
        <f aca="false">MIN($F$12,AN115+AO115)</f>
        <v>0</v>
      </c>
      <c r="AQ115" s="55" t="n">
        <f aca="false">MAX(0,MIN(AN115+AO115-AP115,$D115-(H115+M115+R115+W115+AB115+AG115+AL115)))</f>
        <v>0</v>
      </c>
      <c r="AR115" s="55" t="n">
        <f aca="false">AP115+AQ115</f>
        <v>0</v>
      </c>
      <c r="AS115" s="55" t="n">
        <f aca="false">ROUND(MAX(0,AS114+AT114-AW114),2)</f>
        <v>0</v>
      </c>
      <c r="AT115" s="55" t="n">
        <f aca="false">ROUND(AS115*$E$13/12,2)</f>
        <v>0</v>
      </c>
      <c r="AU115" s="55" t="n">
        <f aca="false">MIN($F$13,AS115+AT115)</f>
        <v>0</v>
      </c>
      <c r="AV115" s="55" t="n">
        <f aca="false">MAX(0,MIN(AS115+AT115-AU115,$D115-(H115+M115+R115+W115+AB115+AG115+AL115+AQ115)))</f>
        <v>0</v>
      </c>
      <c r="AW115" s="55" t="n">
        <f aca="false">AU115+AV115</f>
        <v>0</v>
      </c>
      <c r="AX115" s="55" t="n">
        <f aca="false">ROUND(MAX(0,AX114+AY114-BB114),2)</f>
        <v>0</v>
      </c>
      <c r="AY115" s="55" t="n">
        <f aca="false">ROUND(AX115*$E$14/12,2)</f>
        <v>0</v>
      </c>
      <c r="AZ115" s="55" t="n">
        <f aca="false">MIN($F$14,AX115+AY115)</f>
        <v>0</v>
      </c>
      <c r="BA115" s="55" t="n">
        <f aca="false">MAX(0,MIN(AX115+AY115-AZ115,$D115-(H115+M115+R115+W115+AB115+AG115+AL115+AQ115+AV115)))</f>
        <v>0</v>
      </c>
      <c r="BB115" s="55" t="n">
        <f aca="false">AZ115+BA115</f>
        <v>0</v>
      </c>
      <c r="BC115" s="55" t="n">
        <f aca="false">I115+N115+S115+X115+AC115+AH115+AM115+AR115+AW115+BB115</f>
        <v>0</v>
      </c>
      <c r="BD115" s="55" t="n">
        <f aca="false">ROUND((E115+F115-I115)+(J115+K115-N115)+(O115+P115-S115)+(T115+U115-X115)+(Y115+Z115-AC115)+(AD115+AE115-AH115)+(AI115+AJ115-AM115)+(AN115+AO115-AR115)+(AS115+AT115-AW115)+(AX115+AY115-BB115),2)</f>
        <v>0</v>
      </c>
      <c r="BE115" s="25" t="str">
        <f aca="false">IF(H115&gt;0.005,$C$5,IF(M115&gt;0.005,$C$6,IF(R115&gt;0.005,$C$7,IF(W115&gt;0.005,$C$8,IF(AB115&gt;0.005,$C$9,IF(AG115&gt;0.005,$C$10,IF(AL115&gt;0.005,$C$11,IF(AQ115&gt;0.005,$C$12,IF(AV115&gt;0.005,$C$13,IF(BA115&gt;0.005,$C$14,""))))))))))</f>
        <v/>
      </c>
    </row>
    <row r="116" customFormat="false" ht="15" hidden="false" customHeight="false" outlineLevel="0" collapsed="false">
      <c r="A116" s="24" t="n">
        <v>93</v>
      </c>
      <c r="B116" s="54" t="n">
        <f aca="false">EDATE($C$17,A116-1)</f>
        <v>49126</v>
      </c>
      <c r="C116" s="55" t="n">
        <f aca="false">G116+L116+Q116+V116+AA116+AF116+AK116+AP116+AU116+AZ116</f>
        <v>0</v>
      </c>
      <c r="D116" s="55" t="n">
        <f aca="false">MAX(0,$C$16-C116)</f>
        <v>5822</v>
      </c>
      <c r="E116" s="55" t="n">
        <f aca="false">ROUND(MAX(0,E115+F115-I115),2)</f>
        <v>0</v>
      </c>
      <c r="F116" s="55" t="n">
        <f aca="false">ROUND(E116*$E$5/12,2)</f>
        <v>0</v>
      </c>
      <c r="G116" s="55" t="n">
        <f aca="false">MIN($F$5,E116+F116)</f>
        <v>0</v>
      </c>
      <c r="H116" s="55" t="n">
        <f aca="false">MAX(0,MIN(E116+F116-G116,$D116))</f>
        <v>0</v>
      </c>
      <c r="I116" s="55" t="n">
        <f aca="false">G116+H116</f>
        <v>0</v>
      </c>
      <c r="J116" s="55" t="n">
        <f aca="false">ROUND(MAX(0,J115+K115-N115),2)</f>
        <v>0</v>
      </c>
      <c r="K116" s="55" t="n">
        <f aca="false">ROUND(J116*$E$6/12,2)</f>
        <v>0</v>
      </c>
      <c r="L116" s="55" t="n">
        <f aca="false">MIN($F$6,J116+K116)</f>
        <v>0</v>
      </c>
      <c r="M116" s="55" t="n">
        <f aca="false">MAX(0,MIN(J116+K116-L116,$D116-(H116)))</f>
        <v>0</v>
      </c>
      <c r="N116" s="55" t="n">
        <f aca="false">L116+M116</f>
        <v>0</v>
      </c>
      <c r="O116" s="55" t="n">
        <f aca="false">ROUND(MAX(0,O115+P115-S115),2)</f>
        <v>0</v>
      </c>
      <c r="P116" s="55" t="n">
        <f aca="false">ROUND(O116*$E$7/12,2)</f>
        <v>0</v>
      </c>
      <c r="Q116" s="55" t="n">
        <f aca="false">MIN($F$7,O116+P116)</f>
        <v>0</v>
      </c>
      <c r="R116" s="55" t="n">
        <f aca="false">MAX(0,MIN(O116+P116-Q116,$D116-(H116+M116)))</f>
        <v>0</v>
      </c>
      <c r="S116" s="55" t="n">
        <f aca="false">Q116+R116</f>
        <v>0</v>
      </c>
      <c r="T116" s="55" t="n">
        <f aca="false">ROUND(MAX(0,T115+U115-X115),2)</f>
        <v>0</v>
      </c>
      <c r="U116" s="55" t="n">
        <f aca="false">ROUND(T116*$E$8/12,2)</f>
        <v>0</v>
      </c>
      <c r="V116" s="55" t="n">
        <f aca="false">MIN($F$8,T116+U116)</f>
        <v>0</v>
      </c>
      <c r="W116" s="55" t="n">
        <f aca="false">MAX(0,MIN(T116+U116-V116,$D116-(H116+M116+R116)))</f>
        <v>0</v>
      </c>
      <c r="X116" s="55" t="n">
        <f aca="false">V116+W116</f>
        <v>0</v>
      </c>
      <c r="Y116" s="55" t="n">
        <f aca="false">ROUND(MAX(0,Y115+Z115-AC115),2)</f>
        <v>0</v>
      </c>
      <c r="Z116" s="55" t="n">
        <f aca="false">ROUND(Y116*$E$9/12,2)</f>
        <v>0</v>
      </c>
      <c r="AA116" s="55" t="n">
        <f aca="false">MIN($F$9,Y116+Z116)</f>
        <v>0</v>
      </c>
      <c r="AB116" s="55" t="n">
        <f aca="false">MAX(0,MIN(Y116+Z116-AA116,$D116-(H116+M116+R116+W116)))</f>
        <v>0</v>
      </c>
      <c r="AC116" s="55" t="n">
        <f aca="false">AA116+AB116</f>
        <v>0</v>
      </c>
      <c r="AD116" s="55" t="n">
        <f aca="false">ROUND(MAX(0,AD115+AE115-AH115),2)</f>
        <v>0</v>
      </c>
      <c r="AE116" s="55" t="n">
        <f aca="false">ROUND(AD116*$E$10/12,2)</f>
        <v>0</v>
      </c>
      <c r="AF116" s="55" t="n">
        <f aca="false">MIN($F$10,AD116+AE116)</f>
        <v>0</v>
      </c>
      <c r="AG116" s="55" t="n">
        <f aca="false">MAX(0,MIN(AD116+AE116-AF116,$D116-(H116+M116+R116+W116+AB116)))</f>
        <v>0</v>
      </c>
      <c r="AH116" s="55" t="n">
        <f aca="false">AF116+AG116</f>
        <v>0</v>
      </c>
      <c r="AI116" s="55" t="n">
        <f aca="false">ROUND(MAX(0,AI115+AJ115-AM115),2)</f>
        <v>0</v>
      </c>
      <c r="AJ116" s="55" t="n">
        <f aca="false">ROUND(AI116*$E$11/12,2)</f>
        <v>0</v>
      </c>
      <c r="AK116" s="55" t="n">
        <f aca="false">MIN($F$11,AI116+AJ116)</f>
        <v>0</v>
      </c>
      <c r="AL116" s="55" t="n">
        <f aca="false">MAX(0,MIN(AI116+AJ116-AK116,$D116-(H116+M116+R116+W116+AB116+AG116)))</f>
        <v>0</v>
      </c>
      <c r="AM116" s="55" t="n">
        <f aca="false">AK116+AL116</f>
        <v>0</v>
      </c>
      <c r="AN116" s="55" t="n">
        <f aca="false">ROUND(MAX(0,AN115+AO115-AR115),2)</f>
        <v>0</v>
      </c>
      <c r="AO116" s="55" t="n">
        <f aca="false">ROUND(AN116*$E$12/12,2)</f>
        <v>0</v>
      </c>
      <c r="AP116" s="55" t="n">
        <f aca="false">MIN($F$12,AN116+AO116)</f>
        <v>0</v>
      </c>
      <c r="AQ116" s="55" t="n">
        <f aca="false">MAX(0,MIN(AN116+AO116-AP116,$D116-(H116+M116+R116+W116+AB116+AG116+AL116)))</f>
        <v>0</v>
      </c>
      <c r="AR116" s="55" t="n">
        <f aca="false">AP116+AQ116</f>
        <v>0</v>
      </c>
      <c r="AS116" s="55" t="n">
        <f aca="false">ROUND(MAX(0,AS115+AT115-AW115),2)</f>
        <v>0</v>
      </c>
      <c r="AT116" s="55" t="n">
        <f aca="false">ROUND(AS116*$E$13/12,2)</f>
        <v>0</v>
      </c>
      <c r="AU116" s="55" t="n">
        <f aca="false">MIN($F$13,AS116+AT116)</f>
        <v>0</v>
      </c>
      <c r="AV116" s="55" t="n">
        <f aca="false">MAX(0,MIN(AS116+AT116-AU116,$D116-(H116+M116+R116+W116+AB116+AG116+AL116+AQ116)))</f>
        <v>0</v>
      </c>
      <c r="AW116" s="55" t="n">
        <f aca="false">AU116+AV116</f>
        <v>0</v>
      </c>
      <c r="AX116" s="55" t="n">
        <f aca="false">ROUND(MAX(0,AX115+AY115-BB115),2)</f>
        <v>0</v>
      </c>
      <c r="AY116" s="55" t="n">
        <f aca="false">ROUND(AX116*$E$14/12,2)</f>
        <v>0</v>
      </c>
      <c r="AZ116" s="55" t="n">
        <f aca="false">MIN($F$14,AX116+AY116)</f>
        <v>0</v>
      </c>
      <c r="BA116" s="55" t="n">
        <f aca="false">MAX(0,MIN(AX116+AY116-AZ116,$D116-(H116+M116+R116+W116+AB116+AG116+AL116+AQ116+AV116)))</f>
        <v>0</v>
      </c>
      <c r="BB116" s="55" t="n">
        <f aca="false">AZ116+BA116</f>
        <v>0</v>
      </c>
      <c r="BC116" s="55" t="n">
        <f aca="false">I116+N116+S116+X116+AC116+AH116+AM116+AR116+AW116+BB116</f>
        <v>0</v>
      </c>
      <c r="BD116" s="55" t="n">
        <f aca="false">ROUND((E116+F116-I116)+(J116+K116-N116)+(O116+P116-S116)+(T116+U116-X116)+(Y116+Z116-AC116)+(AD116+AE116-AH116)+(AI116+AJ116-AM116)+(AN116+AO116-AR116)+(AS116+AT116-AW116)+(AX116+AY116-BB116),2)</f>
        <v>0</v>
      </c>
      <c r="BE116" s="25" t="str">
        <f aca="false">IF(H116&gt;0.005,$C$5,IF(M116&gt;0.005,$C$6,IF(R116&gt;0.005,$C$7,IF(W116&gt;0.005,$C$8,IF(AB116&gt;0.005,$C$9,IF(AG116&gt;0.005,$C$10,IF(AL116&gt;0.005,$C$11,IF(AQ116&gt;0.005,$C$12,IF(AV116&gt;0.005,$C$13,IF(BA116&gt;0.005,$C$14,""))))))))))</f>
        <v/>
      </c>
    </row>
    <row r="117" customFormat="false" ht="15" hidden="false" customHeight="false" outlineLevel="0" collapsed="false">
      <c r="A117" s="24" t="n">
        <v>94</v>
      </c>
      <c r="B117" s="54" t="n">
        <f aca="false">EDATE($C$17,A117-1)</f>
        <v>49157</v>
      </c>
      <c r="C117" s="55" t="n">
        <f aca="false">G117+L117+Q117+V117+AA117+AF117+AK117+AP117+AU117+AZ117</f>
        <v>0</v>
      </c>
      <c r="D117" s="55" t="n">
        <f aca="false">MAX(0,$C$16-C117)</f>
        <v>5822</v>
      </c>
      <c r="E117" s="55" t="n">
        <f aca="false">ROUND(MAX(0,E116+F116-I116),2)</f>
        <v>0</v>
      </c>
      <c r="F117" s="55" t="n">
        <f aca="false">ROUND(E117*$E$5/12,2)</f>
        <v>0</v>
      </c>
      <c r="G117" s="55" t="n">
        <f aca="false">MIN($F$5,E117+F117)</f>
        <v>0</v>
      </c>
      <c r="H117" s="55" t="n">
        <f aca="false">MAX(0,MIN(E117+F117-G117,$D117))</f>
        <v>0</v>
      </c>
      <c r="I117" s="55" t="n">
        <f aca="false">G117+H117</f>
        <v>0</v>
      </c>
      <c r="J117" s="55" t="n">
        <f aca="false">ROUND(MAX(0,J116+K116-N116),2)</f>
        <v>0</v>
      </c>
      <c r="K117" s="55" t="n">
        <f aca="false">ROUND(J117*$E$6/12,2)</f>
        <v>0</v>
      </c>
      <c r="L117" s="55" t="n">
        <f aca="false">MIN($F$6,J117+K117)</f>
        <v>0</v>
      </c>
      <c r="M117" s="55" t="n">
        <f aca="false">MAX(0,MIN(J117+K117-L117,$D117-(H117)))</f>
        <v>0</v>
      </c>
      <c r="N117" s="55" t="n">
        <f aca="false">L117+M117</f>
        <v>0</v>
      </c>
      <c r="O117" s="55" t="n">
        <f aca="false">ROUND(MAX(0,O116+P116-S116),2)</f>
        <v>0</v>
      </c>
      <c r="P117" s="55" t="n">
        <f aca="false">ROUND(O117*$E$7/12,2)</f>
        <v>0</v>
      </c>
      <c r="Q117" s="55" t="n">
        <f aca="false">MIN($F$7,O117+P117)</f>
        <v>0</v>
      </c>
      <c r="R117" s="55" t="n">
        <f aca="false">MAX(0,MIN(O117+P117-Q117,$D117-(H117+M117)))</f>
        <v>0</v>
      </c>
      <c r="S117" s="55" t="n">
        <f aca="false">Q117+R117</f>
        <v>0</v>
      </c>
      <c r="T117" s="55" t="n">
        <f aca="false">ROUND(MAX(0,T116+U116-X116),2)</f>
        <v>0</v>
      </c>
      <c r="U117" s="55" t="n">
        <f aca="false">ROUND(T117*$E$8/12,2)</f>
        <v>0</v>
      </c>
      <c r="V117" s="55" t="n">
        <f aca="false">MIN($F$8,T117+U117)</f>
        <v>0</v>
      </c>
      <c r="W117" s="55" t="n">
        <f aca="false">MAX(0,MIN(T117+U117-V117,$D117-(H117+M117+R117)))</f>
        <v>0</v>
      </c>
      <c r="X117" s="55" t="n">
        <f aca="false">V117+W117</f>
        <v>0</v>
      </c>
      <c r="Y117" s="55" t="n">
        <f aca="false">ROUND(MAX(0,Y116+Z116-AC116),2)</f>
        <v>0</v>
      </c>
      <c r="Z117" s="55" t="n">
        <f aca="false">ROUND(Y117*$E$9/12,2)</f>
        <v>0</v>
      </c>
      <c r="AA117" s="55" t="n">
        <f aca="false">MIN($F$9,Y117+Z117)</f>
        <v>0</v>
      </c>
      <c r="AB117" s="55" t="n">
        <f aca="false">MAX(0,MIN(Y117+Z117-AA117,$D117-(H117+M117+R117+W117)))</f>
        <v>0</v>
      </c>
      <c r="AC117" s="55" t="n">
        <f aca="false">AA117+AB117</f>
        <v>0</v>
      </c>
      <c r="AD117" s="55" t="n">
        <f aca="false">ROUND(MAX(0,AD116+AE116-AH116),2)</f>
        <v>0</v>
      </c>
      <c r="AE117" s="55" t="n">
        <f aca="false">ROUND(AD117*$E$10/12,2)</f>
        <v>0</v>
      </c>
      <c r="AF117" s="55" t="n">
        <f aca="false">MIN($F$10,AD117+AE117)</f>
        <v>0</v>
      </c>
      <c r="AG117" s="55" t="n">
        <f aca="false">MAX(0,MIN(AD117+AE117-AF117,$D117-(H117+M117+R117+W117+AB117)))</f>
        <v>0</v>
      </c>
      <c r="AH117" s="55" t="n">
        <f aca="false">AF117+AG117</f>
        <v>0</v>
      </c>
      <c r="AI117" s="55" t="n">
        <f aca="false">ROUND(MAX(0,AI116+AJ116-AM116),2)</f>
        <v>0</v>
      </c>
      <c r="AJ117" s="55" t="n">
        <f aca="false">ROUND(AI117*$E$11/12,2)</f>
        <v>0</v>
      </c>
      <c r="AK117" s="55" t="n">
        <f aca="false">MIN($F$11,AI117+AJ117)</f>
        <v>0</v>
      </c>
      <c r="AL117" s="55" t="n">
        <f aca="false">MAX(0,MIN(AI117+AJ117-AK117,$D117-(H117+M117+R117+W117+AB117+AG117)))</f>
        <v>0</v>
      </c>
      <c r="AM117" s="55" t="n">
        <f aca="false">AK117+AL117</f>
        <v>0</v>
      </c>
      <c r="AN117" s="55" t="n">
        <f aca="false">ROUND(MAX(0,AN116+AO116-AR116),2)</f>
        <v>0</v>
      </c>
      <c r="AO117" s="55" t="n">
        <f aca="false">ROUND(AN117*$E$12/12,2)</f>
        <v>0</v>
      </c>
      <c r="AP117" s="55" t="n">
        <f aca="false">MIN($F$12,AN117+AO117)</f>
        <v>0</v>
      </c>
      <c r="AQ117" s="55" t="n">
        <f aca="false">MAX(0,MIN(AN117+AO117-AP117,$D117-(H117+M117+R117+W117+AB117+AG117+AL117)))</f>
        <v>0</v>
      </c>
      <c r="AR117" s="55" t="n">
        <f aca="false">AP117+AQ117</f>
        <v>0</v>
      </c>
      <c r="AS117" s="55" t="n">
        <f aca="false">ROUND(MAX(0,AS116+AT116-AW116),2)</f>
        <v>0</v>
      </c>
      <c r="AT117" s="55" t="n">
        <f aca="false">ROUND(AS117*$E$13/12,2)</f>
        <v>0</v>
      </c>
      <c r="AU117" s="55" t="n">
        <f aca="false">MIN($F$13,AS117+AT117)</f>
        <v>0</v>
      </c>
      <c r="AV117" s="55" t="n">
        <f aca="false">MAX(0,MIN(AS117+AT117-AU117,$D117-(H117+M117+R117+W117+AB117+AG117+AL117+AQ117)))</f>
        <v>0</v>
      </c>
      <c r="AW117" s="55" t="n">
        <f aca="false">AU117+AV117</f>
        <v>0</v>
      </c>
      <c r="AX117" s="55" t="n">
        <f aca="false">ROUND(MAX(0,AX116+AY116-BB116),2)</f>
        <v>0</v>
      </c>
      <c r="AY117" s="55" t="n">
        <f aca="false">ROUND(AX117*$E$14/12,2)</f>
        <v>0</v>
      </c>
      <c r="AZ117" s="55" t="n">
        <f aca="false">MIN($F$14,AX117+AY117)</f>
        <v>0</v>
      </c>
      <c r="BA117" s="55" t="n">
        <f aca="false">MAX(0,MIN(AX117+AY117-AZ117,$D117-(H117+M117+R117+W117+AB117+AG117+AL117+AQ117+AV117)))</f>
        <v>0</v>
      </c>
      <c r="BB117" s="55" t="n">
        <f aca="false">AZ117+BA117</f>
        <v>0</v>
      </c>
      <c r="BC117" s="55" t="n">
        <f aca="false">I117+N117+S117+X117+AC117+AH117+AM117+AR117+AW117+BB117</f>
        <v>0</v>
      </c>
      <c r="BD117" s="55" t="n">
        <f aca="false">ROUND((E117+F117-I117)+(J117+K117-N117)+(O117+P117-S117)+(T117+U117-X117)+(Y117+Z117-AC117)+(AD117+AE117-AH117)+(AI117+AJ117-AM117)+(AN117+AO117-AR117)+(AS117+AT117-AW117)+(AX117+AY117-BB117),2)</f>
        <v>0</v>
      </c>
      <c r="BE117" s="25" t="str">
        <f aca="false">IF(H117&gt;0.005,$C$5,IF(M117&gt;0.005,$C$6,IF(R117&gt;0.005,$C$7,IF(W117&gt;0.005,$C$8,IF(AB117&gt;0.005,$C$9,IF(AG117&gt;0.005,$C$10,IF(AL117&gt;0.005,$C$11,IF(AQ117&gt;0.005,$C$12,IF(AV117&gt;0.005,$C$13,IF(BA117&gt;0.005,$C$14,""))))))))))</f>
        <v/>
      </c>
    </row>
    <row r="118" customFormat="false" ht="15" hidden="false" customHeight="false" outlineLevel="0" collapsed="false">
      <c r="A118" s="24" t="n">
        <v>95</v>
      </c>
      <c r="B118" s="54" t="n">
        <f aca="false">EDATE($C$17,A118-1)</f>
        <v>49188</v>
      </c>
      <c r="C118" s="55" t="n">
        <f aca="false">G118+L118+Q118+V118+AA118+AF118+AK118+AP118+AU118+AZ118</f>
        <v>0</v>
      </c>
      <c r="D118" s="55" t="n">
        <f aca="false">MAX(0,$C$16-C118)</f>
        <v>5822</v>
      </c>
      <c r="E118" s="55" t="n">
        <f aca="false">ROUND(MAX(0,E117+F117-I117),2)</f>
        <v>0</v>
      </c>
      <c r="F118" s="55" t="n">
        <f aca="false">ROUND(E118*$E$5/12,2)</f>
        <v>0</v>
      </c>
      <c r="G118" s="55" t="n">
        <f aca="false">MIN($F$5,E118+F118)</f>
        <v>0</v>
      </c>
      <c r="H118" s="55" t="n">
        <f aca="false">MAX(0,MIN(E118+F118-G118,$D118))</f>
        <v>0</v>
      </c>
      <c r="I118" s="55" t="n">
        <f aca="false">G118+H118</f>
        <v>0</v>
      </c>
      <c r="J118" s="55" t="n">
        <f aca="false">ROUND(MAX(0,J117+K117-N117),2)</f>
        <v>0</v>
      </c>
      <c r="K118" s="55" t="n">
        <f aca="false">ROUND(J118*$E$6/12,2)</f>
        <v>0</v>
      </c>
      <c r="L118" s="55" t="n">
        <f aca="false">MIN($F$6,J118+K118)</f>
        <v>0</v>
      </c>
      <c r="M118" s="55" t="n">
        <f aca="false">MAX(0,MIN(J118+K118-L118,$D118-(H118)))</f>
        <v>0</v>
      </c>
      <c r="N118" s="55" t="n">
        <f aca="false">L118+M118</f>
        <v>0</v>
      </c>
      <c r="O118" s="55" t="n">
        <f aca="false">ROUND(MAX(0,O117+P117-S117),2)</f>
        <v>0</v>
      </c>
      <c r="P118" s="55" t="n">
        <f aca="false">ROUND(O118*$E$7/12,2)</f>
        <v>0</v>
      </c>
      <c r="Q118" s="55" t="n">
        <f aca="false">MIN($F$7,O118+P118)</f>
        <v>0</v>
      </c>
      <c r="R118" s="55" t="n">
        <f aca="false">MAX(0,MIN(O118+P118-Q118,$D118-(H118+M118)))</f>
        <v>0</v>
      </c>
      <c r="S118" s="55" t="n">
        <f aca="false">Q118+R118</f>
        <v>0</v>
      </c>
      <c r="T118" s="55" t="n">
        <f aca="false">ROUND(MAX(0,T117+U117-X117),2)</f>
        <v>0</v>
      </c>
      <c r="U118" s="55" t="n">
        <f aca="false">ROUND(T118*$E$8/12,2)</f>
        <v>0</v>
      </c>
      <c r="V118" s="55" t="n">
        <f aca="false">MIN($F$8,T118+U118)</f>
        <v>0</v>
      </c>
      <c r="W118" s="55" t="n">
        <f aca="false">MAX(0,MIN(T118+U118-V118,$D118-(H118+M118+R118)))</f>
        <v>0</v>
      </c>
      <c r="X118" s="55" t="n">
        <f aca="false">V118+W118</f>
        <v>0</v>
      </c>
      <c r="Y118" s="55" t="n">
        <f aca="false">ROUND(MAX(0,Y117+Z117-AC117),2)</f>
        <v>0</v>
      </c>
      <c r="Z118" s="55" t="n">
        <f aca="false">ROUND(Y118*$E$9/12,2)</f>
        <v>0</v>
      </c>
      <c r="AA118" s="55" t="n">
        <f aca="false">MIN($F$9,Y118+Z118)</f>
        <v>0</v>
      </c>
      <c r="AB118" s="55" t="n">
        <f aca="false">MAX(0,MIN(Y118+Z118-AA118,$D118-(H118+M118+R118+W118)))</f>
        <v>0</v>
      </c>
      <c r="AC118" s="55" t="n">
        <f aca="false">AA118+AB118</f>
        <v>0</v>
      </c>
      <c r="AD118" s="55" t="n">
        <f aca="false">ROUND(MAX(0,AD117+AE117-AH117),2)</f>
        <v>0</v>
      </c>
      <c r="AE118" s="55" t="n">
        <f aca="false">ROUND(AD118*$E$10/12,2)</f>
        <v>0</v>
      </c>
      <c r="AF118" s="55" t="n">
        <f aca="false">MIN($F$10,AD118+AE118)</f>
        <v>0</v>
      </c>
      <c r="AG118" s="55" t="n">
        <f aca="false">MAX(0,MIN(AD118+AE118-AF118,$D118-(H118+M118+R118+W118+AB118)))</f>
        <v>0</v>
      </c>
      <c r="AH118" s="55" t="n">
        <f aca="false">AF118+AG118</f>
        <v>0</v>
      </c>
      <c r="AI118" s="55" t="n">
        <f aca="false">ROUND(MAX(0,AI117+AJ117-AM117),2)</f>
        <v>0</v>
      </c>
      <c r="AJ118" s="55" t="n">
        <f aca="false">ROUND(AI118*$E$11/12,2)</f>
        <v>0</v>
      </c>
      <c r="AK118" s="55" t="n">
        <f aca="false">MIN($F$11,AI118+AJ118)</f>
        <v>0</v>
      </c>
      <c r="AL118" s="55" t="n">
        <f aca="false">MAX(0,MIN(AI118+AJ118-AK118,$D118-(H118+M118+R118+W118+AB118+AG118)))</f>
        <v>0</v>
      </c>
      <c r="AM118" s="55" t="n">
        <f aca="false">AK118+AL118</f>
        <v>0</v>
      </c>
      <c r="AN118" s="55" t="n">
        <f aca="false">ROUND(MAX(0,AN117+AO117-AR117),2)</f>
        <v>0</v>
      </c>
      <c r="AO118" s="55" t="n">
        <f aca="false">ROUND(AN118*$E$12/12,2)</f>
        <v>0</v>
      </c>
      <c r="AP118" s="55" t="n">
        <f aca="false">MIN($F$12,AN118+AO118)</f>
        <v>0</v>
      </c>
      <c r="AQ118" s="55" t="n">
        <f aca="false">MAX(0,MIN(AN118+AO118-AP118,$D118-(H118+M118+R118+W118+AB118+AG118+AL118)))</f>
        <v>0</v>
      </c>
      <c r="AR118" s="55" t="n">
        <f aca="false">AP118+AQ118</f>
        <v>0</v>
      </c>
      <c r="AS118" s="55" t="n">
        <f aca="false">ROUND(MAX(0,AS117+AT117-AW117),2)</f>
        <v>0</v>
      </c>
      <c r="AT118" s="55" t="n">
        <f aca="false">ROUND(AS118*$E$13/12,2)</f>
        <v>0</v>
      </c>
      <c r="AU118" s="55" t="n">
        <f aca="false">MIN($F$13,AS118+AT118)</f>
        <v>0</v>
      </c>
      <c r="AV118" s="55" t="n">
        <f aca="false">MAX(0,MIN(AS118+AT118-AU118,$D118-(H118+M118+R118+W118+AB118+AG118+AL118+AQ118)))</f>
        <v>0</v>
      </c>
      <c r="AW118" s="55" t="n">
        <f aca="false">AU118+AV118</f>
        <v>0</v>
      </c>
      <c r="AX118" s="55" t="n">
        <f aca="false">ROUND(MAX(0,AX117+AY117-BB117),2)</f>
        <v>0</v>
      </c>
      <c r="AY118" s="55" t="n">
        <f aca="false">ROUND(AX118*$E$14/12,2)</f>
        <v>0</v>
      </c>
      <c r="AZ118" s="55" t="n">
        <f aca="false">MIN($F$14,AX118+AY118)</f>
        <v>0</v>
      </c>
      <c r="BA118" s="55" t="n">
        <f aca="false">MAX(0,MIN(AX118+AY118-AZ118,$D118-(H118+M118+R118+W118+AB118+AG118+AL118+AQ118+AV118)))</f>
        <v>0</v>
      </c>
      <c r="BB118" s="55" t="n">
        <f aca="false">AZ118+BA118</f>
        <v>0</v>
      </c>
      <c r="BC118" s="55" t="n">
        <f aca="false">I118+N118+S118+X118+AC118+AH118+AM118+AR118+AW118+BB118</f>
        <v>0</v>
      </c>
      <c r="BD118" s="55" t="n">
        <f aca="false">ROUND((E118+F118-I118)+(J118+K118-N118)+(O118+P118-S118)+(T118+U118-X118)+(Y118+Z118-AC118)+(AD118+AE118-AH118)+(AI118+AJ118-AM118)+(AN118+AO118-AR118)+(AS118+AT118-AW118)+(AX118+AY118-BB118),2)</f>
        <v>0</v>
      </c>
      <c r="BE118" s="25" t="str">
        <f aca="false">IF(H118&gt;0.005,$C$5,IF(M118&gt;0.005,$C$6,IF(R118&gt;0.005,$C$7,IF(W118&gt;0.005,$C$8,IF(AB118&gt;0.005,$C$9,IF(AG118&gt;0.005,$C$10,IF(AL118&gt;0.005,$C$11,IF(AQ118&gt;0.005,$C$12,IF(AV118&gt;0.005,$C$13,IF(BA118&gt;0.005,$C$14,""))))))))))</f>
        <v/>
      </c>
    </row>
    <row r="119" customFormat="false" ht="15" hidden="false" customHeight="false" outlineLevel="0" collapsed="false">
      <c r="A119" s="24" t="n">
        <v>96</v>
      </c>
      <c r="B119" s="54" t="n">
        <f aca="false">EDATE($C$17,A119-1)</f>
        <v>49218</v>
      </c>
      <c r="C119" s="55" t="n">
        <f aca="false">G119+L119+Q119+V119+AA119+AF119+AK119+AP119+AU119+AZ119</f>
        <v>0</v>
      </c>
      <c r="D119" s="55" t="n">
        <f aca="false">MAX(0,$C$16-C119)</f>
        <v>5822</v>
      </c>
      <c r="E119" s="55" t="n">
        <f aca="false">ROUND(MAX(0,E118+F118-I118),2)</f>
        <v>0</v>
      </c>
      <c r="F119" s="55" t="n">
        <f aca="false">ROUND(E119*$E$5/12,2)</f>
        <v>0</v>
      </c>
      <c r="G119" s="55" t="n">
        <f aca="false">MIN($F$5,E119+F119)</f>
        <v>0</v>
      </c>
      <c r="H119" s="55" t="n">
        <f aca="false">MAX(0,MIN(E119+F119-G119,$D119))</f>
        <v>0</v>
      </c>
      <c r="I119" s="55" t="n">
        <f aca="false">G119+H119</f>
        <v>0</v>
      </c>
      <c r="J119" s="55" t="n">
        <f aca="false">ROUND(MAX(0,J118+K118-N118),2)</f>
        <v>0</v>
      </c>
      <c r="K119" s="55" t="n">
        <f aca="false">ROUND(J119*$E$6/12,2)</f>
        <v>0</v>
      </c>
      <c r="L119" s="55" t="n">
        <f aca="false">MIN($F$6,J119+K119)</f>
        <v>0</v>
      </c>
      <c r="M119" s="55" t="n">
        <f aca="false">MAX(0,MIN(J119+K119-L119,$D119-(H119)))</f>
        <v>0</v>
      </c>
      <c r="N119" s="55" t="n">
        <f aca="false">L119+M119</f>
        <v>0</v>
      </c>
      <c r="O119" s="55" t="n">
        <f aca="false">ROUND(MAX(0,O118+P118-S118),2)</f>
        <v>0</v>
      </c>
      <c r="P119" s="55" t="n">
        <f aca="false">ROUND(O119*$E$7/12,2)</f>
        <v>0</v>
      </c>
      <c r="Q119" s="55" t="n">
        <f aca="false">MIN($F$7,O119+P119)</f>
        <v>0</v>
      </c>
      <c r="R119" s="55" t="n">
        <f aca="false">MAX(0,MIN(O119+P119-Q119,$D119-(H119+M119)))</f>
        <v>0</v>
      </c>
      <c r="S119" s="55" t="n">
        <f aca="false">Q119+R119</f>
        <v>0</v>
      </c>
      <c r="T119" s="55" t="n">
        <f aca="false">ROUND(MAX(0,T118+U118-X118),2)</f>
        <v>0</v>
      </c>
      <c r="U119" s="55" t="n">
        <f aca="false">ROUND(T119*$E$8/12,2)</f>
        <v>0</v>
      </c>
      <c r="V119" s="55" t="n">
        <f aca="false">MIN($F$8,T119+U119)</f>
        <v>0</v>
      </c>
      <c r="W119" s="55" t="n">
        <f aca="false">MAX(0,MIN(T119+U119-V119,$D119-(H119+M119+R119)))</f>
        <v>0</v>
      </c>
      <c r="X119" s="55" t="n">
        <f aca="false">V119+W119</f>
        <v>0</v>
      </c>
      <c r="Y119" s="55" t="n">
        <f aca="false">ROUND(MAX(0,Y118+Z118-AC118),2)</f>
        <v>0</v>
      </c>
      <c r="Z119" s="55" t="n">
        <f aca="false">ROUND(Y119*$E$9/12,2)</f>
        <v>0</v>
      </c>
      <c r="AA119" s="55" t="n">
        <f aca="false">MIN($F$9,Y119+Z119)</f>
        <v>0</v>
      </c>
      <c r="AB119" s="55" t="n">
        <f aca="false">MAX(0,MIN(Y119+Z119-AA119,$D119-(H119+M119+R119+W119)))</f>
        <v>0</v>
      </c>
      <c r="AC119" s="55" t="n">
        <f aca="false">AA119+AB119</f>
        <v>0</v>
      </c>
      <c r="AD119" s="55" t="n">
        <f aca="false">ROUND(MAX(0,AD118+AE118-AH118),2)</f>
        <v>0</v>
      </c>
      <c r="AE119" s="55" t="n">
        <f aca="false">ROUND(AD119*$E$10/12,2)</f>
        <v>0</v>
      </c>
      <c r="AF119" s="55" t="n">
        <f aca="false">MIN($F$10,AD119+AE119)</f>
        <v>0</v>
      </c>
      <c r="AG119" s="55" t="n">
        <f aca="false">MAX(0,MIN(AD119+AE119-AF119,$D119-(H119+M119+R119+W119+AB119)))</f>
        <v>0</v>
      </c>
      <c r="AH119" s="55" t="n">
        <f aca="false">AF119+AG119</f>
        <v>0</v>
      </c>
      <c r="AI119" s="55" t="n">
        <f aca="false">ROUND(MAX(0,AI118+AJ118-AM118),2)</f>
        <v>0</v>
      </c>
      <c r="AJ119" s="55" t="n">
        <f aca="false">ROUND(AI119*$E$11/12,2)</f>
        <v>0</v>
      </c>
      <c r="AK119" s="55" t="n">
        <f aca="false">MIN($F$11,AI119+AJ119)</f>
        <v>0</v>
      </c>
      <c r="AL119" s="55" t="n">
        <f aca="false">MAX(0,MIN(AI119+AJ119-AK119,$D119-(H119+M119+R119+W119+AB119+AG119)))</f>
        <v>0</v>
      </c>
      <c r="AM119" s="55" t="n">
        <f aca="false">AK119+AL119</f>
        <v>0</v>
      </c>
      <c r="AN119" s="55" t="n">
        <f aca="false">ROUND(MAX(0,AN118+AO118-AR118),2)</f>
        <v>0</v>
      </c>
      <c r="AO119" s="55" t="n">
        <f aca="false">ROUND(AN119*$E$12/12,2)</f>
        <v>0</v>
      </c>
      <c r="AP119" s="55" t="n">
        <f aca="false">MIN($F$12,AN119+AO119)</f>
        <v>0</v>
      </c>
      <c r="AQ119" s="55" t="n">
        <f aca="false">MAX(0,MIN(AN119+AO119-AP119,$D119-(H119+M119+R119+W119+AB119+AG119+AL119)))</f>
        <v>0</v>
      </c>
      <c r="AR119" s="55" t="n">
        <f aca="false">AP119+AQ119</f>
        <v>0</v>
      </c>
      <c r="AS119" s="55" t="n">
        <f aca="false">ROUND(MAX(0,AS118+AT118-AW118),2)</f>
        <v>0</v>
      </c>
      <c r="AT119" s="55" t="n">
        <f aca="false">ROUND(AS119*$E$13/12,2)</f>
        <v>0</v>
      </c>
      <c r="AU119" s="55" t="n">
        <f aca="false">MIN($F$13,AS119+AT119)</f>
        <v>0</v>
      </c>
      <c r="AV119" s="55" t="n">
        <f aca="false">MAX(0,MIN(AS119+AT119-AU119,$D119-(H119+M119+R119+W119+AB119+AG119+AL119+AQ119)))</f>
        <v>0</v>
      </c>
      <c r="AW119" s="55" t="n">
        <f aca="false">AU119+AV119</f>
        <v>0</v>
      </c>
      <c r="AX119" s="55" t="n">
        <f aca="false">ROUND(MAX(0,AX118+AY118-BB118),2)</f>
        <v>0</v>
      </c>
      <c r="AY119" s="55" t="n">
        <f aca="false">ROUND(AX119*$E$14/12,2)</f>
        <v>0</v>
      </c>
      <c r="AZ119" s="55" t="n">
        <f aca="false">MIN($F$14,AX119+AY119)</f>
        <v>0</v>
      </c>
      <c r="BA119" s="55" t="n">
        <f aca="false">MAX(0,MIN(AX119+AY119-AZ119,$D119-(H119+M119+R119+W119+AB119+AG119+AL119+AQ119+AV119)))</f>
        <v>0</v>
      </c>
      <c r="BB119" s="55" t="n">
        <f aca="false">AZ119+BA119</f>
        <v>0</v>
      </c>
      <c r="BC119" s="55" t="n">
        <f aca="false">I119+N119+S119+X119+AC119+AH119+AM119+AR119+AW119+BB119</f>
        <v>0</v>
      </c>
      <c r="BD119" s="55" t="n">
        <f aca="false">ROUND((E119+F119-I119)+(J119+K119-N119)+(O119+P119-S119)+(T119+U119-X119)+(Y119+Z119-AC119)+(AD119+AE119-AH119)+(AI119+AJ119-AM119)+(AN119+AO119-AR119)+(AS119+AT119-AW119)+(AX119+AY119-BB119),2)</f>
        <v>0</v>
      </c>
      <c r="BE119" s="25" t="str">
        <f aca="false">IF(H119&gt;0.005,$C$5,IF(M119&gt;0.005,$C$6,IF(R119&gt;0.005,$C$7,IF(W119&gt;0.005,$C$8,IF(AB119&gt;0.005,$C$9,IF(AG119&gt;0.005,$C$10,IF(AL119&gt;0.005,$C$11,IF(AQ119&gt;0.005,$C$12,IF(AV119&gt;0.005,$C$13,IF(BA119&gt;0.005,$C$14,""))))))))))</f>
        <v/>
      </c>
    </row>
    <row r="120" customFormat="false" ht="15" hidden="false" customHeight="false" outlineLevel="0" collapsed="false">
      <c r="A120" s="24" t="n">
        <v>97</v>
      </c>
      <c r="B120" s="54" t="n">
        <f aca="false">EDATE($C$17,A120-1)</f>
        <v>49249</v>
      </c>
      <c r="C120" s="55" t="n">
        <f aca="false">G120+L120+Q120+V120+AA120+AF120+AK120+AP120+AU120+AZ120</f>
        <v>0</v>
      </c>
      <c r="D120" s="55" t="n">
        <f aca="false">MAX(0,$C$16-C120)</f>
        <v>5822</v>
      </c>
      <c r="E120" s="55" t="n">
        <f aca="false">ROUND(MAX(0,E119+F119-I119),2)</f>
        <v>0</v>
      </c>
      <c r="F120" s="55" t="n">
        <f aca="false">ROUND(E120*$E$5/12,2)</f>
        <v>0</v>
      </c>
      <c r="G120" s="55" t="n">
        <f aca="false">MIN($F$5,E120+F120)</f>
        <v>0</v>
      </c>
      <c r="H120" s="55" t="n">
        <f aca="false">MAX(0,MIN(E120+F120-G120,$D120))</f>
        <v>0</v>
      </c>
      <c r="I120" s="55" t="n">
        <f aca="false">G120+H120</f>
        <v>0</v>
      </c>
      <c r="J120" s="55" t="n">
        <f aca="false">ROUND(MAX(0,J119+K119-N119),2)</f>
        <v>0</v>
      </c>
      <c r="K120" s="55" t="n">
        <f aca="false">ROUND(J120*$E$6/12,2)</f>
        <v>0</v>
      </c>
      <c r="L120" s="55" t="n">
        <f aca="false">MIN($F$6,J120+K120)</f>
        <v>0</v>
      </c>
      <c r="M120" s="55" t="n">
        <f aca="false">MAX(0,MIN(J120+K120-L120,$D120-(H120)))</f>
        <v>0</v>
      </c>
      <c r="N120" s="55" t="n">
        <f aca="false">L120+M120</f>
        <v>0</v>
      </c>
      <c r="O120" s="55" t="n">
        <f aca="false">ROUND(MAX(0,O119+P119-S119),2)</f>
        <v>0</v>
      </c>
      <c r="P120" s="55" t="n">
        <f aca="false">ROUND(O120*$E$7/12,2)</f>
        <v>0</v>
      </c>
      <c r="Q120" s="55" t="n">
        <f aca="false">MIN($F$7,O120+P120)</f>
        <v>0</v>
      </c>
      <c r="R120" s="55" t="n">
        <f aca="false">MAX(0,MIN(O120+P120-Q120,$D120-(H120+M120)))</f>
        <v>0</v>
      </c>
      <c r="S120" s="55" t="n">
        <f aca="false">Q120+R120</f>
        <v>0</v>
      </c>
      <c r="T120" s="55" t="n">
        <f aca="false">ROUND(MAX(0,T119+U119-X119),2)</f>
        <v>0</v>
      </c>
      <c r="U120" s="55" t="n">
        <f aca="false">ROUND(T120*$E$8/12,2)</f>
        <v>0</v>
      </c>
      <c r="V120" s="55" t="n">
        <f aca="false">MIN($F$8,T120+U120)</f>
        <v>0</v>
      </c>
      <c r="W120" s="55" t="n">
        <f aca="false">MAX(0,MIN(T120+U120-V120,$D120-(H120+M120+R120)))</f>
        <v>0</v>
      </c>
      <c r="X120" s="55" t="n">
        <f aca="false">V120+W120</f>
        <v>0</v>
      </c>
      <c r="Y120" s="55" t="n">
        <f aca="false">ROUND(MAX(0,Y119+Z119-AC119),2)</f>
        <v>0</v>
      </c>
      <c r="Z120" s="55" t="n">
        <f aca="false">ROUND(Y120*$E$9/12,2)</f>
        <v>0</v>
      </c>
      <c r="AA120" s="55" t="n">
        <f aca="false">MIN($F$9,Y120+Z120)</f>
        <v>0</v>
      </c>
      <c r="AB120" s="55" t="n">
        <f aca="false">MAX(0,MIN(Y120+Z120-AA120,$D120-(H120+M120+R120+W120)))</f>
        <v>0</v>
      </c>
      <c r="AC120" s="55" t="n">
        <f aca="false">AA120+AB120</f>
        <v>0</v>
      </c>
      <c r="AD120" s="55" t="n">
        <f aca="false">ROUND(MAX(0,AD119+AE119-AH119),2)</f>
        <v>0</v>
      </c>
      <c r="AE120" s="55" t="n">
        <f aca="false">ROUND(AD120*$E$10/12,2)</f>
        <v>0</v>
      </c>
      <c r="AF120" s="55" t="n">
        <f aca="false">MIN($F$10,AD120+AE120)</f>
        <v>0</v>
      </c>
      <c r="AG120" s="55" t="n">
        <f aca="false">MAX(0,MIN(AD120+AE120-AF120,$D120-(H120+M120+R120+W120+AB120)))</f>
        <v>0</v>
      </c>
      <c r="AH120" s="55" t="n">
        <f aca="false">AF120+AG120</f>
        <v>0</v>
      </c>
      <c r="AI120" s="55" t="n">
        <f aca="false">ROUND(MAX(0,AI119+AJ119-AM119),2)</f>
        <v>0</v>
      </c>
      <c r="AJ120" s="55" t="n">
        <f aca="false">ROUND(AI120*$E$11/12,2)</f>
        <v>0</v>
      </c>
      <c r="AK120" s="55" t="n">
        <f aca="false">MIN($F$11,AI120+AJ120)</f>
        <v>0</v>
      </c>
      <c r="AL120" s="55" t="n">
        <f aca="false">MAX(0,MIN(AI120+AJ120-AK120,$D120-(H120+M120+R120+W120+AB120+AG120)))</f>
        <v>0</v>
      </c>
      <c r="AM120" s="55" t="n">
        <f aca="false">AK120+AL120</f>
        <v>0</v>
      </c>
      <c r="AN120" s="55" t="n">
        <f aca="false">ROUND(MAX(0,AN119+AO119-AR119),2)</f>
        <v>0</v>
      </c>
      <c r="AO120" s="55" t="n">
        <f aca="false">ROUND(AN120*$E$12/12,2)</f>
        <v>0</v>
      </c>
      <c r="AP120" s="55" t="n">
        <f aca="false">MIN($F$12,AN120+AO120)</f>
        <v>0</v>
      </c>
      <c r="AQ120" s="55" t="n">
        <f aca="false">MAX(0,MIN(AN120+AO120-AP120,$D120-(H120+M120+R120+W120+AB120+AG120+AL120)))</f>
        <v>0</v>
      </c>
      <c r="AR120" s="55" t="n">
        <f aca="false">AP120+AQ120</f>
        <v>0</v>
      </c>
      <c r="AS120" s="55" t="n">
        <f aca="false">ROUND(MAX(0,AS119+AT119-AW119),2)</f>
        <v>0</v>
      </c>
      <c r="AT120" s="55" t="n">
        <f aca="false">ROUND(AS120*$E$13/12,2)</f>
        <v>0</v>
      </c>
      <c r="AU120" s="55" t="n">
        <f aca="false">MIN($F$13,AS120+AT120)</f>
        <v>0</v>
      </c>
      <c r="AV120" s="55" t="n">
        <f aca="false">MAX(0,MIN(AS120+AT120-AU120,$D120-(H120+M120+R120+W120+AB120+AG120+AL120+AQ120)))</f>
        <v>0</v>
      </c>
      <c r="AW120" s="55" t="n">
        <f aca="false">AU120+AV120</f>
        <v>0</v>
      </c>
      <c r="AX120" s="55" t="n">
        <f aca="false">ROUND(MAX(0,AX119+AY119-BB119),2)</f>
        <v>0</v>
      </c>
      <c r="AY120" s="55" t="n">
        <f aca="false">ROUND(AX120*$E$14/12,2)</f>
        <v>0</v>
      </c>
      <c r="AZ120" s="55" t="n">
        <f aca="false">MIN($F$14,AX120+AY120)</f>
        <v>0</v>
      </c>
      <c r="BA120" s="55" t="n">
        <f aca="false">MAX(0,MIN(AX120+AY120-AZ120,$D120-(H120+M120+R120+W120+AB120+AG120+AL120+AQ120+AV120)))</f>
        <v>0</v>
      </c>
      <c r="BB120" s="55" t="n">
        <f aca="false">AZ120+BA120</f>
        <v>0</v>
      </c>
      <c r="BC120" s="55" t="n">
        <f aca="false">I120+N120+S120+X120+AC120+AH120+AM120+AR120+AW120+BB120</f>
        <v>0</v>
      </c>
      <c r="BD120" s="55" t="n">
        <f aca="false">ROUND((E120+F120-I120)+(J120+K120-N120)+(O120+P120-S120)+(T120+U120-X120)+(Y120+Z120-AC120)+(AD120+AE120-AH120)+(AI120+AJ120-AM120)+(AN120+AO120-AR120)+(AS120+AT120-AW120)+(AX120+AY120-BB120),2)</f>
        <v>0</v>
      </c>
      <c r="BE120" s="25" t="str">
        <f aca="false">IF(H120&gt;0.005,$C$5,IF(M120&gt;0.005,$C$6,IF(R120&gt;0.005,$C$7,IF(W120&gt;0.005,$C$8,IF(AB120&gt;0.005,$C$9,IF(AG120&gt;0.005,$C$10,IF(AL120&gt;0.005,$C$11,IF(AQ120&gt;0.005,$C$12,IF(AV120&gt;0.005,$C$13,IF(BA120&gt;0.005,$C$14,""))))))))))</f>
        <v/>
      </c>
    </row>
    <row r="121" customFormat="false" ht="15" hidden="false" customHeight="false" outlineLevel="0" collapsed="false">
      <c r="A121" s="24" t="n">
        <v>98</v>
      </c>
      <c r="B121" s="54" t="n">
        <f aca="false">EDATE($C$17,A121-1)</f>
        <v>49279</v>
      </c>
      <c r="C121" s="55" t="n">
        <f aca="false">G121+L121+Q121+V121+AA121+AF121+AK121+AP121+AU121+AZ121</f>
        <v>0</v>
      </c>
      <c r="D121" s="55" t="n">
        <f aca="false">MAX(0,$C$16-C121)</f>
        <v>5822</v>
      </c>
      <c r="E121" s="55" t="n">
        <f aca="false">ROUND(MAX(0,E120+F120-I120),2)</f>
        <v>0</v>
      </c>
      <c r="F121" s="55" t="n">
        <f aca="false">ROUND(E121*$E$5/12,2)</f>
        <v>0</v>
      </c>
      <c r="G121" s="55" t="n">
        <f aca="false">MIN($F$5,E121+F121)</f>
        <v>0</v>
      </c>
      <c r="H121" s="55" t="n">
        <f aca="false">MAX(0,MIN(E121+F121-G121,$D121))</f>
        <v>0</v>
      </c>
      <c r="I121" s="55" t="n">
        <f aca="false">G121+H121</f>
        <v>0</v>
      </c>
      <c r="J121" s="55" t="n">
        <f aca="false">ROUND(MAX(0,J120+K120-N120),2)</f>
        <v>0</v>
      </c>
      <c r="K121" s="55" t="n">
        <f aca="false">ROUND(J121*$E$6/12,2)</f>
        <v>0</v>
      </c>
      <c r="L121" s="55" t="n">
        <f aca="false">MIN($F$6,J121+K121)</f>
        <v>0</v>
      </c>
      <c r="M121" s="55" t="n">
        <f aca="false">MAX(0,MIN(J121+K121-L121,$D121-(H121)))</f>
        <v>0</v>
      </c>
      <c r="N121" s="55" t="n">
        <f aca="false">L121+M121</f>
        <v>0</v>
      </c>
      <c r="O121" s="55" t="n">
        <f aca="false">ROUND(MAX(0,O120+P120-S120),2)</f>
        <v>0</v>
      </c>
      <c r="P121" s="55" t="n">
        <f aca="false">ROUND(O121*$E$7/12,2)</f>
        <v>0</v>
      </c>
      <c r="Q121" s="55" t="n">
        <f aca="false">MIN($F$7,O121+P121)</f>
        <v>0</v>
      </c>
      <c r="R121" s="55" t="n">
        <f aca="false">MAX(0,MIN(O121+P121-Q121,$D121-(H121+M121)))</f>
        <v>0</v>
      </c>
      <c r="S121" s="55" t="n">
        <f aca="false">Q121+R121</f>
        <v>0</v>
      </c>
      <c r="T121" s="55" t="n">
        <f aca="false">ROUND(MAX(0,T120+U120-X120),2)</f>
        <v>0</v>
      </c>
      <c r="U121" s="55" t="n">
        <f aca="false">ROUND(T121*$E$8/12,2)</f>
        <v>0</v>
      </c>
      <c r="V121" s="55" t="n">
        <f aca="false">MIN($F$8,T121+U121)</f>
        <v>0</v>
      </c>
      <c r="W121" s="55" t="n">
        <f aca="false">MAX(0,MIN(T121+U121-V121,$D121-(H121+M121+R121)))</f>
        <v>0</v>
      </c>
      <c r="X121" s="55" t="n">
        <f aca="false">V121+W121</f>
        <v>0</v>
      </c>
      <c r="Y121" s="55" t="n">
        <f aca="false">ROUND(MAX(0,Y120+Z120-AC120),2)</f>
        <v>0</v>
      </c>
      <c r="Z121" s="55" t="n">
        <f aca="false">ROUND(Y121*$E$9/12,2)</f>
        <v>0</v>
      </c>
      <c r="AA121" s="55" t="n">
        <f aca="false">MIN($F$9,Y121+Z121)</f>
        <v>0</v>
      </c>
      <c r="AB121" s="55" t="n">
        <f aca="false">MAX(0,MIN(Y121+Z121-AA121,$D121-(H121+M121+R121+W121)))</f>
        <v>0</v>
      </c>
      <c r="AC121" s="55" t="n">
        <f aca="false">AA121+AB121</f>
        <v>0</v>
      </c>
      <c r="AD121" s="55" t="n">
        <f aca="false">ROUND(MAX(0,AD120+AE120-AH120),2)</f>
        <v>0</v>
      </c>
      <c r="AE121" s="55" t="n">
        <f aca="false">ROUND(AD121*$E$10/12,2)</f>
        <v>0</v>
      </c>
      <c r="AF121" s="55" t="n">
        <f aca="false">MIN($F$10,AD121+AE121)</f>
        <v>0</v>
      </c>
      <c r="AG121" s="55" t="n">
        <f aca="false">MAX(0,MIN(AD121+AE121-AF121,$D121-(H121+M121+R121+W121+AB121)))</f>
        <v>0</v>
      </c>
      <c r="AH121" s="55" t="n">
        <f aca="false">AF121+AG121</f>
        <v>0</v>
      </c>
      <c r="AI121" s="55" t="n">
        <f aca="false">ROUND(MAX(0,AI120+AJ120-AM120),2)</f>
        <v>0</v>
      </c>
      <c r="AJ121" s="55" t="n">
        <f aca="false">ROUND(AI121*$E$11/12,2)</f>
        <v>0</v>
      </c>
      <c r="AK121" s="55" t="n">
        <f aca="false">MIN($F$11,AI121+AJ121)</f>
        <v>0</v>
      </c>
      <c r="AL121" s="55" t="n">
        <f aca="false">MAX(0,MIN(AI121+AJ121-AK121,$D121-(H121+M121+R121+W121+AB121+AG121)))</f>
        <v>0</v>
      </c>
      <c r="AM121" s="55" t="n">
        <f aca="false">AK121+AL121</f>
        <v>0</v>
      </c>
      <c r="AN121" s="55" t="n">
        <f aca="false">ROUND(MAX(0,AN120+AO120-AR120),2)</f>
        <v>0</v>
      </c>
      <c r="AO121" s="55" t="n">
        <f aca="false">ROUND(AN121*$E$12/12,2)</f>
        <v>0</v>
      </c>
      <c r="AP121" s="55" t="n">
        <f aca="false">MIN($F$12,AN121+AO121)</f>
        <v>0</v>
      </c>
      <c r="AQ121" s="55" t="n">
        <f aca="false">MAX(0,MIN(AN121+AO121-AP121,$D121-(H121+M121+R121+W121+AB121+AG121+AL121)))</f>
        <v>0</v>
      </c>
      <c r="AR121" s="55" t="n">
        <f aca="false">AP121+AQ121</f>
        <v>0</v>
      </c>
      <c r="AS121" s="55" t="n">
        <f aca="false">ROUND(MAX(0,AS120+AT120-AW120),2)</f>
        <v>0</v>
      </c>
      <c r="AT121" s="55" t="n">
        <f aca="false">ROUND(AS121*$E$13/12,2)</f>
        <v>0</v>
      </c>
      <c r="AU121" s="55" t="n">
        <f aca="false">MIN($F$13,AS121+AT121)</f>
        <v>0</v>
      </c>
      <c r="AV121" s="55" t="n">
        <f aca="false">MAX(0,MIN(AS121+AT121-AU121,$D121-(H121+M121+R121+W121+AB121+AG121+AL121+AQ121)))</f>
        <v>0</v>
      </c>
      <c r="AW121" s="55" t="n">
        <f aca="false">AU121+AV121</f>
        <v>0</v>
      </c>
      <c r="AX121" s="55" t="n">
        <f aca="false">ROUND(MAX(0,AX120+AY120-BB120),2)</f>
        <v>0</v>
      </c>
      <c r="AY121" s="55" t="n">
        <f aca="false">ROUND(AX121*$E$14/12,2)</f>
        <v>0</v>
      </c>
      <c r="AZ121" s="55" t="n">
        <f aca="false">MIN($F$14,AX121+AY121)</f>
        <v>0</v>
      </c>
      <c r="BA121" s="55" t="n">
        <f aca="false">MAX(0,MIN(AX121+AY121-AZ121,$D121-(H121+M121+R121+W121+AB121+AG121+AL121+AQ121+AV121)))</f>
        <v>0</v>
      </c>
      <c r="BB121" s="55" t="n">
        <f aca="false">AZ121+BA121</f>
        <v>0</v>
      </c>
      <c r="BC121" s="55" t="n">
        <f aca="false">I121+N121+S121+X121+AC121+AH121+AM121+AR121+AW121+BB121</f>
        <v>0</v>
      </c>
      <c r="BD121" s="55" t="n">
        <f aca="false">ROUND((E121+F121-I121)+(J121+K121-N121)+(O121+P121-S121)+(T121+U121-X121)+(Y121+Z121-AC121)+(AD121+AE121-AH121)+(AI121+AJ121-AM121)+(AN121+AO121-AR121)+(AS121+AT121-AW121)+(AX121+AY121-BB121),2)</f>
        <v>0</v>
      </c>
      <c r="BE121" s="25" t="str">
        <f aca="false">IF(H121&gt;0.005,$C$5,IF(M121&gt;0.005,$C$6,IF(R121&gt;0.005,$C$7,IF(W121&gt;0.005,$C$8,IF(AB121&gt;0.005,$C$9,IF(AG121&gt;0.005,$C$10,IF(AL121&gt;0.005,$C$11,IF(AQ121&gt;0.005,$C$12,IF(AV121&gt;0.005,$C$13,IF(BA121&gt;0.005,$C$14,""))))))))))</f>
        <v/>
      </c>
    </row>
    <row r="122" customFormat="false" ht="15" hidden="false" customHeight="false" outlineLevel="0" collapsed="false">
      <c r="A122" s="24" t="n">
        <v>99</v>
      </c>
      <c r="B122" s="54" t="n">
        <f aca="false">EDATE($C$17,A122-1)</f>
        <v>49310</v>
      </c>
      <c r="C122" s="55" t="n">
        <f aca="false">G122+L122+Q122+V122+AA122+AF122+AK122+AP122+AU122+AZ122</f>
        <v>0</v>
      </c>
      <c r="D122" s="55" t="n">
        <f aca="false">MAX(0,$C$16-C122)</f>
        <v>5822</v>
      </c>
      <c r="E122" s="55" t="n">
        <f aca="false">ROUND(MAX(0,E121+F121-I121),2)</f>
        <v>0</v>
      </c>
      <c r="F122" s="55" t="n">
        <f aca="false">ROUND(E122*$E$5/12,2)</f>
        <v>0</v>
      </c>
      <c r="G122" s="55" t="n">
        <f aca="false">MIN($F$5,E122+F122)</f>
        <v>0</v>
      </c>
      <c r="H122" s="55" t="n">
        <f aca="false">MAX(0,MIN(E122+F122-G122,$D122))</f>
        <v>0</v>
      </c>
      <c r="I122" s="55" t="n">
        <f aca="false">G122+H122</f>
        <v>0</v>
      </c>
      <c r="J122" s="55" t="n">
        <f aca="false">ROUND(MAX(0,J121+K121-N121),2)</f>
        <v>0</v>
      </c>
      <c r="K122" s="55" t="n">
        <f aca="false">ROUND(J122*$E$6/12,2)</f>
        <v>0</v>
      </c>
      <c r="L122" s="55" t="n">
        <f aca="false">MIN($F$6,J122+K122)</f>
        <v>0</v>
      </c>
      <c r="M122" s="55" t="n">
        <f aca="false">MAX(0,MIN(J122+K122-L122,$D122-(H122)))</f>
        <v>0</v>
      </c>
      <c r="N122" s="55" t="n">
        <f aca="false">L122+M122</f>
        <v>0</v>
      </c>
      <c r="O122" s="55" t="n">
        <f aca="false">ROUND(MAX(0,O121+P121-S121),2)</f>
        <v>0</v>
      </c>
      <c r="P122" s="55" t="n">
        <f aca="false">ROUND(O122*$E$7/12,2)</f>
        <v>0</v>
      </c>
      <c r="Q122" s="55" t="n">
        <f aca="false">MIN($F$7,O122+P122)</f>
        <v>0</v>
      </c>
      <c r="R122" s="55" t="n">
        <f aca="false">MAX(0,MIN(O122+P122-Q122,$D122-(H122+M122)))</f>
        <v>0</v>
      </c>
      <c r="S122" s="55" t="n">
        <f aca="false">Q122+R122</f>
        <v>0</v>
      </c>
      <c r="T122" s="55" t="n">
        <f aca="false">ROUND(MAX(0,T121+U121-X121),2)</f>
        <v>0</v>
      </c>
      <c r="U122" s="55" t="n">
        <f aca="false">ROUND(T122*$E$8/12,2)</f>
        <v>0</v>
      </c>
      <c r="V122" s="55" t="n">
        <f aca="false">MIN($F$8,T122+U122)</f>
        <v>0</v>
      </c>
      <c r="W122" s="55" t="n">
        <f aca="false">MAX(0,MIN(T122+U122-V122,$D122-(H122+M122+R122)))</f>
        <v>0</v>
      </c>
      <c r="X122" s="55" t="n">
        <f aca="false">V122+W122</f>
        <v>0</v>
      </c>
      <c r="Y122" s="55" t="n">
        <f aca="false">ROUND(MAX(0,Y121+Z121-AC121),2)</f>
        <v>0</v>
      </c>
      <c r="Z122" s="55" t="n">
        <f aca="false">ROUND(Y122*$E$9/12,2)</f>
        <v>0</v>
      </c>
      <c r="AA122" s="55" t="n">
        <f aca="false">MIN($F$9,Y122+Z122)</f>
        <v>0</v>
      </c>
      <c r="AB122" s="55" t="n">
        <f aca="false">MAX(0,MIN(Y122+Z122-AA122,$D122-(H122+M122+R122+W122)))</f>
        <v>0</v>
      </c>
      <c r="AC122" s="55" t="n">
        <f aca="false">AA122+AB122</f>
        <v>0</v>
      </c>
      <c r="AD122" s="55" t="n">
        <f aca="false">ROUND(MAX(0,AD121+AE121-AH121),2)</f>
        <v>0</v>
      </c>
      <c r="AE122" s="55" t="n">
        <f aca="false">ROUND(AD122*$E$10/12,2)</f>
        <v>0</v>
      </c>
      <c r="AF122" s="55" t="n">
        <f aca="false">MIN($F$10,AD122+AE122)</f>
        <v>0</v>
      </c>
      <c r="AG122" s="55" t="n">
        <f aca="false">MAX(0,MIN(AD122+AE122-AF122,$D122-(H122+M122+R122+W122+AB122)))</f>
        <v>0</v>
      </c>
      <c r="AH122" s="55" t="n">
        <f aca="false">AF122+AG122</f>
        <v>0</v>
      </c>
      <c r="AI122" s="55" t="n">
        <f aca="false">ROUND(MAX(0,AI121+AJ121-AM121),2)</f>
        <v>0</v>
      </c>
      <c r="AJ122" s="55" t="n">
        <f aca="false">ROUND(AI122*$E$11/12,2)</f>
        <v>0</v>
      </c>
      <c r="AK122" s="55" t="n">
        <f aca="false">MIN($F$11,AI122+AJ122)</f>
        <v>0</v>
      </c>
      <c r="AL122" s="55" t="n">
        <f aca="false">MAX(0,MIN(AI122+AJ122-AK122,$D122-(H122+M122+R122+W122+AB122+AG122)))</f>
        <v>0</v>
      </c>
      <c r="AM122" s="55" t="n">
        <f aca="false">AK122+AL122</f>
        <v>0</v>
      </c>
      <c r="AN122" s="55" t="n">
        <f aca="false">ROUND(MAX(0,AN121+AO121-AR121),2)</f>
        <v>0</v>
      </c>
      <c r="AO122" s="55" t="n">
        <f aca="false">ROUND(AN122*$E$12/12,2)</f>
        <v>0</v>
      </c>
      <c r="AP122" s="55" t="n">
        <f aca="false">MIN($F$12,AN122+AO122)</f>
        <v>0</v>
      </c>
      <c r="AQ122" s="55" t="n">
        <f aca="false">MAX(0,MIN(AN122+AO122-AP122,$D122-(H122+M122+R122+W122+AB122+AG122+AL122)))</f>
        <v>0</v>
      </c>
      <c r="AR122" s="55" t="n">
        <f aca="false">AP122+AQ122</f>
        <v>0</v>
      </c>
      <c r="AS122" s="55" t="n">
        <f aca="false">ROUND(MAX(0,AS121+AT121-AW121),2)</f>
        <v>0</v>
      </c>
      <c r="AT122" s="55" t="n">
        <f aca="false">ROUND(AS122*$E$13/12,2)</f>
        <v>0</v>
      </c>
      <c r="AU122" s="55" t="n">
        <f aca="false">MIN($F$13,AS122+AT122)</f>
        <v>0</v>
      </c>
      <c r="AV122" s="55" t="n">
        <f aca="false">MAX(0,MIN(AS122+AT122-AU122,$D122-(H122+M122+R122+W122+AB122+AG122+AL122+AQ122)))</f>
        <v>0</v>
      </c>
      <c r="AW122" s="55" t="n">
        <f aca="false">AU122+AV122</f>
        <v>0</v>
      </c>
      <c r="AX122" s="55" t="n">
        <f aca="false">ROUND(MAX(0,AX121+AY121-BB121),2)</f>
        <v>0</v>
      </c>
      <c r="AY122" s="55" t="n">
        <f aca="false">ROUND(AX122*$E$14/12,2)</f>
        <v>0</v>
      </c>
      <c r="AZ122" s="55" t="n">
        <f aca="false">MIN($F$14,AX122+AY122)</f>
        <v>0</v>
      </c>
      <c r="BA122" s="55" t="n">
        <f aca="false">MAX(0,MIN(AX122+AY122-AZ122,$D122-(H122+M122+R122+W122+AB122+AG122+AL122+AQ122+AV122)))</f>
        <v>0</v>
      </c>
      <c r="BB122" s="55" t="n">
        <f aca="false">AZ122+BA122</f>
        <v>0</v>
      </c>
      <c r="BC122" s="55" t="n">
        <f aca="false">I122+N122+S122+X122+AC122+AH122+AM122+AR122+AW122+BB122</f>
        <v>0</v>
      </c>
      <c r="BD122" s="55" t="n">
        <f aca="false">ROUND((E122+F122-I122)+(J122+K122-N122)+(O122+P122-S122)+(T122+U122-X122)+(Y122+Z122-AC122)+(AD122+AE122-AH122)+(AI122+AJ122-AM122)+(AN122+AO122-AR122)+(AS122+AT122-AW122)+(AX122+AY122-BB122),2)</f>
        <v>0</v>
      </c>
      <c r="BE122" s="25" t="str">
        <f aca="false">IF(H122&gt;0.005,$C$5,IF(M122&gt;0.005,$C$6,IF(R122&gt;0.005,$C$7,IF(W122&gt;0.005,$C$8,IF(AB122&gt;0.005,$C$9,IF(AG122&gt;0.005,$C$10,IF(AL122&gt;0.005,$C$11,IF(AQ122&gt;0.005,$C$12,IF(AV122&gt;0.005,$C$13,IF(BA122&gt;0.005,$C$14,""))))))))))</f>
        <v/>
      </c>
    </row>
    <row r="123" customFormat="false" ht="15" hidden="false" customHeight="false" outlineLevel="0" collapsed="false">
      <c r="A123" s="24" t="n">
        <v>100</v>
      </c>
      <c r="B123" s="54" t="n">
        <f aca="false">EDATE($C$17,A123-1)</f>
        <v>49341</v>
      </c>
      <c r="C123" s="55" t="n">
        <f aca="false">G123+L123+Q123+V123+AA123+AF123+AK123+AP123+AU123+AZ123</f>
        <v>0</v>
      </c>
      <c r="D123" s="55" t="n">
        <f aca="false">MAX(0,$C$16-C123)</f>
        <v>5822</v>
      </c>
      <c r="E123" s="55" t="n">
        <f aca="false">ROUND(MAX(0,E122+F122-I122),2)</f>
        <v>0</v>
      </c>
      <c r="F123" s="55" t="n">
        <f aca="false">ROUND(E123*$E$5/12,2)</f>
        <v>0</v>
      </c>
      <c r="G123" s="55" t="n">
        <f aca="false">MIN($F$5,E123+F123)</f>
        <v>0</v>
      </c>
      <c r="H123" s="55" t="n">
        <f aca="false">MAX(0,MIN(E123+F123-G123,$D123))</f>
        <v>0</v>
      </c>
      <c r="I123" s="55" t="n">
        <f aca="false">G123+H123</f>
        <v>0</v>
      </c>
      <c r="J123" s="55" t="n">
        <f aca="false">ROUND(MAX(0,J122+K122-N122),2)</f>
        <v>0</v>
      </c>
      <c r="K123" s="55" t="n">
        <f aca="false">ROUND(J123*$E$6/12,2)</f>
        <v>0</v>
      </c>
      <c r="L123" s="55" t="n">
        <f aca="false">MIN($F$6,J123+K123)</f>
        <v>0</v>
      </c>
      <c r="M123" s="55" t="n">
        <f aca="false">MAX(0,MIN(J123+K123-L123,$D123-(H123)))</f>
        <v>0</v>
      </c>
      <c r="N123" s="55" t="n">
        <f aca="false">L123+M123</f>
        <v>0</v>
      </c>
      <c r="O123" s="55" t="n">
        <f aca="false">ROUND(MAX(0,O122+P122-S122),2)</f>
        <v>0</v>
      </c>
      <c r="P123" s="55" t="n">
        <f aca="false">ROUND(O123*$E$7/12,2)</f>
        <v>0</v>
      </c>
      <c r="Q123" s="55" t="n">
        <f aca="false">MIN($F$7,O123+P123)</f>
        <v>0</v>
      </c>
      <c r="R123" s="55" t="n">
        <f aca="false">MAX(0,MIN(O123+P123-Q123,$D123-(H123+M123)))</f>
        <v>0</v>
      </c>
      <c r="S123" s="55" t="n">
        <f aca="false">Q123+R123</f>
        <v>0</v>
      </c>
      <c r="T123" s="55" t="n">
        <f aca="false">ROUND(MAX(0,T122+U122-X122),2)</f>
        <v>0</v>
      </c>
      <c r="U123" s="55" t="n">
        <f aca="false">ROUND(T123*$E$8/12,2)</f>
        <v>0</v>
      </c>
      <c r="V123" s="55" t="n">
        <f aca="false">MIN($F$8,T123+U123)</f>
        <v>0</v>
      </c>
      <c r="W123" s="55" t="n">
        <f aca="false">MAX(0,MIN(T123+U123-V123,$D123-(H123+M123+R123)))</f>
        <v>0</v>
      </c>
      <c r="X123" s="55" t="n">
        <f aca="false">V123+W123</f>
        <v>0</v>
      </c>
      <c r="Y123" s="55" t="n">
        <f aca="false">ROUND(MAX(0,Y122+Z122-AC122),2)</f>
        <v>0</v>
      </c>
      <c r="Z123" s="55" t="n">
        <f aca="false">ROUND(Y123*$E$9/12,2)</f>
        <v>0</v>
      </c>
      <c r="AA123" s="55" t="n">
        <f aca="false">MIN($F$9,Y123+Z123)</f>
        <v>0</v>
      </c>
      <c r="AB123" s="55" t="n">
        <f aca="false">MAX(0,MIN(Y123+Z123-AA123,$D123-(H123+M123+R123+W123)))</f>
        <v>0</v>
      </c>
      <c r="AC123" s="55" t="n">
        <f aca="false">AA123+AB123</f>
        <v>0</v>
      </c>
      <c r="AD123" s="55" t="n">
        <f aca="false">ROUND(MAX(0,AD122+AE122-AH122),2)</f>
        <v>0</v>
      </c>
      <c r="AE123" s="55" t="n">
        <f aca="false">ROUND(AD123*$E$10/12,2)</f>
        <v>0</v>
      </c>
      <c r="AF123" s="55" t="n">
        <f aca="false">MIN($F$10,AD123+AE123)</f>
        <v>0</v>
      </c>
      <c r="AG123" s="55" t="n">
        <f aca="false">MAX(0,MIN(AD123+AE123-AF123,$D123-(H123+M123+R123+W123+AB123)))</f>
        <v>0</v>
      </c>
      <c r="AH123" s="55" t="n">
        <f aca="false">AF123+AG123</f>
        <v>0</v>
      </c>
      <c r="AI123" s="55" t="n">
        <f aca="false">ROUND(MAX(0,AI122+AJ122-AM122),2)</f>
        <v>0</v>
      </c>
      <c r="AJ123" s="55" t="n">
        <f aca="false">ROUND(AI123*$E$11/12,2)</f>
        <v>0</v>
      </c>
      <c r="AK123" s="55" t="n">
        <f aca="false">MIN($F$11,AI123+AJ123)</f>
        <v>0</v>
      </c>
      <c r="AL123" s="55" t="n">
        <f aca="false">MAX(0,MIN(AI123+AJ123-AK123,$D123-(H123+M123+R123+W123+AB123+AG123)))</f>
        <v>0</v>
      </c>
      <c r="AM123" s="55" t="n">
        <f aca="false">AK123+AL123</f>
        <v>0</v>
      </c>
      <c r="AN123" s="55" t="n">
        <f aca="false">ROUND(MAX(0,AN122+AO122-AR122),2)</f>
        <v>0</v>
      </c>
      <c r="AO123" s="55" t="n">
        <f aca="false">ROUND(AN123*$E$12/12,2)</f>
        <v>0</v>
      </c>
      <c r="AP123" s="55" t="n">
        <f aca="false">MIN($F$12,AN123+AO123)</f>
        <v>0</v>
      </c>
      <c r="AQ123" s="55" t="n">
        <f aca="false">MAX(0,MIN(AN123+AO123-AP123,$D123-(H123+M123+R123+W123+AB123+AG123+AL123)))</f>
        <v>0</v>
      </c>
      <c r="AR123" s="55" t="n">
        <f aca="false">AP123+AQ123</f>
        <v>0</v>
      </c>
      <c r="AS123" s="55" t="n">
        <f aca="false">ROUND(MAX(0,AS122+AT122-AW122),2)</f>
        <v>0</v>
      </c>
      <c r="AT123" s="55" t="n">
        <f aca="false">ROUND(AS123*$E$13/12,2)</f>
        <v>0</v>
      </c>
      <c r="AU123" s="55" t="n">
        <f aca="false">MIN($F$13,AS123+AT123)</f>
        <v>0</v>
      </c>
      <c r="AV123" s="55" t="n">
        <f aca="false">MAX(0,MIN(AS123+AT123-AU123,$D123-(H123+M123+R123+W123+AB123+AG123+AL123+AQ123)))</f>
        <v>0</v>
      </c>
      <c r="AW123" s="55" t="n">
        <f aca="false">AU123+AV123</f>
        <v>0</v>
      </c>
      <c r="AX123" s="55" t="n">
        <f aca="false">ROUND(MAX(0,AX122+AY122-BB122),2)</f>
        <v>0</v>
      </c>
      <c r="AY123" s="55" t="n">
        <f aca="false">ROUND(AX123*$E$14/12,2)</f>
        <v>0</v>
      </c>
      <c r="AZ123" s="55" t="n">
        <f aca="false">MIN($F$14,AX123+AY123)</f>
        <v>0</v>
      </c>
      <c r="BA123" s="55" t="n">
        <f aca="false">MAX(0,MIN(AX123+AY123-AZ123,$D123-(H123+M123+R123+W123+AB123+AG123+AL123+AQ123+AV123)))</f>
        <v>0</v>
      </c>
      <c r="BB123" s="55" t="n">
        <f aca="false">AZ123+BA123</f>
        <v>0</v>
      </c>
      <c r="BC123" s="55" t="n">
        <f aca="false">I123+N123+S123+X123+AC123+AH123+AM123+AR123+AW123+BB123</f>
        <v>0</v>
      </c>
      <c r="BD123" s="55" t="n">
        <f aca="false">ROUND((E123+F123-I123)+(J123+K123-N123)+(O123+P123-S123)+(T123+U123-X123)+(Y123+Z123-AC123)+(AD123+AE123-AH123)+(AI123+AJ123-AM123)+(AN123+AO123-AR123)+(AS123+AT123-AW123)+(AX123+AY123-BB123),2)</f>
        <v>0</v>
      </c>
      <c r="BE123" s="25" t="str">
        <f aca="false">IF(H123&gt;0.005,$C$5,IF(M123&gt;0.005,$C$6,IF(R123&gt;0.005,$C$7,IF(W123&gt;0.005,$C$8,IF(AB123&gt;0.005,$C$9,IF(AG123&gt;0.005,$C$10,IF(AL123&gt;0.005,$C$11,IF(AQ123&gt;0.005,$C$12,IF(AV123&gt;0.005,$C$13,IF(BA123&gt;0.005,$C$14,""))))))))))</f>
        <v/>
      </c>
    </row>
    <row r="124" customFormat="false" ht="15" hidden="false" customHeight="false" outlineLevel="0" collapsed="false">
      <c r="A124" s="24" t="n">
        <v>101</v>
      </c>
      <c r="B124" s="54" t="n">
        <f aca="false">EDATE($C$17,A124-1)</f>
        <v>49369</v>
      </c>
      <c r="C124" s="55" t="n">
        <f aca="false">G124+L124+Q124+V124+AA124+AF124+AK124+AP124+AU124+AZ124</f>
        <v>0</v>
      </c>
      <c r="D124" s="55" t="n">
        <f aca="false">MAX(0,$C$16-C124)</f>
        <v>5822</v>
      </c>
      <c r="E124" s="55" t="n">
        <f aca="false">ROUND(MAX(0,E123+F123-I123),2)</f>
        <v>0</v>
      </c>
      <c r="F124" s="55" t="n">
        <f aca="false">ROUND(E124*$E$5/12,2)</f>
        <v>0</v>
      </c>
      <c r="G124" s="55" t="n">
        <f aca="false">MIN($F$5,E124+F124)</f>
        <v>0</v>
      </c>
      <c r="H124" s="55" t="n">
        <f aca="false">MAX(0,MIN(E124+F124-G124,$D124))</f>
        <v>0</v>
      </c>
      <c r="I124" s="55" t="n">
        <f aca="false">G124+H124</f>
        <v>0</v>
      </c>
      <c r="J124" s="55" t="n">
        <f aca="false">ROUND(MAX(0,J123+K123-N123),2)</f>
        <v>0</v>
      </c>
      <c r="K124" s="55" t="n">
        <f aca="false">ROUND(J124*$E$6/12,2)</f>
        <v>0</v>
      </c>
      <c r="L124" s="55" t="n">
        <f aca="false">MIN($F$6,J124+K124)</f>
        <v>0</v>
      </c>
      <c r="M124" s="55" t="n">
        <f aca="false">MAX(0,MIN(J124+K124-L124,$D124-(H124)))</f>
        <v>0</v>
      </c>
      <c r="N124" s="55" t="n">
        <f aca="false">L124+M124</f>
        <v>0</v>
      </c>
      <c r="O124" s="55" t="n">
        <f aca="false">ROUND(MAX(0,O123+P123-S123),2)</f>
        <v>0</v>
      </c>
      <c r="P124" s="55" t="n">
        <f aca="false">ROUND(O124*$E$7/12,2)</f>
        <v>0</v>
      </c>
      <c r="Q124" s="55" t="n">
        <f aca="false">MIN($F$7,O124+P124)</f>
        <v>0</v>
      </c>
      <c r="R124" s="55" t="n">
        <f aca="false">MAX(0,MIN(O124+P124-Q124,$D124-(H124+M124)))</f>
        <v>0</v>
      </c>
      <c r="S124" s="55" t="n">
        <f aca="false">Q124+R124</f>
        <v>0</v>
      </c>
      <c r="T124" s="55" t="n">
        <f aca="false">ROUND(MAX(0,T123+U123-X123),2)</f>
        <v>0</v>
      </c>
      <c r="U124" s="55" t="n">
        <f aca="false">ROUND(T124*$E$8/12,2)</f>
        <v>0</v>
      </c>
      <c r="V124" s="55" t="n">
        <f aca="false">MIN($F$8,T124+U124)</f>
        <v>0</v>
      </c>
      <c r="W124" s="55" t="n">
        <f aca="false">MAX(0,MIN(T124+U124-V124,$D124-(H124+M124+R124)))</f>
        <v>0</v>
      </c>
      <c r="X124" s="55" t="n">
        <f aca="false">V124+W124</f>
        <v>0</v>
      </c>
      <c r="Y124" s="55" t="n">
        <f aca="false">ROUND(MAX(0,Y123+Z123-AC123),2)</f>
        <v>0</v>
      </c>
      <c r="Z124" s="55" t="n">
        <f aca="false">ROUND(Y124*$E$9/12,2)</f>
        <v>0</v>
      </c>
      <c r="AA124" s="55" t="n">
        <f aca="false">MIN($F$9,Y124+Z124)</f>
        <v>0</v>
      </c>
      <c r="AB124" s="55" t="n">
        <f aca="false">MAX(0,MIN(Y124+Z124-AA124,$D124-(H124+M124+R124+W124)))</f>
        <v>0</v>
      </c>
      <c r="AC124" s="55" t="n">
        <f aca="false">AA124+AB124</f>
        <v>0</v>
      </c>
      <c r="AD124" s="55" t="n">
        <f aca="false">ROUND(MAX(0,AD123+AE123-AH123),2)</f>
        <v>0</v>
      </c>
      <c r="AE124" s="55" t="n">
        <f aca="false">ROUND(AD124*$E$10/12,2)</f>
        <v>0</v>
      </c>
      <c r="AF124" s="55" t="n">
        <f aca="false">MIN($F$10,AD124+AE124)</f>
        <v>0</v>
      </c>
      <c r="AG124" s="55" t="n">
        <f aca="false">MAX(0,MIN(AD124+AE124-AF124,$D124-(H124+M124+R124+W124+AB124)))</f>
        <v>0</v>
      </c>
      <c r="AH124" s="55" t="n">
        <f aca="false">AF124+AG124</f>
        <v>0</v>
      </c>
      <c r="AI124" s="55" t="n">
        <f aca="false">ROUND(MAX(0,AI123+AJ123-AM123),2)</f>
        <v>0</v>
      </c>
      <c r="AJ124" s="55" t="n">
        <f aca="false">ROUND(AI124*$E$11/12,2)</f>
        <v>0</v>
      </c>
      <c r="AK124" s="55" t="n">
        <f aca="false">MIN($F$11,AI124+AJ124)</f>
        <v>0</v>
      </c>
      <c r="AL124" s="55" t="n">
        <f aca="false">MAX(0,MIN(AI124+AJ124-AK124,$D124-(H124+M124+R124+W124+AB124+AG124)))</f>
        <v>0</v>
      </c>
      <c r="AM124" s="55" t="n">
        <f aca="false">AK124+AL124</f>
        <v>0</v>
      </c>
      <c r="AN124" s="55" t="n">
        <f aca="false">ROUND(MAX(0,AN123+AO123-AR123),2)</f>
        <v>0</v>
      </c>
      <c r="AO124" s="55" t="n">
        <f aca="false">ROUND(AN124*$E$12/12,2)</f>
        <v>0</v>
      </c>
      <c r="AP124" s="55" t="n">
        <f aca="false">MIN($F$12,AN124+AO124)</f>
        <v>0</v>
      </c>
      <c r="AQ124" s="55" t="n">
        <f aca="false">MAX(0,MIN(AN124+AO124-AP124,$D124-(H124+M124+R124+W124+AB124+AG124+AL124)))</f>
        <v>0</v>
      </c>
      <c r="AR124" s="55" t="n">
        <f aca="false">AP124+AQ124</f>
        <v>0</v>
      </c>
      <c r="AS124" s="55" t="n">
        <f aca="false">ROUND(MAX(0,AS123+AT123-AW123),2)</f>
        <v>0</v>
      </c>
      <c r="AT124" s="55" t="n">
        <f aca="false">ROUND(AS124*$E$13/12,2)</f>
        <v>0</v>
      </c>
      <c r="AU124" s="55" t="n">
        <f aca="false">MIN($F$13,AS124+AT124)</f>
        <v>0</v>
      </c>
      <c r="AV124" s="55" t="n">
        <f aca="false">MAX(0,MIN(AS124+AT124-AU124,$D124-(H124+M124+R124+W124+AB124+AG124+AL124+AQ124)))</f>
        <v>0</v>
      </c>
      <c r="AW124" s="55" t="n">
        <f aca="false">AU124+AV124</f>
        <v>0</v>
      </c>
      <c r="AX124" s="55" t="n">
        <f aca="false">ROUND(MAX(0,AX123+AY123-BB123),2)</f>
        <v>0</v>
      </c>
      <c r="AY124" s="55" t="n">
        <f aca="false">ROUND(AX124*$E$14/12,2)</f>
        <v>0</v>
      </c>
      <c r="AZ124" s="55" t="n">
        <f aca="false">MIN($F$14,AX124+AY124)</f>
        <v>0</v>
      </c>
      <c r="BA124" s="55" t="n">
        <f aca="false">MAX(0,MIN(AX124+AY124-AZ124,$D124-(H124+M124+R124+W124+AB124+AG124+AL124+AQ124+AV124)))</f>
        <v>0</v>
      </c>
      <c r="BB124" s="55" t="n">
        <f aca="false">AZ124+BA124</f>
        <v>0</v>
      </c>
      <c r="BC124" s="55" t="n">
        <f aca="false">I124+N124+S124+X124+AC124+AH124+AM124+AR124+AW124+BB124</f>
        <v>0</v>
      </c>
      <c r="BD124" s="55" t="n">
        <f aca="false">ROUND((E124+F124-I124)+(J124+K124-N124)+(O124+P124-S124)+(T124+U124-X124)+(Y124+Z124-AC124)+(AD124+AE124-AH124)+(AI124+AJ124-AM124)+(AN124+AO124-AR124)+(AS124+AT124-AW124)+(AX124+AY124-BB124),2)</f>
        <v>0</v>
      </c>
      <c r="BE124" s="25" t="str">
        <f aca="false">IF(H124&gt;0.005,$C$5,IF(M124&gt;0.005,$C$6,IF(R124&gt;0.005,$C$7,IF(W124&gt;0.005,$C$8,IF(AB124&gt;0.005,$C$9,IF(AG124&gt;0.005,$C$10,IF(AL124&gt;0.005,$C$11,IF(AQ124&gt;0.005,$C$12,IF(AV124&gt;0.005,$C$13,IF(BA124&gt;0.005,$C$14,""))))))))))</f>
        <v/>
      </c>
    </row>
    <row r="125" customFormat="false" ht="15" hidden="false" customHeight="false" outlineLevel="0" collapsed="false">
      <c r="A125" s="24" t="n">
        <v>102</v>
      </c>
      <c r="B125" s="54" t="n">
        <f aca="false">EDATE($C$17,A125-1)</f>
        <v>49400</v>
      </c>
      <c r="C125" s="55" t="n">
        <f aca="false">G125+L125+Q125+V125+AA125+AF125+AK125+AP125+AU125+AZ125</f>
        <v>0</v>
      </c>
      <c r="D125" s="55" t="n">
        <f aca="false">MAX(0,$C$16-C125)</f>
        <v>5822</v>
      </c>
      <c r="E125" s="55" t="n">
        <f aca="false">ROUND(MAX(0,E124+F124-I124),2)</f>
        <v>0</v>
      </c>
      <c r="F125" s="55" t="n">
        <f aca="false">ROUND(E125*$E$5/12,2)</f>
        <v>0</v>
      </c>
      <c r="G125" s="55" t="n">
        <f aca="false">MIN($F$5,E125+F125)</f>
        <v>0</v>
      </c>
      <c r="H125" s="55" t="n">
        <f aca="false">MAX(0,MIN(E125+F125-G125,$D125))</f>
        <v>0</v>
      </c>
      <c r="I125" s="55" t="n">
        <f aca="false">G125+H125</f>
        <v>0</v>
      </c>
      <c r="J125" s="55" t="n">
        <f aca="false">ROUND(MAX(0,J124+K124-N124),2)</f>
        <v>0</v>
      </c>
      <c r="K125" s="55" t="n">
        <f aca="false">ROUND(J125*$E$6/12,2)</f>
        <v>0</v>
      </c>
      <c r="L125" s="55" t="n">
        <f aca="false">MIN($F$6,J125+K125)</f>
        <v>0</v>
      </c>
      <c r="M125" s="55" t="n">
        <f aca="false">MAX(0,MIN(J125+K125-L125,$D125-(H125)))</f>
        <v>0</v>
      </c>
      <c r="N125" s="55" t="n">
        <f aca="false">L125+M125</f>
        <v>0</v>
      </c>
      <c r="O125" s="55" t="n">
        <f aca="false">ROUND(MAX(0,O124+P124-S124),2)</f>
        <v>0</v>
      </c>
      <c r="P125" s="55" t="n">
        <f aca="false">ROUND(O125*$E$7/12,2)</f>
        <v>0</v>
      </c>
      <c r="Q125" s="55" t="n">
        <f aca="false">MIN($F$7,O125+P125)</f>
        <v>0</v>
      </c>
      <c r="R125" s="55" t="n">
        <f aca="false">MAX(0,MIN(O125+P125-Q125,$D125-(H125+M125)))</f>
        <v>0</v>
      </c>
      <c r="S125" s="55" t="n">
        <f aca="false">Q125+R125</f>
        <v>0</v>
      </c>
      <c r="T125" s="55" t="n">
        <f aca="false">ROUND(MAX(0,T124+U124-X124),2)</f>
        <v>0</v>
      </c>
      <c r="U125" s="55" t="n">
        <f aca="false">ROUND(T125*$E$8/12,2)</f>
        <v>0</v>
      </c>
      <c r="V125" s="55" t="n">
        <f aca="false">MIN($F$8,T125+U125)</f>
        <v>0</v>
      </c>
      <c r="W125" s="55" t="n">
        <f aca="false">MAX(0,MIN(T125+U125-V125,$D125-(H125+M125+R125)))</f>
        <v>0</v>
      </c>
      <c r="X125" s="55" t="n">
        <f aca="false">V125+W125</f>
        <v>0</v>
      </c>
      <c r="Y125" s="55" t="n">
        <f aca="false">ROUND(MAX(0,Y124+Z124-AC124),2)</f>
        <v>0</v>
      </c>
      <c r="Z125" s="55" t="n">
        <f aca="false">ROUND(Y125*$E$9/12,2)</f>
        <v>0</v>
      </c>
      <c r="AA125" s="55" t="n">
        <f aca="false">MIN($F$9,Y125+Z125)</f>
        <v>0</v>
      </c>
      <c r="AB125" s="55" t="n">
        <f aca="false">MAX(0,MIN(Y125+Z125-AA125,$D125-(H125+M125+R125+W125)))</f>
        <v>0</v>
      </c>
      <c r="AC125" s="55" t="n">
        <f aca="false">AA125+AB125</f>
        <v>0</v>
      </c>
      <c r="AD125" s="55" t="n">
        <f aca="false">ROUND(MAX(0,AD124+AE124-AH124),2)</f>
        <v>0</v>
      </c>
      <c r="AE125" s="55" t="n">
        <f aca="false">ROUND(AD125*$E$10/12,2)</f>
        <v>0</v>
      </c>
      <c r="AF125" s="55" t="n">
        <f aca="false">MIN($F$10,AD125+AE125)</f>
        <v>0</v>
      </c>
      <c r="AG125" s="55" t="n">
        <f aca="false">MAX(0,MIN(AD125+AE125-AF125,$D125-(H125+M125+R125+W125+AB125)))</f>
        <v>0</v>
      </c>
      <c r="AH125" s="55" t="n">
        <f aca="false">AF125+AG125</f>
        <v>0</v>
      </c>
      <c r="AI125" s="55" t="n">
        <f aca="false">ROUND(MAX(0,AI124+AJ124-AM124),2)</f>
        <v>0</v>
      </c>
      <c r="AJ125" s="55" t="n">
        <f aca="false">ROUND(AI125*$E$11/12,2)</f>
        <v>0</v>
      </c>
      <c r="AK125" s="55" t="n">
        <f aca="false">MIN($F$11,AI125+AJ125)</f>
        <v>0</v>
      </c>
      <c r="AL125" s="55" t="n">
        <f aca="false">MAX(0,MIN(AI125+AJ125-AK125,$D125-(H125+M125+R125+W125+AB125+AG125)))</f>
        <v>0</v>
      </c>
      <c r="AM125" s="55" t="n">
        <f aca="false">AK125+AL125</f>
        <v>0</v>
      </c>
      <c r="AN125" s="55" t="n">
        <f aca="false">ROUND(MAX(0,AN124+AO124-AR124),2)</f>
        <v>0</v>
      </c>
      <c r="AO125" s="55" t="n">
        <f aca="false">ROUND(AN125*$E$12/12,2)</f>
        <v>0</v>
      </c>
      <c r="AP125" s="55" t="n">
        <f aca="false">MIN($F$12,AN125+AO125)</f>
        <v>0</v>
      </c>
      <c r="AQ125" s="55" t="n">
        <f aca="false">MAX(0,MIN(AN125+AO125-AP125,$D125-(H125+M125+R125+W125+AB125+AG125+AL125)))</f>
        <v>0</v>
      </c>
      <c r="AR125" s="55" t="n">
        <f aca="false">AP125+AQ125</f>
        <v>0</v>
      </c>
      <c r="AS125" s="55" t="n">
        <f aca="false">ROUND(MAX(0,AS124+AT124-AW124),2)</f>
        <v>0</v>
      </c>
      <c r="AT125" s="55" t="n">
        <f aca="false">ROUND(AS125*$E$13/12,2)</f>
        <v>0</v>
      </c>
      <c r="AU125" s="55" t="n">
        <f aca="false">MIN($F$13,AS125+AT125)</f>
        <v>0</v>
      </c>
      <c r="AV125" s="55" t="n">
        <f aca="false">MAX(0,MIN(AS125+AT125-AU125,$D125-(H125+M125+R125+W125+AB125+AG125+AL125+AQ125)))</f>
        <v>0</v>
      </c>
      <c r="AW125" s="55" t="n">
        <f aca="false">AU125+AV125</f>
        <v>0</v>
      </c>
      <c r="AX125" s="55" t="n">
        <f aca="false">ROUND(MAX(0,AX124+AY124-BB124),2)</f>
        <v>0</v>
      </c>
      <c r="AY125" s="55" t="n">
        <f aca="false">ROUND(AX125*$E$14/12,2)</f>
        <v>0</v>
      </c>
      <c r="AZ125" s="55" t="n">
        <f aca="false">MIN($F$14,AX125+AY125)</f>
        <v>0</v>
      </c>
      <c r="BA125" s="55" t="n">
        <f aca="false">MAX(0,MIN(AX125+AY125-AZ125,$D125-(H125+M125+R125+W125+AB125+AG125+AL125+AQ125+AV125)))</f>
        <v>0</v>
      </c>
      <c r="BB125" s="55" t="n">
        <f aca="false">AZ125+BA125</f>
        <v>0</v>
      </c>
      <c r="BC125" s="55" t="n">
        <f aca="false">I125+N125+S125+X125+AC125+AH125+AM125+AR125+AW125+BB125</f>
        <v>0</v>
      </c>
      <c r="BD125" s="55" t="n">
        <f aca="false">ROUND((E125+F125-I125)+(J125+K125-N125)+(O125+P125-S125)+(T125+U125-X125)+(Y125+Z125-AC125)+(AD125+AE125-AH125)+(AI125+AJ125-AM125)+(AN125+AO125-AR125)+(AS125+AT125-AW125)+(AX125+AY125-BB125),2)</f>
        <v>0</v>
      </c>
      <c r="BE125" s="25" t="str">
        <f aca="false">IF(H125&gt;0.005,$C$5,IF(M125&gt;0.005,$C$6,IF(R125&gt;0.005,$C$7,IF(W125&gt;0.005,$C$8,IF(AB125&gt;0.005,$C$9,IF(AG125&gt;0.005,$C$10,IF(AL125&gt;0.005,$C$11,IF(AQ125&gt;0.005,$C$12,IF(AV125&gt;0.005,$C$13,IF(BA125&gt;0.005,$C$14,""))))))))))</f>
        <v/>
      </c>
    </row>
    <row r="126" customFormat="false" ht="15" hidden="false" customHeight="false" outlineLevel="0" collapsed="false">
      <c r="A126" s="24" t="n">
        <v>103</v>
      </c>
      <c r="B126" s="54" t="n">
        <f aca="false">EDATE($C$17,A126-1)</f>
        <v>49430</v>
      </c>
      <c r="C126" s="55" t="n">
        <f aca="false">G126+L126+Q126+V126+AA126+AF126+AK126+AP126+AU126+AZ126</f>
        <v>0</v>
      </c>
      <c r="D126" s="55" t="n">
        <f aca="false">MAX(0,$C$16-C126)</f>
        <v>5822</v>
      </c>
      <c r="E126" s="55" t="n">
        <f aca="false">ROUND(MAX(0,E125+F125-I125),2)</f>
        <v>0</v>
      </c>
      <c r="F126" s="55" t="n">
        <f aca="false">ROUND(E126*$E$5/12,2)</f>
        <v>0</v>
      </c>
      <c r="G126" s="55" t="n">
        <f aca="false">MIN($F$5,E126+F126)</f>
        <v>0</v>
      </c>
      <c r="H126" s="55" t="n">
        <f aca="false">MAX(0,MIN(E126+F126-G126,$D126))</f>
        <v>0</v>
      </c>
      <c r="I126" s="55" t="n">
        <f aca="false">G126+H126</f>
        <v>0</v>
      </c>
      <c r="J126" s="55" t="n">
        <f aca="false">ROUND(MAX(0,J125+K125-N125),2)</f>
        <v>0</v>
      </c>
      <c r="K126" s="55" t="n">
        <f aca="false">ROUND(J126*$E$6/12,2)</f>
        <v>0</v>
      </c>
      <c r="L126" s="55" t="n">
        <f aca="false">MIN($F$6,J126+K126)</f>
        <v>0</v>
      </c>
      <c r="M126" s="55" t="n">
        <f aca="false">MAX(0,MIN(J126+K126-L126,$D126-(H126)))</f>
        <v>0</v>
      </c>
      <c r="N126" s="55" t="n">
        <f aca="false">L126+M126</f>
        <v>0</v>
      </c>
      <c r="O126" s="55" t="n">
        <f aca="false">ROUND(MAX(0,O125+P125-S125),2)</f>
        <v>0</v>
      </c>
      <c r="P126" s="55" t="n">
        <f aca="false">ROUND(O126*$E$7/12,2)</f>
        <v>0</v>
      </c>
      <c r="Q126" s="55" t="n">
        <f aca="false">MIN($F$7,O126+P126)</f>
        <v>0</v>
      </c>
      <c r="R126" s="55" t="n">
        <f aca="false">MAX(0,MIN(O126+P126-Q126,$D126-(H126+M126)))</f>
        <v>0</v>
      </c>
      <c r="S126" s="55" t="n">
        <f aca="false">Q126+R126</f>
        <v>0</v>
      </c>
      <c r="T126" s="55" t="n">
        <f aca="false">ROUND(MAX(0,T125+U125-X125),2)</f>
        <v>0</v>
      </c>
      <c r="U126" s="55" t="n">
        <f aca="false">ROUND(T126*$E$8/12,2)</f>
        <v>0</v>
      </c>
      <c r="V126" s="55" t="n">
        <f aca="false">MIN($F$8,T126+U126)</f>
        <v>0</v>
      </c>
      <c r="W126" s="55" t="n">
        <f aca="false">MAX(0,MIN(T126+U126-V126,$D126-(H126+M126+R126)))</f>
        <v>0</v>
      </c>
      <c r="X126" s="55" t="n">
        <f aca="false">V126+W126</f>
        <v>0</v>
      </c>
      <c r="Y126" s="55" t="n">
        <f aca="false">ROUND(MAX(0,Y125+Z125-AC125),2)</f>
        <v>0</v>
      </c>
      <c r="Z126" s="55" t="n">
        <f aca="false">ROUND(Y126*$E$9/12,2)</f>
        <v>0</v>
      </c>
      <c r="AA126" s="55" t="n">
        <f aca="false">MIN($F$9,Y126+Z126)</f>
        <v>0</v>
      </c>
      <c r="AB126" s="55" t="n">
        <f aca="false">MAX(0,MIN(Y126+Z126-AA126,$D126-(H126+M126+R126+W126)))</f>
        <v>0</v>
      </c>
      <c r="AC126" s="55" t="n">
        <f aca="false">AA126+AB126</f>
        <v>0</v>
      </c>
      <c r="AD126" s="55" t="n">
        <f aca="false">ROUND(MAX(0,AD125+AE125-AH125),2)</f>
        <v>0</v>
      </c>
      <c r="AE126" s="55" t="n">
        <f aca="false">ROUND(AD126*$E$10/12,2)</f>
        <v>0</v>
      </c>
      <c r="AF126" s="55" t="n">
        <f aca="false">MIN($F$10,AD126+AE126)</f>
        <v>0</v>
      </c>
      <c r="AG126" s="55" t="n">
        <f aca="false">MAX(0,MIN(AD126+AE126-AF126,$D126-(H126+M126+R126+W126+AB126)))</f>
        <v>0</v>
      </c>
      <c r="AH126" s="55" t="n">
        <f aca="false">AF126+AG126</f>
        <v>0</v>
      </c>
      <c r="AI126" s="55" t="n">
        <f aca="false">ROUND(MAX(0,AI125+AJ125-AM125),2)</f>
        <v>0</v>
      </c>
      <c r="AJ126" s="55" t="n">
        <f aca="false">ROUND(AI126*$E$11/12,2)</f>
        <v>0</v>
      </c>
      <c r="AK126" s="55" t="n">
        <f aca="false">MIN($F$11,AI126+AJ126)</f>
        <v>0</v>
      </c>
      <c r="AL126" s="55" t="n">
        <f aca="false">MAX(0,MIN(AI126+AJ126-AK126,$D126-(H126+M126+R126+W126+AB126+AG126)))</f>
        <v>0</v>
      </c>
      <c r="AM126" s="55" t="n">
        <f aca="false">AK126+AL126</f>
        <v>0</v>
      </c>
      <c r="AN126" s="55" t="n">
        <f aca="false">ROUND(MAX(0,AN125+AO125-AR125),2)</f>
        <v>0</v>
      </c>
      <c r="AO126" s="55" t="n">
        <f aca="false">ROUND(AN126*$E$12/12,2)</f>
        <v>0</v>
      </c>
      <c r="AP126" s="55" t="n">
        <f aca="false">MIN($F$12,AN126+AO126)</f>
        <v>0</v>
      </c>
      <c r="AQ126" s="55" t="n">
        <f aca="false">MAX(0,MIN(AN126+AO126-AP126,$D126-(H126+M126+R126+W126+AB126+AG126+AL126)))</f>
        <v>0</v>
      </c>
      <c r="AR126" s="55" t="n">
        <f aca="false">AP126+AQ126</f>
        <v>0</v>
      </c>
      <c r="AS126" s="55" t="n">
        <f aca="false">ROUND(MAX(0,AS125+AT125-AW125),2)</f>
        <v>0</v>
      </c>
      <c r="AT126" s="55" t="n">
        <f aca="false">ROUND(AS126*$E$13/12,2)</f>
        <v>0</v>
      </c>
      <c r="AU126" s="55" t="n">
        <f aca="false">MIN($F$13,AS126+AT126)</f>
        <v>0</v>
      </c>
      <c r="AV126" s="55" t="n">
        <f aca="false">MAX(0,MIN(AS126+AT126-AU126,$D126-(H126+M126+R126+W126+AB126+AG126+AL126+AQ126)))</f>
        <v>0</v>
      </c>
      <c r="AW126" s="55" t="n">
        <f aca="false">AU126+AV126</f>
        <v>0</v>
      </c>
      <c r="AX126" s="55" t="n">
        <f aca="false">ROUND(MAX(0,AX125+AY125-BB125),2)</f>
        <v>0</v>
      </c>
      <c r="AY126" s="55" t="n">
        <f aca="false">ROUND(AX126*$E$14/12,2)</f>
        <v>0</v>
      </c>
      <c r="AZ126" s="55" t="n">
        <f aca="false">MIN($F$14,AX126+AY126)</f>
        <v>0</v>
      </c>
      <c r="BA126" s="55" t="n">
        <f aca="false">MAX(0,MIN(AX126+AY126-AZ126,$D126-(H126+M126+R126+W126+AB126+AG126+AL126+AQ126+AV126)))</f>
        <v>0</v>
      </c>
      <c r="BB126" s="55" t="n">
        <f aca="false">AZ126+BA126</f>
        <v>0</v>
      </c>
      <c r="BC126" s="55" t="n">
        <f aca="false">I126+N126+S126+X126+AC126+AH126+AM126+AR126+AW126+BB126</f>
        <v>0</v>
      </c>
      <c r="BD126" s="55" t="n">
        <f aca="false">ROUND((E126+F126-I126)+(J126+K126-N126)+(O126+P126-S126)+(T126+U126-X126)+(Y126+Z126-AC126)+(AD126+AE126-AH126)+(AI126+AJ126-AM126)+(AN126+AO126-AR126)+(AS126+AT126-AW126)+(AX126+AY126-BB126),2)</f>
        <v>0</v>
      </c>
      <c r="BE126" s="25" t="str">
        <f aca="false">IF(H126&gt;0.005,$C$5,IF(M126&gt;0.005,$C$6,IF(R126&gt;0.005,$C$7,IF(W126&gt;0.005,$C$8,IF(AB126&gt;0.005,$C$9,IF(AG126&gt;0.005,$C$10,IF(AL126&gt;0.005,$C$11,IF(AQ126&gt;0.005,$C$12,IF(AV126&gt;0.005,$C$13,IF(BA126&gt;0.005,$C$14,""))))))))))</f>
        <v/>
      </c>
    </row>
    <row r="127" customFormat="false" ht="15" hidden="false" customHeight="false" outlineLevel="0" collapsed="false">
      <c r="A127" s="24" t="n">
        <v>104</v>
      </c>
      <c r="B127" s="54" t="n">
        <f aca="false">EDATE($C$17,A127-1)</f>
        <v>49461</v>
      </c>
      <c r="C127" s="55" t="n">
        <f aca="false">G127+L127+Q127+V127+AA127+AF127+AK127+AP127+AU127+AZ127</f>
        <v>0</v>
      </c>
      <c r="D127" s="55" t="n">
        <f aca="false">MAX(0,$C$16-C127)</f>
        <v>5822</v>
      </c>
      <c r="E127" s="55" t="n">
        <f aca="false">ROUND(MAX(0,E126+F126-I126),2)</f>
        <v>0</v>
      </c>
      <c r="F127" s="55" t="n">
        <f aca="false">ROUND(E127*$E$5/12,2)</f>
        <v>0</v>
      </c>
      <c r="G127" s="55" t="n">
        <f aca="false">MIN($F$5,E127+F127)</f>
        <v>0</v>
      </c>
      <c r="H127" s="55" t="n">
        <f aca="false">MAX(0,MIN(E127+F127-G127,$D127))</f>
        <v>0</v>
      </c>
      <c r="I127" s="55" t="n">
        <f aca="false">G127+H127</f>
        <v>0</v>
      </c>
      <c r="J127" s="55" t="n">
        <f aca="false">ROUND(MAX(0,J126+K126-N126),2)</f>
        <v>0</v>
      </c>
      <c r="K127" s="55" t="n">
        <f aca="false">ROUND(J127*$E$6/12,2)</f>
        <v>0</v>
      </c>
      <c r="L127" s="55" t="n">
        <f aca="false">MIN($F$6,J127+K127)</f>
        <v>0</v>
      </c>
      <c r="M127" s="55" t="n">
        <f aca="false">MAX(0,MIN(J127+K127-L127,$D127-(H127)))</f>
        <v>0</v>
      </c>
      <c r="N127" s="55" t="n">
        <f aca="false">L127+M127</f>
        <v>0</v>
      </c>
      <c r="O127" s="55" t="n">
        <f aca="false">ROUND(MAX(0,O126+P126-S126),2)</f>
        <v>0</v>
      </c>
      <c r="P127" s="55" t="n">
        <f aca="false">ROUND(O127*$E$7/12,2)</f>
        <v>0</v>
      </c>
      <c r="Q127" s="55" t="n">
        <f aca="false">MIN($F$7,O127+P127)</f>
        <v>0</v>
      </c>
      <c r="R127" s="55" t="n">
        <f aca="false">MAX(0,MIN(O127+P127-Q127,$D127-(H127+M127)))</f>
        <v>0</v>
      </c>
      <c r="S127" s="55" t="n">
        <f aca="false">Q127+R127</f>
        <v>0</v>
      </c>
      <c r="T127" s="55" t="n">
        <f aca="false">ROUND(MAX(0,T126+U126-X126),2)</f>
        <v>0</v>
      </c>
      <c r="U127" s="55" t="n">
        <f aca="false">ROUND(T127*$E$8/12,2)</f>
        <v>0</v>
      </c>
      <c r="V127" s="55" t="n">
        <f aca="false">MIN($F$8,T127+U127)</f>
        <v>0</v>
      </c>
      <c r="W127" s="55" t="n">
        <f aca="false">MAX(0,MIN(T127+U127-V127,$D127-(H127+M127+R127)))</f>
        <v>0</v>
      </c>
      <c r="X127" s="55" t="n">
        <f aca="false">V127+W127</f>
        <v>0</v>
      </c>
      <c r="Y127" s="55" t="n">
        <f aca="false">ROUND(MAX(0,Y126+Z126-AC126),2)</f>
        <v>0</v>
      </c>
      <c r="Z127" s="55" t="n">
        <f aca="false">ROUND(Y127*$E$9/12,2)</f>
        <v>0</v>
      </c>
      <c r="AA127" s="55" t="n">
        <f aca="false">MIN($F$9,Y127+Z127)</f>
        <v>0</v>
      </c>
      <c r="AB127" s="55" t="n">
        <f aca="false">MAX(0,MIN(Y127+Z127-AA127,$D127-(H127+M127+R127+W127)))</f>
        <v>0</v>
      </c>
      <c r="AC127" s="55" t="n">
        <f aca="false">AA127+AB127</f>
        <v>0</v>
      </c>
      <c r="AD127" s="55" t="n">
        <f aca="false">ROUND(MAX(0,AD126+AE126-AH126),2)</f>
        <v>0</v>
      </c>
      <c r="AE127" s="55" t="n">
        <f aca="false">ROUND(AD127*$E$10/12,2)</f>
        <v>0</v>
      </c>
      <c r="AF127" s="55" t="n">
        <f aca="false">MIN($F$10,AD127+AE127)</f>
        <v>0</v>
      </c>
      <c r="AG127" s="55" t="n">
        <f aca="false">MAX(0,MIN(AD127+AE127-AF127,$D127-(H127+M127+R127+W127+AB127)))</f>
        <v>0</v>
      </c>
      <c r="AH127" s="55" t="n">
        <f aca="false">AF127+AG127</f>
        <v>0</v>
      </c>
      <c r="AI127" s="55" t="n">
        <f aca="false">ROUND(MAX(0,AI126+AJ126-AM126),2)</f>
        <v>0</v>
      </c>
      <c r="AJ127" s="55" t="n">
        <f aca="false">ROUND(AI127*$E$11/12,2)</f>
        <v>0</v>
      </c>
      <c r="AK127" s="55" t="n">
        <f aca="false">MIN($F$11,AI127+AJ127)</f>
        <v>0</v>
      </c>
      <c r="AL127" s="55" t="n">
        <f aca="false">MAX(0,MIN(AI127+AJ127-AK127,$D127-(H127+M127+R127+W127+AB127+AG127)))</f>
        <v>0</v>
      </c>
      <c r="AM127" s="55" t="n">
        <f aca="false">AK127+AL127</f>
        <v>0</v>
      </c>
      <c r="AN127" s="55" t="n">
        <f aca="false">ROUND(MAX(0,AN126+AO126-AR126),2)</f>
        <v>0</v>
      </c>
      <c r="AO127" s="55" t="n">
        <f aca="false">ROUND(AN127*$E$12/12,2)</f>
        <v>0</v>
      </c>
      <c r="AP127" s="55" t="n">
        <f aca="false">MIN($F$12,AN127+AO127)</f>
        <v>0</v>
      </c>
      <c r="AQ127" s="55" t="n">
        <f aca="false">MAX(0,MIN(AN127+AO127-AP127,$D127-(H127+M127+R127+W127+AB127+AG127+AL127)))</f>
        <v>0</v>
      </c>
      <c r="AR127" s="55" t="n">
        <f aca="false">AP127+AQ127</f>
        <v>0</v>
      </c>
      <c r="AS127" s="55" t="n">
        <f aca="false">ROUND(MAX(0,AS126+AT126-AW126),2)</f>
        <v>0</v>
      </c>
      <c r="AT127" s="55" t="n">
        <f aca="false">ROUND(AS127*$E$13/12,2)</f>
        <v>0</v>
      </c>
      <c r="AU127" s="55" t="n">
        <f aca="false">MIN($F$13,AS127+AT127)</f>
        <v>0</v>
      </c>
      <c r="AV127" s="55" t="n">
        <f aca="false">MAX(0,MIN(AS127+AT127-AU127,$D127-(H127+M127+R127+W127+AB127+AG127+AL127+AQ127)))</f>
        <v>0</v>
      </c>
      <c r="AW127" s="55" t="n">
        <f aca="false">AU127+AV127</f>
        <v>0</v>
      </c>
      <c r="AX127" s="55" t="n">
        <f aca="false">ROUND(MAX(0,AX126+AY126-BB126),2)</f>
        <v>0</v>
      </c>
      <c r="AY127" s="55" t="n">
        <f aca="false">ROUND(AX127*$E$14/12,2)</f>
        <v>0</v>
      </c>
      <c r="AZ127" s="55" t="n">
        <f aca="false">MIN($F$14,AX127+AY127)</f>
        <v>0</v>
      </c>
      <c r="BA127" s="55" t="n">
        <f aca="false">MAX(0,MIN(AX127+AY127-AZ127,$D127-(H127+M127+R127+W127+AB127+AG127+AL127+AQ127+AV127)))</f>
        <v>0</v>
      </c>
      <c r="BB127" s="55" t="n">
        <f aca="false">AZ127+BA127</f>
        <v>0</v>
      </c>
      <c r="BC127" s="55" t="n">
        <f aca="false">I127+N127+S127+X127+AC127+AH127+AM127+AR127+AW127+BB127</f>
        <v>0</v>
      </c>
      <c r="BD127" s="55" t="n">
        <f aca="false">ROUND((E127+F127-I127)+(J127+K127-N127)+(O127+P127-S127)+(T127+U127-X127)+(Y127+Z127-AC127)+(AD127+AE127-AH127)+(AI127+AJ127-AM127)+(AN127+AO127-AR127)+(AS127+AT127-AW127)+(AX127+AY127-BB127),2)</f>
        <v>0</v>
      </c>
      <c r="BE127" s="25" t="str">
        <f aca="false">IF(H127&gt;0.005,$C$5,IF(M127&gt;0.005,$C$6,IF(R127&gt;0.005,$C$7,IF(W127&gt;0.005,$C$8,IF(AB127&gt;0.005,$C$9,IF(AG127&gt;0.005,$C$10,IF(AL127&gt;0.005,$C$11,IF(AQ127&gt;0.005,$C$12,IF(AV127&gt;0.005,$C$13,IF(BA127&gt;0.005,$C$14,""))))))))))</f>
        <v/>
      </c>
    </row>
    <row r="128" customFormat="false" ht="15" hidden="false" customHeight="false" outlineLevel="0" collapsed="false">
      <c r="A128" s="24" t="n">
        <v>105</v>
      </c>
      <c r="B128" s="54" t="n">
        <f aca="false">EDATE($C$17,A128-1)</f>
        <v>49491</v>
      </c>
      <c r="C128" s="55" t="n">
        <f aca="false">G128+L128+Q128+V128+AA128+AF128+AK128+AP128+AU128+AZ128</f>
        <v>0</v>
      </c>
      <c r="D128" s="55" t="n">
        <f aca="false">MAX(0,$C$16-C128)</f>
        <v>5822</v>
      </c>
      <c r="E128" s="55" t="n">
        <f aca="false">ROUND(MAX(0,E127+F127-I127),2)</f>
        <v>0</v>
      </c>
      <c r="F128" s="55" t="n">
        <f aca="false">ROUND(E128*$E$5/12,2)</f>
        <v>0</v>
      </c>
      <c r="G128" s="55" t="n">
        <f aca="false">MIN($F$5,E128+F128)</f>
        <v>0</v>
      </c>
      <c r="H128" s="55" t="n">
        <f aca="false">MAX(0,MIN(E128+F128-G128,$D128))</f>
        <v>0</v>
      </c>
      <c r="I128" s="55" t="n">
        <f aca="false">G128+H128</f>
        <v>0</v>
      </c>
      <c r="J128" s="55" t="n">
        <f aca="false">ROUND(MAX(0,J127+K127-N127),2)</f>
        <v>0</v>
      </c>
      <c r="K128" s="55" t="n">
        <f aca="false">ROUND(J128*$E$6/12,2)</f>
        <v>0</v>
      </c>
      <c r="L128" s="55" t="n">
        <f aca="false">MIN($F$6,J128+K128)</f>
        <v>0</v>
      </c>
      <c r="M128" s="55" t="n">
        <f aca="false">MAX(0,MIN(J128+K128-L128,$D128-(H128)))</f>
        <v>0</v>
      </c>
      <c r="N128" s="55" t="n">
        <f aca="false">L128+M128</f>
        <v>0</v>
      </c>
      <c r="O128" s="55" t="n">
        <f aca="false">ROUND(MAX(0,O127+P127-S127),2)</f>
        <v>0</v>
      </c>
      <c r="P128" s="55" t="n">
        <f aca="false">ROUND(O128*$E$7/12,2)</f>
        <v>0</v>
      </c>
      <c r="Q128" s="55" t="n">
        <f aca="false">MIN($F$7,O128+P128)</f>
        <v>0</v>
      </c>
      <c r="R128" s="55" t="n">
        <f aca="false">MAX(0,MIN(O128+P128-Q128,$D128-(H128+M128)))</f>
        <v>0</v>
      </c>
      <c r="S128" s="55" t="n">
        <f aca="false">Q128+R128</f>
        <v>0</v>
      </c>
      <c r="T128" s="55" t="n">
        <f aca="false">ROUND(MAX(0,T127+U127-X127),2)</f>
        <v>0</v>
      </c>
      <c r="U128" s="55" t="n">
        <f aca="false">ROUND(T128*$E$8/12,2)</f>
        <v>0</v>
      </c>
      <c r="V128" s="55" t="n">
        <f aca="false">MIN($F$8,T128+U128)</f>
        <v>0</v>
      </c>
      <c r="W128" s="55" t="n">
        <f aca="false">MAX(0,MIN(T128+U128-V128,$D128-(H128+M128+R128)))</f>
        <v>0</v>
      </c>
      <c r="X128" s="55" t="n">
        <f aca="false">V128+W128</f>
        <v>0</v>
      </c>
      <c r="Y128" s="55" t="n">
        <f aca="false">ROUND(MAX(0,Y127+Z127-AC127),2)</f>
        <v>0</v>
      </c>
      <c r="Z128" s="55" t="n">
        <f aca="false">ROUND(Y128*$E$9/12,2)</f>
        <v>0</v>
      </c>
      <c r="AA128" s="55" t="n">
        <f aca="false">MIN($F$9,Y128+Z128)</f>
        <v>0</v>
      </c>
      <c r="AB128" s="55" t="n">
        <f aca="false">MAX(0,MIN(Y128+Z128-AA128,$D128-(H128+M128+R128+W128)))</f>
        <v>0</v>
      </c>
      <c r="AC128" s="55" t="n">
        <f aca="false">AA128+AB128</f>
        <v>0</v>
      </c>
      <c r="AD128" s="55" t="n">
        <f aca="false">ROUND(MAX(0,AD127+AE127-AH127),2)</f>
        <v>0</v>
      </c>
      <c r="AE128" s="55" t="n">
        <f aca="false">ROUND(AD128*$E$10/12,2)</f>
        <v>0</v>
      </c>
      <c r="AF128" s="55" t="n">
        <f aca="false">MIN($F$10,AD128+AE128)</f>
        <v>0</v>
      </c>
      <c r="AG128" s="55" t="n">
        <f aca="false">MAX(0,MIN(AD128+AE128-AF128,$D128-(H128+M128+R128+W128+AB128)))</f>
        <v>0</v>
      </c>
      <c r="AH128" s="55" t="n">
        <f aca="false">AF128+AG128</f>
        <v>0</v>
      </c>
      <c r="AI128" s="55" t="n">
        <f aca="false">ROUND(MAX(0,AI127+AJ127-AM127),2)</f>
        <v>0</v>
      </c>
      <c r="AJ128" s="55" t="n">
        <f aca="false">ROUND(AI128*$E$11/12,2)</f>
        <v>0</v>
      </c>
      <c r="AK128" s="55" t="n">
        <f aca="false">MIN($F$11,AI128+AJ128)</f>
        <v>0</v>
      </c>
      <c r="AL128" s="55" t="n">
        <f aca="false">MAX(0,MIN(AI128+AJ128-AK128,$D128-(H128+M128+R128+W128+AB128+AG128)))</f>
        <v>0</v>
      </c>
      <c r="AM128" s="55" t="n">
        <f aca="false">AK128+AL128</f>
        <v>0</v>
      </c>
      <c r="AN128" s="55" t="n">
        <f aca="false">ROUND(MAX(0,AN127+AO127-AR127),2)</f>
        <v>0</v>
      </c>
      <c r="AO128" s="55" t="n">
        <f aca="false">ROUND(AN128*$E$12/12,2)</f>
        <v>0</v>
      </c>
      <c r="AP128" s="55" t="n">
        <f aca="false">MIN($F$12,AN128+AO128)</f>
        <v>0</v>
      </c>
      <c r="AQ128" s="55" t="n">
        <f aca="false">MAX(0,MIN(AN128+AO128-AP128,$D128-(H128+M128+R128+W128+AB128+AG128+AL128)))</f>
        <v>0</v>
      </c>
      <c r="AR128" s="55" t="n">
        <f aca="false">AP128+AQ128</f>
        <v>0</v>
      </c>
      <c r="AS128" s="55" t="n">
        <f aca="false">ROUND(MAX(0,AS127+AT127-AW127),2)</f>
        <v>0</v>
      </c>
      <c r="AT128" s="55" t="n">
        <f aca="false">ROUND(AS128*$E$13/12,2)</f>
        <v>0</v>
      </c>
      <c r="AU128" s="55" t="n">
        <f aca="false">MIN($F$13,AS128+AT128)</f>
        <v>0</v>
      </c>
      <c r="AV128" s="55" t="n">
        <f aca="false">MAX(0,MIN(AS128+AT128-AU128,$D128-(H128+M128+R128+W128+AB128+AG128+AL128+AQ128)))</f>
        <v>0</v>
      </c>
      <c r="AW128" s="55" t="n">
        <f aca="false">AU128+AV128</f>
        <v>0</v>
      </c>
      <c r="AX128" s="55" t="n">
        <f aca="false">ROUND(MAX(0,AX127+AY127-BB127),2)</f>
        <v>0</v>
      </c>
      <c r="AY128" s="55" t="n">
        <f aca="false">ROUND(AX128*$E$14/12,2)</f>
        <v>0</v>
      </c>
      <c r="AZ128" s="55" t="n">
        <f aca="false">MIN($F$14,AX128+AY128)</f>
        <v>0</v>
      </c>
      <c r="BA128" s="55" t="n">
        <f aca="false">MAX(0,MIN(AX128+AY128-AZ128,$D128-(H128+M128+R128+W128+AB128+AG128+AL128+AQ128+AV128)))</f>
        <v>0</v>
      </c>
      <c r="BB128" s="55" t="n">
        <f aca="false">AZ128+BA128</f>
        <v>0</v>
      </c>
      <c r="BC128" s="55" t="n">
        <f aca="false">I128+N128+S128+X128+AC128+AH128+AM128+AR128+AW128+BB128</f>
        <v>0</v>
      </c>
      <c r="BD128" s="55" t="n">
        <f aca="false">ROUND((E128+F128-I128)+(J128+K128-N128)+(O128+P128-S128)+(T128+U128-X128)+(Y128+Z128-AC128)+(AD128+AE128-AH128)+(AI128+AJ128-AM128)+(AN128+AO128-AR128)+(AS128+AT128-AW128)+(AX128+AY128-BB128),2)</f>
        <v>0</v>
      </c>
      <c r="BE128" s="25" t="str">
        <f aca="false">IF(H128&gt;0.005,$C$5,IF(M128&gt;0.005,$C$6,IF(R128&gt;0.005,$C$7,IF(W128&gt;0.005,$C$8,IF(AB128&gt;0.005,$C$9,IF(AG128&gt;0.005,$C$10,IF(AL128&gt;0.005,$C$11,IF(AQ128&gt;0.005,$C$12,IF(AV128&gt;0.005,$C$13,IF(BA128&gt;0.005,$C$14,""))))))))))</f>
        <v/>
      </c>
    </row>
    <row r="129" customFormat="false" ht="15" hidden="false" customHeight="false" outlineLevel="0" collapsed="false">
      <c r="A129" s="24" t="n">
        <v>106</v>
      </c>
      <c r="B129" s="54" t="n">
        <f aca="false">EDATE($C$17,A129-1)</f>
        <v>49522</v>
      </c>
      <c r="C129" s="55" t="n">
        <f aca="false">G129+L129+Q129+V129+AA129+AF129+AK129+AP129+AU129+AZ129</f>
        <v>0</v>
      </c>
      <c r="D129" s="55" t="n">
        <f aca="false">MAX(0,$C$16-C129)</f>
        <v>5822</v>
      </c>
      <c r="E129" s="55" t="n">
        <f aca="false">ROUND(MAX(0,E128+F128-I128),2)</f>
        <v>0</v>
      </c>
      <c r="F129" s="55" t="n">
        <f aca="false">ROUND(E129*$E$5/12,2)</f>
        <v>0</v>
      </c>
      <c r="G129" s="55" t="n">
        <f aca="false">MIN($F$5,E129+F129)</f>
        <v>0</v>
      </c>
      <c r="H129" s="55" t="n">
        <f aca="false">MAX(0,MIN(E129+F129-G129,$D129))</f>
        <v>0</v>
      </c>
      <c r="I129" s="55" t="n">
        <f aca="false">G129+H129</f>
        <v>0</v>
      </c>
      <c r="J129" s="55" t="n">
        <f aca="false">ROUND(MAX(0,J128+K128-N128),2)</f>
        <v>0</v>
      </c>
      <c r="K129" s="55" t="n">
        <f aca="false">ROUND(J129*$E$6/12,2)</f>
        <v>0</v>
      </c>
      <c r="L129" s="55" t="n">
        <f aca="false">MIN($F$6,J129+K129)</f>
        <v>0</v>
      </c>
      <c r="M129" s="55" t="n">
        <f aca="false">MAX(0,MIN(J129+K129-L129,$D129-(H129)))</f>
        <v>0</v>
      </c>
      <c r="N129" s="55" t="n">
        <f aca="false">L129+M129</f>
        <v>0</v>
      </c>
      <c r="O129" s="55" t="n">
        <f aca="false">ROUND(MAX(0,O128+P128-S128),2)</f>
        <v>0</v>
      </c>
      <c r="P129" s="55" t="n">
        <f aca="false">ROUND(O129*$E$7/12,2)</f>
        <v>0</v>
      </c>
      <c r="Q129" s="55" t="n">
        <f aca="false">MIN($F$7,O129+P129)</f>
        <v>0</v>
      </c>
      <c r="R129" s="55" t="n">
        <f aca="false">MAX(0,MIN(O129+P129-Q129,$D129-(H129+M129)))</f>
        <v>0</v>
      </c>
      <c r="S129" s="55" t="n">
        <f aca="false">Q129+R129</f>
        <v>0</v>
      </c>
      <c r="T129" s="55" t="n">
        <f aca="false">ROUND(MAX(0,T128+U128-X128),2)</f>
        <v>0</v>
      </c>
      <c r="U129" s="55" t="n">
        <f aca="false">ROUND(T129*$E$8/12,2)</f>
        <v>0</v>
      </c>
      <c r="V129" s="55" t="n">
        <f aca="false">MIN($F$8,T129+U129)</f>
        <v>0</v>
      </c>
      <c r="W129" s="55" t="n">
        <f aca="false">MAX(0,MIN(T129+U129-V129,$D129-(H129+M129+R129)))</f>
        <v>0</v>
      </c>
      <c r="X129" s="55" t="n">
        <f aca="false">V129+W129</f>
        <v>0</v>
      </c>
      <c r="Y129" s="55" t="n">
        <f aca="false">ROUND(MAX(0,Y128+Z128-AC128),2)</f>
        <v>0</v>
      </c>
      <c r="Z129" s="55" t="n">
        <f aca="false">ROUND(Y129*$E$9/12,2)</f>
        <v>0</v>
      </c>
      <c r="AA129" s="55" t="n">
        <f aca="false">MIN($F$9,Y129+Z129)</f>
        <v>0</v>
      </c>
      <c r="AB129" s="55" t="n">
        <f aca="false">MAX(0,MIN(Y129+Z129-AA129,$D129-(H129+M129+R129+W129)))</f>
        <v>0</v>
      </c>
      <c r="AC129" s="55" t="n">
        <f aca="false">AA129+AB129</f>
        <v>0</v>
      </c>
      <c r="AD129" s="55" t="n">
        <f aca="false">ROUND(MAX(0,AD128+AE128-AH128),2)</f>
        <v>0</v>
      </c>
      <c r="AE129" s="55" t="n">
        <f aca="false">ROUND(AD129*$E$10/12,2)</f>
        <v>0</v>
      </c>
      <c r="AF129" s="55" t="n">
        <f aca="false">MIN($F$10,AD129+AE129)</f>
        <v>0</v>
      </c>
      <c r="AG129" s="55" t="n">
        <f aca="false">MAX(0,MIN(AD129+AE129-AF129,$D129-(H129+M129+R129+W129+AB129)))</f>
        <v>0</v>
      </c>
      <c r="AH129" s="55" t="n">
        <f aca="false">AF129+AG129</f>
        <v>0</v>
      </c>
      <c r="AI129" s="55" t="n">
        <f aca="false">ROUND(MAX(0,AI128+AJ128-AM128),2)</f>
        <v>0</v>
      </c>
      <c r="AJ129" s="55" t="n">
        <f aca="false">ROUND(AI129*$E$11/12,2)</f>
        <v>0</v>
      </c>
      <c r="AK129" s="55" t="n">
        <f aca="false">MIN($F$11,AI129+AJ129)</f>
        <v>0</v>
      </c>
      <c r="AL129" s="55" t="n">
        <f aca="false">MAX(0,MIN(AI129+AJ129-AK129,$D129-(H129+M129+R129+W129+AB129+AG129)))</f>
        <v>0</v>
      </c>
      <c r="AM129" s="55" t="n">
        <f aca="false">AK129+AL129</f>
        <v>0</v>
      </c>
      <c r="AN129" s="55" t="n">
        <f aca="false">ROUND(MAX(0,AN128+AO128-AR128),2)</f>
        <v>0</v>
      </c>
      <c r="AO129" s="55" t="n">
        <f aca="false">ROUND(AN129*$E$12/12,2)</f>
        <v>0</v>
      </c>
      <c r="AP129" s="55" t="n">
        <f aca="false">MIN($F$12,AN129+AO129)</f>
        <v>0</v>
      </c>
      <c r="AQ129" s="55" t="n">
        <f aca="false">MAX(0,MIN(AN129+AO129-AP129,$D129-(H129+M129+R129+W129+AB129+AG129+AL129)))</f>
        <v>0</v>
      </c>
      <c r="AR129" s="55" t="n">
        <f aca="false">AP129+AQ129</f>
        <v>0</v>
      </c>
      <c r="AS129" s="55" t="n">
        <f aca="false">ROUND(MAX(0,AS128+AT128-AW128),2)</f>
        <v>0</v>
      </c>
      <c r="AT129" s="55" t="n">
        <f aca="false">ROUND(AS129*$E$13/12,2)</f>
        <v>0</v>
      </c>
      <c r="AU129" s="55" t="n">
        <f aca="false">MIN($F$13,AS129+AT129)</f>
        <v>0</v>
      </c>
      <c r="AV129" s="55" t="n">
        <f aca="false">MAX(0,MIN(AS129+AT129-AU129,$D129-(H129+M129+R129+W129+AB129+AG129+AL129+AQ129)))</f>
        <v>0</v>
      </c>
      <c r="AW129" s="55" t="n">
        <f aca="false">AU129+AV129</f>
        <v>0</v>
      </c>
      <c r="AX129" s="55" t="n">
        <f aca="false">ROUND(MAX(0,AX128+AY128-BB128),2)</f>
        <v>0</v>
      </c>
      <c r="AY129" s="55" t="n">
        <f aca="false">ROUND(AX129*$E$14/12,2)</f>
        <v>0</v>
      </c>
      <c r="AZ129" s="55" t="n">
        <f aca="false">MIN($F$14,AX129+AY129)</f>
        <v>0</v>
      </c>
      <c r="BA129" s="55" t="n">
        <f aca="false">MAX(0,MIN(AX129+AY129-AZ129,$D129-(H129+M129+R129+W129+AB129+AG129+AL129+AQ129+AV129)))</f>
        <v>0</v>
      </c>
      <c r="BB129" s="55" t="n">
        <f aca="false">AZ129+BA129</f>
        <v>0</v>
      </c>
      <c r="BC129" s="55" t="n">
        <f aca="false">I129+N129+S129+X129+AC129+AH129+AM129+AR129+AW129+BB129</f>
        <v>0</v>
      </c>
      <c r="BD129" s="55" t="n">
        <f aca="false">ROUND((E129+F129-I129)+(J129+K129-N129)+(O129+P129-S129)+(T129+U129-X129)+(Y129+Z129-AC129)+(AD129+AE129-AH129)+(AI129+AJ129-AM129)+(AN129+AO129-AR129)+(AS129+AT129-AW129)+(AX129+AY129-BB129),2)</f>
        <v>0</v>
      </c>
      <c r="BE129" s="25" t="str">
        <f aca="false">IF(H129&gt;0.005,$C$5,IF(M129&gt;0.005,$C$6,IF(R129&gt;0.005,$C$7,IF(W129&gt;0.005,$C$8,IF(AB129&gt;0.005,$C$9,IF(AG129&gt;0.005,$C$10,IF(AL129&gt;0.005,$C$11,IF(AQ129&gt;0.005,$C$12,IF(AV129&gt;0.005,$C$13,IF(BA129&gt;0.005,$C$14,""))))))))))</f>
        <v/>
      </c>
    </row>
    <row r="130" customFormat="false" ht="15" hidden="false" customHeight="false" outlineLevel="0" collapsed="false">
      <c r="A130" s="24" t="n">
        <v>107</v>
      </c>
      <c r="B130" s="54" t="n">
        <f aca="false">EDATE($C$17,A130-1)</f>
        <v>49553</v>
      </c>
      <c r="C130" s="55" t="n">
        <f aca="false">G130+L130+Q130+V130+AA130+AF130+AK130+AP130+AU130+AZ130</f>
        <v>0</v>
      </c>
      <c r="D130" s="55" t="n">
        <f aca="false">MAX(0,$C$16-C130)</f>
        <v>5822</v>
      </c>
      <c r="E130" s="55" t="n">
        <f aca="false">ROUND(MAX(0,E129+F129-I129),2)</f>
        <v>0</v>
      </c>
      <c r="F130" s="55" t="n">
        <f aca="false">ROUND(E130*$E$5/12,2)</f>
        <v>0</v>
      </c>
      <c r="G130" s="55" t="n">
        <f aca="false">MIN($F$5,E130+F130)</f>
        <v>0</v>
      </c>
      <c r="H130" s="55" t="n">
        <f aca="false">MAX(0,MIN(E130+F130-G130,$D130))</f>
        <v>0</v>
      </c>
      <c r="I130" s="55" t="n">
        <f aca="false">G130+H130</f>
        <v>0</v>
      </c>
      <c r="J130" s="55" t="n">
        <f aca="false">ROUND(MAX(0,J129+K129-N129),2)</f>
        <v>0</v>
      </c>
      <c r="K130" s="55" t="n">
        <f aca="false">ROUND(J130*$E$6/12,2)</f>
        <v>0</v>
      </c>
      <c r="L130" s="55" t="n">
        <f aca="false">MIN($F$6,J130+K130)</f>
        <v>0</v>
      </c>
      <c r="M130" s="55" t="n">
        <f aca="false">MAX(0,MIN(J130+K130-L130,$D130-(H130)))</f>
        <v>0</v>
      </c>
      <c r="N130" s="55" t="n">
        <f aca="false">L130+M130</f>
        <v>0</v>
      </c>
      <c r="O130" s="55" t="n">
        <f aca="false">ROUND(MAX(0,O129+P129-S129),2)</f>
        <v>0</v>
      </c>
      <c r="P130" s="55" t="n">
        <f aca="false">ROUND(O130*$E$7/12,2)</f>
        <v>0</v>
      </c>
      <c r="Q130" s="55" t="n">
        <f aca="false">MIN($F$7,O130+P130)</f>
        <v>0</v>
      </c>
      <c r="R130" s="55" t="n">
        <f aca="false">MAX(0,MIN(O130+P130-Q130,$D130-(H130+M130)))</f>
        <v>0</v>
      </c>
      <c r="S130" s="55" t="n">
        <f aca="false">Q130+R130</f>
        <v>0</v>
      </c>
      <c r="T130" s="55" t="n">
        <f aca="false">ROUND(MAX(0,T129+U129-X129),2)</f>
        <v>0</v>
      </c>
      <c r="U130" s="55" t="n">
        <f aca="false">ROUND(T130*$E$8/12,2)</f>
        <v>0</v>
      </c>
      <c r="V130" s="55" t="n">
        <f aca="false">MIN($F$8,T130+U130)</f>
        <v>0</v>
      </c>
      <c r="W130" s="55" t="n">
        <f aca="false">MAX(0,MIN(T130+U130-V130,$D130-(H130+M130+R130)))</f>
        <v>0</v>
      </c>
      <c r="X130" s="55" t="n">
        <f aca="false">V130+W130</f>
        <v>0</v>
      </c>
      <c r="Y130" s="55" t="n">
        <f aca="false">ROUND(MAX(0,Y129+Z129-AC129),2)</f>
        <v>0</v>
      </c>
      <c r="Z130" s="55" t="n">
        <f aca="false">ROUND(Y130*$E$9/12,2)</f>
        <v>0</v>
      </c>
      <c r="AA130" s="55" t="n">
        <f aca="false">MIN($F$9,Y130+Z130)</f>
        <v>0</v>
      </c>
      <c r="AB130" s="55" t="n">
        <f aca="false">MAX(0,MIN(Y130+Z130-AA130,$D130-(H130+M130+R130+W130)))</f>
        <v>0</v>
      </c>
      <c r="AC130" s="55" t="n">
        <f aca="false">AA130+AB130</f>
        <v>0</v>
      </c>
      <c r="AD130" s="55" t="n">
        <f aca="false">ROUND(MAX(0,AD129+AE129-AH129),2)</f>
        <v>0</v>
      </c>
      <c r="AE130" s="55" t="n">
        <f aca="false">ROUND(AD130*$E$10/12,2)</f>
        <v>0</v>
      </c>
      <c r="AF130" s="55" t="n">
        <f aca="false">MIN($F$10,AD130+AE130)</f>
        <v>0</v>
      </c>
      <c r="AG130" s="55" t="n">
        <f aca="false">MAX(0,MIN(AD130+AE130-AF130,$D130-(H130+M130+R130+W130+AB130)))</f>
        <v>0</v>
      </c>
      <c r="AH130" s="55" t="n">
        <f aca="false">AF130+AG130</f>
        <v>0</v>
      </c>
      <c r="AI130" s="55" t="n">
        <f aca="false">ROUND(MAX(0,AI129+AJ129-AM129),2)</f>
        <v>0</v>
      </c>
      <c r="AJ130" s="55" t="n">
        <f aca="false">ROUND(AI130*$E$11/12,2)</f>
        <v>0</v>
      </c>
      <c r="AK130" s="55" t="n">
        <f aca="false">MIN($F$11,AI130+AJ130)</f>
        <v>0</v>
      </c>
      <c r="AL130" s="55" t="n">
        <f aca="false">MAX(0,MIN(AI130+AJ130-AK130,$D130-(H130+M130+R130+W130+AB130+AG130)))</f>
        <v>0</v>
      </c>
      <c r="AM130" s="55" t="n">
        <f aca="false">AK130+AL130</f>
        <v>0</v>
      </c>
      <c r="AN130" s="55" t="n">
        <f aca="false">ROUND(MAX(0,AN129+AO129-AR129),2)</f>
        <v>0</v>
      </c>
      <c r="AO130" s="55" t="n">
        <f aca="false">ROUND(AN130*$E$12/12,2)</f>
        <v>0</v>
      </c>
      <c r="AP130" s="55" t="n">
        <f aca="false">MIN($F$12,AN130+AO130)</f>
        <v>0</v>
      </c>
      <c r="AQ130" s="55" t="n">
        <f aca="false">MAX(0,MIN(AN130+AO130-AP130,$D130-(H130+M130+R130+W130+AB130+AG130+AL130)))</f>
        <v>0</v>
      </c>
      <c r="AR130" s="55" t="n">
        <f aca="false">AP130+AQ130</f>
        <v>0</v>
      </c>
      <c r="AS130" s="55" t="n">
        <f aca="false">ROUND(MAX(0,AS129+AT129-AW129),2)</f>
        <v>0</v>
      </c>
      <c r="AT130" s="55" t="n">
        <f aca="false">ROUND(AS130*$E$13/12,2)</f>
        <v>0</v>
      </c>
      <c r="AU130" s="55" t="n">
        <f aca="false">MIN($F$13,AS130+AT130)</f>
        <v>0</v>
      </c>
      <c r="AV130" s="55" t="n">
        <f aca="false">MAX(0,MIN(AS130+AT130-AU130,$D130-(H130+M130+R130+W130+AB130+AG130+AL130+AQ130)))</f>
        <v>0</v>
      </c>
      <c r="AW130" s="55" t="n">
        <f aca="false">AU130+AV130</f>
        <v>0</v>
      </c>
      <c r="AX130" s="55" t="n">
        <f aca="false">ROUND(MAX(0,AX129+AY129-BB129),2)</f>
        <v>0</v>
      </c>
      <c r="AY130" s="55" t="n">
        <f aca="false">ROUND(AX130*$E$14/12,2)</f>
        <v>0</v>
      </c>
      <c r="AZ130" s="55" t="n">
        <f aca="false">MIN($F$14,AX130+AY130)</f>
        <v>0</v>
      </c>
      <c r="BA130" s="55" t="n">
        <f aca="false">MAX(0,MIN(AX130+AY130-AZ130,$D130-(H130+M130+R130+W130+AB130+AG130+AL130+AQ130+AV130)))</f>
        <v>0</v>
      </c>
      <c r="BB130" s="55" t="n">
        <f aca="false">AZ130+BA130</f>
        <v>0</v>
      </c>
      <c r="BC130" s="55" t="n">
        <f aca="false">I130+N130+S130+X130+AC130+AH130+AM130+AR130+AW130+BB130</f>
        <v>0</v>
      </c>
      <c r="BD130" s="55" t="n">
        <f aca="false">ROUND((E130+F130-I130)+(J130+K130-N130)+(O130+P130-S130)+(T130+U130-X130)+(Y130+Z130-AC130)+(AD130+AE130-AH130)+(AI130+AJ130-AM130)+(AN130+AO130-AR130)+(AS130+AT130-AW130)+(AX130+AY130-BB130),2)</f>
        <v>0</v>
      </c>
      <c r="BE130" s="25" t="str">
        <f aca="false">IF(H130&gt;0.005,$C$5,IF(M130&gt;0.005,$C$6,IF(R130&gt;0.005,$C$7,IF(W130&gt;0.005,$C$8,IF(AB130&gt;0.005,$C$9,IF(AG130&gt;0.005,$C$10,IF(AL130&gt;0.005,$C$11,IF(AQ130&gt;0.005,$C$12,IF(AV130&gt;0.005,$C$13,IF(BA130&gt;0.005,$C$14,""))))))))))</f>
        <v/>
      </c>
    </row>
    <row r="131" customFormat="false" ht="15" hidden="false" customHeight="false" outlineLevel="0" collapsed="false">
      <c r="A131" s="24" t="n">
        <v>108</v>
      </c>
      <c r="B131" s="54" t="n">
        <f aca="false">EDATE($C$17,A131-1)</f>
        <v>49583</v>
      </c>
      <c r="C131" s="55" t="n">
        <f aca="false">G131+L131+Q131+V131+AA131+AF131+AK131+AP131+AU131+AZ131</f>
        <v>0</v>
      </c>
      <c r="D131" s="55" t="n">
        <f aca="false">MAX(0,$C$16-C131)</f>
        <v>5822</v>
      </c>
      <c r="E131" s="55" t="n">
        <f aca="false">ROUND(MAX(0,E130+F130-I130),2)</f>
        <v>0</v>
      </c>
      <c r="F131" s="55" t="n">
        <f aca="false">ROUND(E131*$E$5/12,2)</f>
        <v>0</v>
      </c>
      <c r="G131" s="55" t="n">
        <f aca="false">MIN($F$5,E131+F131)</f>
        <v>0</v>
      </c>
      <c r="H131" s="55" t="n">
        <f aca="false">MAX(0,MIN(E131+F131-G131,$D131))</f>
        <v>0</v>
      </c>
      <c r="I131" s="55" t="n">
        <f aca="false">G131+H131</f>
        <v>0</v>
      </c>
      <c r="J131" s="55" t="n">
        <f aca="false">ROUND(MAX(0,J130+K130-N130),2)</f>
        <v>0</v>
      </c>
      <c r="K131" s="55" t="n">
        <f aca="false">ROUND(J131*$E$6/12,2)</f>
        <v>0</v>
      </c>
      <c r="L131" s="55" t="n">
        <f aca="false">MIN($F$6,J131+K131)</f>
        <v>0</v>
      </c>
      <c r="M131" s="55" t="n">
        <f aca="false">MAX(0,MIN(J131+K131-L131,$D131-(H131)))</f>
        <v>0</v>
      </c>
      <c r="N131" s="55" t="n">
        <f aca="false">L131+M131</f>
        <v>0</v>
      </c>
      <c r="O131" s="55" t="n">
        <f aca="false">ROUND(MAX(0,O130+P130-S130),2)</f>
        <v>0</v>
      </c>
      <c r="P131" s="55" t="n">
        <f aca="false">ROUND(O131*$E$7/12,2)</f>
        <v>0</v>
      </c>
      <c r="Q131" s="55" t="n">
        <f aca="false">MIN($F$7,O131+P131)</f>
        <v>0</v>
      </c>
      <c r="R131" s="55" t="n">
        <f aca="false">MAX(0,MIN(O131+P131-Q131,$D131-(H131+M131)))</f>
        <v>0</v>
      </c>
      <c r="S131" s="55" t="n">
        <f aca="false">Q131+R131</f>
        <v>0</v>
      </c>
      <c r="T131" s="55" t="n">
        <f aca="false">ROUND(MAX(0,T130+U130-X130),2)</f>
        <v>0</v>
      </c>
      <c r="U131" s="55" t="n">
        <f aca="false">ROUND(T131*$E$8/12,2)</f>
        <v>0</v>
      </c>
      <c r="V131" s="55" t="n">
        <f aca="false">MIN($F$8,T131+U131)</f>
        <v>0</v>
      </c>
      <c r="W131" s="55" t="n">
        <f aca="false">MAX(0,MIN(T131+U131-V131,$D131-(H131+M131+R131)))</f>
        <v>0</v>
      </c>
      <c r="X131" s="55" t="n">
        <f aca="false">V131+W131</f>
        <v>0</v>
      </c>
      <c r="Y131" s="55" t="n">
        <f aca="false">ROUND(MAX(0,Y130+Z130-AC130),2)</f>
        <v>0</v>
      </c>
      <c r="Z131" s="55" t="n">
        <f aca="false">ROUND(Y131*$E$9/12,2)</f>
        <v>0</v>
      </c>
      <c r="AA131" s="55" t="n">
        <f aca="false">MIN($F$9,Y131+Z131)</f>
        <v>0</v>
      </c>
      <c r="AB131" s="55" t="n">
        <f aca="false">MAX(0,MIN(Y131+Z131-AA131,$D131-(H131+M131+R131+W131)))</f>
        <v>0</v>
      </c>
      <c r="AC131" s="55" t="n">
        <f aca="false">AA131+AB131</f>
        <v>0</v>
      </c>
      <c r="AD131" s="55" t="n">
        <f aca="false">ROUND(MAX(0,AD130+AE130-AH130),2)</f>
        <v>0</v>
      </c>
      <c r="AE131" s="55" t="n">
        <f aca="false">ROUND(AD131*$E$10/12,2)</f>
        <v>0</v>
      </c>
      <c r="AF131" s="55" t="n">
        <f aca="false">MIN($F$10,AD131+AE131)</f>
        <v>0</v>
      </c>
      <c r="AG131" s="55" t="n">
        <f aca="false">MAX(0,MIN(AD131+AE131-AF131,$D131-(H131+M131+R131+W131+AB131)))</f>
        <v>0</v>
      </c>
      <c r="AH131" s="55" t="n">
        <f aca="false">AF131+AG131</f>
        <v>0</v>
      </c>
      <c r="AI131" s="55" t="n">
        <f aca="false">ROUND(MAX(0,AI130+AJ130-AM130),2)</f>
        <v>0</v>
      </c>
      <c r="AJ131" s="55" t="n">
        <f aca="false">ROUND(AI131*$E$11/12,2)</f>
        <v>0</v>
      </c>
      <c r="AK131" s="55" t="n">
        <f aca="false">MIN($F$11,AI131+AJ131)</f>
        <v>0</v>
      </c>
      <c r="AL131" s="55" t="n">
        <f aca="false">MAX(0,MIN(AI131+AJ131-AK131,$D131-(H131+M131+R131+W131+AB131+AG131)))</f>
        <v>0</v>
      </c>
      <c r="AM131" s="55" t="n">
        <f aca="false">AK131+AL131</f>
        <v>0</v>
      </c>
      <c r="AN131" s="55" t="n">
        <f aca="false">ROUND(MAX(0,AN130+AO130-AR130),2)</f>
        <v>0</v>
      </c>
      <c r="AO131" s="55" t="n">
        <f aca="false">ROUND(AN131*$E$12/12,2)</f>
        <v>0</v>
      </c>
      <c r="AP131" s="55" t="n">
        <f aca="false">MIN($F$12,AN131+AO131)</f>
        <v>0</v>
      </c>
      <c r="AQ131" s="55" t="n">
        <f aca="false">MAX(0,MIN(AN131+AO131-AP131,$D131-(H131+M131+R131+W131+AB131+AG131+AL131)))</f>
        <v>0</v>
      </c>
      <c r="AR131" s="55" t="n">
        <f aca="false">AP131+AQ131</f>
        <v>0</v>
      </c>
      <c r="AS131" s="55" t="n">
        <f aca="false">ROUND(MAX(0,AS130+AT130-AW130),2)</f>
        <v>0</v>
      </c>
      <c r="AT131" s="55" t="n">
        <f aca="false">ROUND(AS131*$E$13/12,2)</f>
        <v>0</v>
      </c>
      <c r="AU131" s="55" t="n">
        <f aca="false">MIN($F$13,AS131+AT131)</f>
        <v>0</v>
      </c>
      <c r="AV131" s="55" t="n">
        <f aca="false">MAX(0,MIN(AS131+AT131-AU131,$D131-(H131+M131+R131+W131+AB131+AG131+AL131+AQ131)))</f>
        <v>0</v>
      </c>
      <c r="AW131" s="55" t="n">
        <f aca="false">AU131+AV131</f>
        <v>0</v>
      </c>
      <c r="AX131" s="55" t="n">
        <f aca="false">ROUND(MAX(0,AX130+AY130-BB130),2)</f>
        <v>0</v>
      </c>
      <c r="AY131" s="55" t="n">
        <f aca="false">ROUND(AX131*$E$14/12,2)</f>
        <v>0</v>
      </c>
      <c r="AZ131" s="55" t="n">
        <f aca="false">MIN($F$14,AX131+AY131)</f>
        <v>0</v>
      </c>
      <c r="BA131" s="55" t="n">
        <f aca="false">MAX(0,MIN(AX131+AY131-AZ131,$D131-(H131+M131+R131+W131+AB131+AG131+AL131+AQ131+AV131)))</f>
        <v>0</v>
      </c>
      <c r="BB131" s="55" t="n">
        <f aca="false">AZ131+BA131</f>
        <v>0</v>
      </c>
      <c r="BC131" s="55" t="n">
        <f aca="false">I131+N131+S131+X131+AC131+AH131+AM131+AR131+AW131+BB131</f>
        <v>0</v>
      </c>
      <c r="BD131" s="55" t="n">
        <f aca="false">ROUND((E131+F131-I131)+(J131+K131-N131)+(O131+P131-S131)+(T131+U131-X131)+(Y131+Z131-AC131)+(AD131+AE131-AH131)+(AI131+AJ131-AM131)+(AN131+AO131-AR131)+(AS131+AT131-AW131)+(AX131+AY131-BB131),2)</f>
        <v>0</v>
      </c>
      <c r="BE131" s="25" t="str">
        <f aca="false">IF(H131&gt;0.005,$C$5,IF(M131&gt;0.005,$C$6,IF(R131&gt;0.005,$C$7,IF(W131&gt;0.005,$C$8,IF(AB131&gt;0.005,$C$9,IF(AG131&gt;0.005,$C$10,IF(AL131&gt;0.005,$C$11,IF(AQ131&gt;0.005,$C$12,IF(AV131&gt;0.005,$C$13,IF(BA131&gt;0.005,$C$14,""))))))))))</f>
        <v/>
      </c>
    </row>
    <row r="132" customFormat="false" ht="15" hidden="false" customHeight="false" outlineLevel="0" collapsed="false">
      <c r="A132" s="24" t="n">
        <v>109</v>
      </c>
      <c r="B132" s="54" t="n">
        <f aca="false">EDATE($C$17,A132-1)</f>
        <v>49614</v>
      </c>
      <c r="C132" s="55" t="n">
        <f aca="false">G132+L132+Q132+V132+AA132+AF132+AK132+AP132+AU132+AZ132</f>
        <v>0</v>
      </c>
      <c r="D132" s="55" t="n">
        <f aca="false">MAX(0,$C$16-C132)</f>
        <v>5822</v>
      </c>
      <c r="E132" s="55" t="n">
        <f aca="false">ROUND(MAX(0,E131+F131-I131),2)</f>
        <v>0</v>
      </c>
      <c r="F132" s="55" t="n">
        <f aca="false">ROUND(E132*$E$5/12,2)</f>
        <v>0</v>
      </c>
      <c r="G132" s="55" t="n">
        <f aca="false">MIN($F$5,E132+F132)</f>
        <v>0</v>
      </c>
      <c r="H132" s="55" t="n">
        <f aca="false">MAX(0,MIN(E132+F132-G132,$D132))</f>
        <v>0</v>
      </c>
      <c r="I132" s="55" t="n">
        <f aca="false">G132+H132</f>
        <v>0</v>
      </c>
      <c r="J132" s="55" t="n">
        <f aca="false">ROUND(MAX(0,J131+K131-N131),2)</f>
        <v>0</v>
      </c>
      <c r="K132" s="55" t="n">
        <f aca="false">ROUND(J132*$E$6/12,2)</f>
        <v>0</v>
      </c>
      <c r="L132" s="55" t="n">
        <f aca="false">MIN($F$6,J132+K132)</f>
        <v>0</v>
      </c>
      <c r="M132" s="55" t="n">
        <f aca="false">MAX(0,MIN(J132+K132-L132,$D132-(H132)))</f>
        <v>0</v>
      </c>
      <c r="N132" s="55" t="n">
        <f aca="false">L132+M132</f>
        <v>0</v>
      </c>
      <c r="O132" s="55" t="n">
        <f aca="false">ROUND(MAX(0,O131+P131-S131),2)</f>
        <v>0</v>
      </c>
      <c r="P132" s="55" t="n">
        <f aca="false">ROUND(O132*$E$7/12,2)</f>
        <v>0</v>
      </c>
      <c r="Q132" s="55" t="n">
        <f aca="false">MIN($F$7,O132+P132)</f>
        <v>0</v>
      </c>
      <c r="R132" s="55" t="n">
        <f aca="false">MAX(0,MIN(O132+P132-Q132,$D132-(H132+M132)))</f>
        <v>0</v>
      </c>
      <c r="S132" s="55" t="n">
        <f aca="false">Q132+R132</f>
        <v>0</v>
      </c>
      <c r="T132" s="55" t="n">
        <f aca="false">ROUND(MAX(0,T131+U131-X131),2)</f>
        <v>0</v>
      </c>
      <c r="U132" s="55" t="n">
        <f aca="false">ROUND(T132*$E$8/12,2)</f>
        <v>0</v>
      </c>
      <c r="V132" s="55" t="n">
        <f aca="false">MIN($F$8,T132+U132)</f>
        <v>0</v>
      </c>
      <c r="W132" s="55" t="n">
        <f aca="false">MAX(0,MIN(T132+U132-V132,$D132-(H132+M132+R132)))</f>
        <v>0</v>
      </c>
      <c r="X132" s="55" t="n">
        <f aca="false">V132+W132</f>
        <v>0</v>
      </c>
      <c r="Y132" s="55" t="n">
        <f aca="false">ROUND(MAX(0,Y131+Z131-AC131),2)</f>
        <v>0</v>
      </c>
      <c r="Z132" s="55" t="n">
        <f aca="false">ROUND(Y132*$E$9/12,2)</f>
        <v>0</v>
      </c>
      <c r="AA132" s="55" t="n">
        <f aca="false">MIN($F$9,Y132+Z132)</f>
        <v>0</v>
      </c>
      <c r="AB132" s="55" t="n">
        <f aca="false">MAX(0,MIN(Y132+Z132-AA132,$D132-(H132+M132+R132+W132)))</f>
        <v>0</v>
      </c>
      <c r="AC132" s="55" t="n">
        <f aca="false">AA132+AB132</f>
        <v>0</v>
      </c>
      <c r="AD132" s="55" t="n">
        <f aca="false">ROUND(MAX(0,AD131+AE131-AH131),2)</f>
        <v>0</v>
      </c>
      <c r="AE132" s="55" t="n">
        <f aca="false">ROUND(AD132*$E$10/12,2)</f>
        <v>0</v>
      </c>
      <c r="AF132" s="55" t="n">
        <f aca="false">MIN($F$10,AD132+AE132)</f>
        <v>0</v>
      </c>
      <c r="AG132" s="55" t="n">
        <f aca="false">MAX(0,MIN(AD132+AE132-AF132,$D132-(H132+M132+R132+W132+AB132)))</f>
        <v>0</v>
      </c>
      <c r="AH132" s="55" t="n">
        <f aca="false">AF132+AG132</f>
        <v>0</v>
      </c>
      <c r="AI132" s="55" t="n">
        <f aca="false">ROUND(MAX(0,AI131+AJ131-AM131),2)</f>
        <v>0</v>
      </c>
      <c r="AJ132" s="55" t="n">
        <f aca="false">ROUND(AI132*$E$11/12,2)</f>
        <v>0</v>
      </c>
      <c r="AK132" s="55" t="n">
        <f aca="false">MIN($F$11,AI132+AJ132)</f>
        <v>0</v>
      </c>
      <c r="AL132" s="55" t="n">
        <f aca="false">MAX(0,MIN(AI132+AJ132-AK132,$D132-(H132+M132+R132+W132+AB132+AG132)))</f>
        <v>0</v>
      </c>
      <c r="AM132" s="55" t="n">
        <f aca="false">AK132+AL132</f>
        <v>0</v>
      </c>
      <c r="AN132" s="55" t="n">
        <f aca="false">ROUND(MAX(0,AN131+AO131-AR131),2)</f>
        <v>0</v>
      </c>
      <c r="AO132" s="55" t="n">
        <f aca="false">ROUND(AN132*$E$12/12,2)</f>
        <v>0</v>
      </c>
      <c r="AP132" s="55" t="n">
        <f aca="false">MIN($F$12,AN132+AO132)</f>
        <v>0</v>
      </c>
      <c r="AQ132" s="55" t="n">
        <f aca="false">MAX(0,MIN(AN132+AO132-AP132,$D132-(H132+M132+R132+W132+AB132+AG132+AL132)))</f>
        <v>0</v>
      </c>
      <c r="AR132" s="55" t="n">
        <f aca="false">AP132+AQ132</f>
        <v>0</v>
      </c>
      <c r="AS132" s="55" t="n">
        <f aca="false">ROUND(MAX(0,AS131+AT131-AW131),2)</f>
        <v>0</v>
      </c>
      <c r="AT132" s="55" t="n">
        <f aca="false">ROUND(AS132*$E$13/12,2)</f>
        <v>0</v>
      </c>
      <c r="AU132" s="55" t="n">
        <f aca="false">MIN($F$13,AS132+AT132)</f>
        <v>0</v>
      </c>
      <c r="AV132" s="55" t="n">
        <f aca="false">MAX(0,MIN(AS132+AT132-AU132,$D132-(H132+M132+R132+W132+AB132+AG132+AL132+AQ132)))</f>
        <v>0</v>
      </c>
      <c r="AW132" s="55" t="n">
        <f aca="false">AU132+AV132</f>
        <v>0</v>
      </c>
      <c r="AX132" s="55" t="n">
        <f aca="false">ROUND(MAX(0,AX131+AY131-BB131),2)</f>
        <v>0</v>
      </c>
      <c r="AY132" s="55" t="n">
        <f aca="false">ROUND(AX132*$E$14/12,2)</f>
        <v>0</v>
      </c>
      <c r="AZ132" s="55" t="n">
        <f aca="false">MIN($F$14,AX132+AY132)</f>
        <v>0</v>
      </c>
      <c r="BA132" s="55" t="n">
        <f aca="false">MAX(0,MIN(AX132+AY132-AZ132,$D132-(H132+M132+R132+W132+AB132+AG132+AL132+AQ132+AV132)))</f>
        <v>0</v>
      </c>
      <c r="BB132" s="55" t="n">
        <f aca="false">AZ132+BA132</f>
        <v>0</v>
      </c>
      <c r="BC132" s="55" t="n">
        <f aca="false">I132+N132+S132+X132+AC132+AH132+AM132+AR132+AW132+BB132</f>
        <v>0</v>
      </c>
      <c r="BD132" s="55" t="n">
        <f aca="false">ROUND((E132+F132-I132)+(J132+K132-N132)+(O132+P132-S132)+(T132+U132-X132)+(Y132+Z132-AC132)+(AD132+AE132-AH132)+(AI132+AJ132-AM132)+(AN132+AO132-AR132)+(AS132+AT132-AW132)+(AX132+AY132-BB132),2)</f>
        <v>0</v>
      </c>
      <c r="BE132" s="25" t="str">
        <f aca="false">IF(H132&gt;0.005,$C$5,IF(M132&gt;0.005,$C$6,IF(R132&gt;0.005,$C$7,IF(W132&gt;0.005,$C$8,IF(AB132&gt;0.005,$C$9,IF(AG132&gt;0.005,$C$10,IF(AL132&gt;0.005,$C$11,IF(AQ132&gt;0.005,$C$12,IF(AV132&gt;0.005,$C$13,IF(BA132&gt;0.005,$C$14,""))))))))))</f>
        <v/>
      </c>
    </row>
    <row r="133" customFormat="false" ht="15" hidden="false" customHeight="false" outlineLevel="0" collapsed="false">
      <c r="A133" s="24" t="n">
        <v>110</v>
      </c>
      <c r="B133" s="54" t="n">
        <f aca="false">EDATE($C$17,A133-1)</f>
        <v>49644</v>
      </c>
      <c r="C133" s="55" t="n">
        <f aca="false">G133+L133+Q133+V133+AA133+AF133+AK133+AP133+AU133+AZ133</f>
        <v>0</v>
      </c>
      <c r="D133" s="55" t="n">
        <f aca="false">MAX(0,$C$16-C133)</f>
        <v>5822</v>
      </c>
      <c r="E133" s="55" t="n">
        <f aca="false">ROUND(MAX(0,E132+F132-I132),2)</f>
        <v>0</v>
      </c>
      <c r="F133" s="55" t="n">
        <f aca="false">ROUND(E133*$E$5/12,2)</f>
        <v>0</v>
      </c>
      <c r="G133" s="55" t="n">
        <f aca="false">MIN($F$5,E133+F133)</f>
        <v>0</v>
      </c>
      <c r="H133" s="55" t="n">
        <f aca="false">MAX(0,MIN(E133+F133-G133,$D133))</f>
        <v>0</v>
      </c>
      <c r="I133" s="55" t="n">
        <f aca="false">G133+H133</f>
        <v>0</v>
      </c>
      <c r="J133" s="55" t="n">
        <f aca="false">ROUND(MAX(0,J132+K132-N132),2)</f>
        <v>0</v>
      </c>
      <c r="K133" s="55" t="n">
        <f aca="false">ROUND(J133*$E$6/12,2)</f>
        <v>0</v>
      </c>
      <c r="L133" s="55" t="n">
        <f aca="false">MIN($F$6,J133+K133)</f>
        <v>0</v>
      </c>
      <c r="M133" s="55" t="n">
        <f aca="false">MAX(0,MIN(J133+K133-L133,$D133-(H133)))</f>
        <v>0</v>
      </c>
      <c r="N133" s="55" t="n">
        <f aca="false">L133+M133</f>
        <v>0</v>
      </c>
      <c r="O133" s="55" t="n">
        <f aca="false">ROUND(MAX(0,O132+P132-S132),2)</f>
        <v>0</v>
      </c>
      <c r="P133" s="55" t="n">
        <f aca="false">ROUND(O133*$E$7/12,2)</f>
        <v>0</v>
      </c>
      <c r="Q133" s="55" t="n">
        <f aca="false">MIN($F$7,O133+P133)</f>
        <v>0</v>
      </c>
      <c r="R133" s="55" t="n">
        <f aca="false">MAX(0,MIN(O133+P133-Q133,$D133-(H133+M133)))</f>
        <v>0</v>
      </c>
      <c r="S133" s="55" t="n">
        <f aca="false">Q133+R133</f>
        <v>0</v>
      </c>
      <c r="T133" s="55" t="n">
        <f aca="false">ROUND(MAX(0,T132+U132-X132),2)</f>
        <v>0</v>
      </c>
      <c r="U133" s="55" t="n">
        <f aca="false">ROUND(T133*$E$8/12,2)</f>
        <v>0</v>
      </c>
      <c r="V133" s="55" t="n">
        <f aca="false">MIN($F$8,T133+U133)</f>
        <v>0</v>
      </c>
      <c r="W133" s="55" t="n">
        <f aca="false">MAX(0,MIN(T133+U133-V133,$D133-(H133+M133+R133)))</f>
        <v>0</v>
      </c>
      <c r="X133" s="55" t="n">
        <f aca="false">V133+W133</f>
        <v>0</v>
      </c>
      <c r="Y133" s="55" t="n">
        <f aca="false">ROUND(MAX(0,Y132+Z132-AC132),2)</f>
        <v>0</v>
      </c>
      <c r="Z133" s="55" t="n">
        <f aca="false">ROUND(Y133*$E$9/12,2)</f>
        <v>0</v>
      </c>
      <c r="AA133" s="55" t="n">
        <f aca="false">MIN($F$9,Y133+Z133)</f>
        <v>0</v>
      </c>
      <c r="AB133" s="55" t="n">
        <f aca="false">MAX(0,MIN(Y133+Z133-AA133,$D133-(H133+M133+R133+W133)))</f>
        <v>0</v>
      </c>
      <c r="AC133" s="55" t="n">
        <f aca="false">AA133+AB133</f>
        <v>0</v>
      </c>
      <c r="AD133" s="55" t="n">
        <f aca="false">ROUND(MAX(0,AD132+AE132-AH132),2)</f>
        <v>0</v>
      </c>
      <c r="AE133" s="55" t="n">
        <f aca="false">ROUND(AD133*$E$10/12,2)</f>
        <v>0</v>
      </c>
      <c r="AF133" s="55" t="n">
        <f aca="false">MIN($F$10,AD133+AE133)</f>
        <v>0</v>
      </c>
      <c r="AG133" s="55" t="n">
        <f aca="false">MAX(0,MIN(AD133+AE133-AF133,$D133-(H133+M133+R133+W133+AB133)))</f>
        <v>0</v>
      </c>
      <c r="AH133" s="55" t="n">
        <f aca="false">AF133+AG133</f>
        <v>0</v>
      </c>
      <c r="AI133" s="55" t="n">
        <f aca="false">ROUND(MAX(0,AI132+AJ132-AM132),2)</f>
        <v>0</v>
      </c>
      <c r="AJ133" s="55" t="n">
        <f aca="false">ROUND(AI133*$E$11/12,2)</f>
        <v>0</v>
      </c>
      <c r="AK133" s="55" t="n">
        <f aca="false">MIN($F$11,AI133+AJ133)</f>
        <v>0</v>
      </c>
      <c r="AL133" s="55" t="n">
        <f aca="false">MAX(0,MIN(AI133+AJ133-AK133,$D133-(H133+M133+R133+W133+AB133+AG133)))</f>
        <v>0</v>
      </c>
      <c r="AM133" s="55" t="n">
        <f aca="false">AK133+AL133</f>
        <v>0</v>
      </c>
      <c r="AN133" s="55" t="n">
        <f aca="false">ROUND(MAX(0,AN132+AO132-AR132),2)</f>
        <v>0</v>
      </c>
      <c r="AO133" s="55" t="n">
        <f aca="false">ROUND(AN133*$E$12/12,2)</f>
        <v>0</v>
      </c>
      <c r="AP133" s="55" t="n">
        <f aca="false">MIN($F$12,AN133+AO133)</f>
        <v>0</v>
      </c>
      <c r="AQ133" s="55" t="n">
        <f aca="false">MAX(0,MIN(AN133+AO133-AP133,$D133-(H133+M133+R133+W133+AB133+AG133+AL133)))</f>
        <v>0</v>
      </c>
      <c r="AR133" s="55" t="n">
        <f aca="false">AP133+AQ133</f>
        <v>0</v>
      </c>
      <c r="AS133" s="55" t="n">
        <f aca="false">ROUND(MAX(0,AS132+AT132-AW132),2)</f>
        <v>0</v>
      </c>
      <c r="AT133" s="55" t="n">
        <f aca="false">ROUND(AS133*$E$13/12,2)</f>
        <v>0</v>
      </c>
      <c r="AU133" s="55" t="n">
        <f aca="false">MIN($F$13,AS133+AT133)</f>
        <v>0</v>
      </c>
      <c r="AV133" s="55" t="n">
        <f aca="false">MAX(0,MIN(AS133+AT133-AU133,$D133-(H133+M133+R133+W133+AB133+AG133+AL133+AQ133)))</f>
        <v>0</v>
      </c>
      <c r="AW133" s="55" t="n">
        <f aca="false">AU133+AV133</f>
        <v>0</v>
      </c>
      <c r="AX133" s="55" t="n">
        <f aca="false">ROUND(MAX(0,AX132+AY132-BB132),2)</f>
        <v>0</v>
      </c>
      <c r="AY133" s="55" t="n">
        <f aca="false">ROUND(AX133*$E$14/12,2)</f>
        <v>0</v>
      </c>
      <c r="AZ133" s="55" t="n">
        <f aca="false">MIN($F$14,AX133+AY133)</f>
        <v>0</v>
      </c>
      <c r="BA133" s="55" t="n">
        <f aca="false">MAX(0,MIN(AX133+AY133-AZ133,$D133-(H133+M133+R133+W133+AB133+AG133+AL133+AQ133+AV133)))</f>
        <v>0</v>
      </c>
      <c r="BB133" s="55" t="n">
        <f aca="false">AZ133+BA133</f>
        <v>0</v>
      </c>
      <c r="BC133" s="55" t="n">
        <f aca="false">I133+N133+S133+X133+AC133+AH133+AM133+AR133+AW133+BB133</f>
        <v>0</v>
      </c>
      <c r="BD133" s="55" t="n">
        <f aca="false">ROUND((E133+F133-I133)+(J133+K133-N133)+(O133+P133-S133)+(T133+U133-X133)+(Y133+Z133-AC133)+(AD133+AE133-AH133)+(AI133+AJ133-AM133)+(AN133+AO133-AR133)+(AS133+AT133-AW133)+(AX133+AY133-BB133),2)</f>
        <v>0</v>
      </c>
      <c r="BE133" s="25" t="str">
        <f aca="false">IF(H133&gt;0.005,$C$5,IF(M133&gt;0.005,$C$6,IF(R133&gt;0.005,$C$7,IF(W133&gt;0.005,$C$8,IF(AB133&gt;0.005,$C$9,IF(AG133&gt;0.005,$C$10,IF(AL133&gt;0.005,$C$11,IF(AQ133&gt;0.005,$C$12,IF(AV133&gt;0.005,$C$13,IF(BA133&gt;0.005,$C$14,""))))))))))</f>
        <v/>
      </c>
    </row>
    <row r="134" customFormat="false" ht="15" hidden="false" customHeight="false" outlineLevel="0" collapsed="false">
      <c r="A134" s="24" t="n">
        <v>111</v>
      </c>
      <c r="B134" s="54" t="n">
        <f aca="false">EDATE($C$17,A134-1)</f>
        <v>49675</v>
      </c>
      <c r="C134" s="55" t="n">
        <f aca="false">G134+L134+Q134+V134+AA134+AF134+AK134+AP134+AU134+AZ134</f>
        <v>0</v>
      </c>
      <c r="D134" s="55" t="n">
        <f aca="false">MAX(0,$C$16-C134)</f>
        <v>5822</v>
      </c>
      <c r="E134" s="55" t="n">
        <f aca="false">ROUND(MAX(0,E133+F133-I133),2)</f>
        <v>0</v>
      </c>
      <c r="F134" s="55" t="n">
        <f aca="false">ROUND(E134*$E$5/12,2)</f>
        <v>0</v>
      </c>
      <c r="G134" s="55" t="n">
        <f aca="false">MIN($F$5,E134+F134)</f>
        <v>0</v>
      </c>
      <c r="H134" s="55" t="n">
        <f aca="false">MAX(0,MIN(E134+F134-G134,$D134))</f>
        <v>0</v>
      </c>
      <c r="I134" s="55" t="n">
        <f aca="false">G134+H134</f>
        <v>0</v>
      </c>
      <c r="J134" s="55" t="n">
        <f aca="false">ROUND(MAX(0,J133+K133-N133),2)</f>
        <v>0</v>
      </c>
      <c r="K134" s="55" t="n">
        <f aca="false">ROUND(J134*$E$6/12,2)</f>
        <v>0</v>
      </c>
      <c r="L134" s="55" t="n">
        <f aca="false">MIN($F$6,J134+K134)</f>
        <v>0</v>
      </c>
      <c r="M134" s="55" t="n">
        <f aca="false">MAX(0,MIN(J134+K134-L134,$D134-(H134)))</f>
        <v>0</v>
      </c>
      <c r="N134" s="55" t="n">
        <f aca="false">L134+M134</f>
        <v>0</v>
      </c>
      <c r="O134" s="55" t="n">
        <f aca="false">ROUND(MAX(0,O133+P133-S133),2)</f>
        <v>0</v>
      </c>
      <c r="P134" s="55" t="n">
        <f aca="false">ROUND(O134*$E$7/12,2)</f>
        <v>0</v>
      </c>
      <c r="Q134" s="55" t="n">
        <f aca="false">MIN($F$7,O134+P134)</f>
        <v>0</v>
      </c>
      <c r="R134" s="55" t="n">
        <f aca="false">MAX(0,MIN(O134+P134-Q134,$D134-(H134+M134)))</f>
        <v>0</v>
      </c>
      <c r="S134" s="55" t="n">
        <f aca="false">Q134+R134</f>
        <v>0</v>
      </c>
      <c r="T134" s="55" t="n">
        <f aca="false">ROUND(MAX(0,T133+U133-X133),2)</f>
        <v>0</v>
      </c>
      <c r="U134" s="55" t="n">
        <f aca="false">ROUND(T134*$E$8/12,2)</f>
        <v>0</v>
      </c>
      <c r="V134" s="55" t="n">
        <f aca="false">MIN($F$8,T134+U134)</f>
        <v>0</v>
      </c>
      <c r="W134" s="55" t="n">
        <f aca="false">MAX(0,MIN(T134+U134-V134,$D134-(H134+M134+R134)))</f>
        <v>0</v>
      </c>
      <c r="X134" s="55" t="n">
        <f aca="false">V134+W134</f>
        <v>0</v>
      </c>
      <c r="Y134" s="55" t="n">
        <f aca="false">ROUND(MAX(0,Y133+Z133-AC133),2)</f>
        <v>0</v>
      </c>
      <c r="Z134" s="55" t="n">
        <f aca="false">ROUND(Y134*$E$9/12,2)</f>
        <v>0</v>
      </c>
      <c r="AA134" s="55" t="n">
        <f aca="false">MIN($F$9,Y134+Z134)</f>
        <v>0</v>
      </c>
      <c r="AB134" s="55" t="n">
        <f aca="false">MAX(0,MIN(Y134+Z134-AA134,$D134-(H134+M134+R134+W134)))</f>
        <v>0</v>
      </c>
      <c r="AC134" s="55" t="n">
        <f aca="false">AA134+AB134</f>
        <v>0</v>
      </c>
      <c r="AD134" s="55" t="n">
        <f aca="false">ROUND(MAX(0,AD133+AE133-AH133),2)</f>
        <v>0</v>
      </c>
      <c r="AE134" s="55" t="n">
        <f aca="false">ROUND(AD134*$E$10/12,2)</f>
        <v>0</v>
      </c>
      <c r="AF134" s="55" t="n">
        <f aca="false">MIN($F$10,AD134+AE134)</f>
        <v>0</v>
      </c>
      <c r="AG134" s="55" t="n">
        <f aca="false">MAX(0,MIN(AD134+AE134-AF134,$D134-(H134+M134+R134+W134+AB134)))</f>
        <v>0</v>
      </c>
      <c r="AH134" s="55" t="n">
        <f aca="false">AF134+AG134</f>
        <v>0</v>
      </c>
      <c r="AI134" s="55" t="n">
        <f aca="false">ROUND(MAX(0,AI133+AJ133-AM133),2)</f>
        <v>0</v>
      </c>
      <c r="AJ134" s="55" t="n">
        <f aca="false">ROUND(AI134*$E$11/12,2)</f>
        <v>0</v>
      </c>
      <c r="AK134" s="55" t="n">
        <f aca="false">MIN($F$11,AI134+AJ134)</f>
        <v>0</v>
      </c>
      <c r="AL134" s="55" t="n">
        <f aca="false">MAX(0,MIN(AI134+AJ134-AK134,$D134-(H134+M134+R134+W134+AB134+AG134)))</f>
        <v>0</v>
      </c>
      <c r="AM134" s="55" t="n">
        <f aca="false">AK134+AL134</f>
        <v>0</v>
      </c>
      <c r="AN134" s="55" t="n">
        <f aca="false">ROUND(MAX(0,AN133+AO133-AR133),2)</f>
        <v>0</v>
      </c>
      <c r="AO134" s="55" t="n">
        <f aca="false">ROUND(AN134*$E$12/12,2)</f>
        <v>0</v>
      </c>
      <c r="AP134" s="55" t="n">
        <f aca="false">MIN($F$12,AN134+AO134)</f>
        <v>0</v>
      </c>
      <c r="AQ134" s="55" t="n">
        <f aca="false">MAX(0,MIN(AN134+AO134-AP134,$D134-(H134+M134+R134+W134+AB134+AG134+AL134)))</f>
        <v>0</v>
      </c>
      <c r="AR134" s="55" t="n">
        <f aca="false">AP134+AQ134</f>
        <v>0</v>
      </c>
      <c r="AS134" s="55" t="n">
        <f aca="false">ROUND(MAX(0,AS133+AT133-AW133),2)</f>
        <v>0</v>
      </c>
      <c r="AT134" s="55" t="n">
        <f aca="false">ROUND(AS134*$E$13/12,2)</f>
        <v>0</v>
      </c>
      <c r="AU134" s="55" t="n">
        <f aca="false">MIN($F$13,AS134+AT134)</f>
        <v>0</v>
      </c>
      <c r="AV134" s="55" t="n">
        <f aca="false">MAX(0,MIN(AS134+AT134-AU134,$D134-(H134+M134+R134+W134+AB134+AG134+AL134+AQ134)))</f>
        <v>0</v>
      </c>
      <c r="AW134" s="55" t="n">
        <f aca="false">AU134+AV134</f>
        <v>0</v>
      </c>
      <c r="AX134" s="55" t="n">
        <f aca="false">ROUND(MAX(0,AX133+AY133-BB133),2)</f>
        <v>0</v>
      </c>
      <c r="AY134" s="55" t="n">
        <f aca="false">ROUND(AX134*$E$14/12,2)</f>
        <v>0</v>
      </c>
      <c r="AZ134" s="55" t="n">
        <f aca="false">MIN($F$14,AX134+AY134)</f>
        <v>0</v>
      </c>
      <c r="BA134" s="55" t="n">
        <f aca="false">MAX(0,MIN(AX134+AY134-AZ134,$D134-(H134+M134+R134+W134+AB134+AG134+AL134+AQ134+AV134)))</f>
        <v>0</v>
      </c>
      <c r="BB134" s="55" t="n">
        <f aca="false">AZ134+BA134</f>
        <v>0</v>
      </c>
      <c r="BC134" s="55" t="n">
        <f aca="false">I134+N134+S134+X134+AC134+AH134+AM134+AR134+AW134+BB134</f>
        <v>0</v>
      </c>
      <c r="BD134" s="55" t="n">
        <f aca="false">ROUND((E134+F134-I134)+(J134+K134-N134)+(O134+P134-S134)+(T134+U134-X134)+(Y134+Z134-AC134)+(AD134+AE134-AH134)+(AI134+AJ134-AM134)+(AN134+AO134-AR134)+(AS134+AT134-AW134)+(AX134+AY134-BB134),2)</f>
        <v>0</v>
      </c>
      <c r="BE134" s="25" t="str">
        <f aca="false">IF(H134&gt;0.005,$C$5,IF(M134&gt;0.005,$C$6,IF(R134&gt;0.005,$C$7,IF(W134&gt;0.005,$C$8,IF(AB134&gt;0.005,$C$9,IF(AG134&gt;0.005,$C$10,IF(AL134&gt;0.005,$C$11,IF(AQ134&gt;0.005,$C$12,IF(AV134&gt;0.005,$C$13,IF(BA134&gt;0.005,$C$14,""))))))))))</f>
        <v/>
      </c>
    </row>
    <row r="135" customFormat="false" ht="15" hidden="false" customHeight="false" outlineLevel="0" collapsed="false">
      <c r="A135" s="24" t="n">
        <v>112</v>
      </c>
      <c r="B135" s="54" t="n">
        <f aca="false">EDATE($C$17,A135-1)</f>
        <v>49706</v>
      </c>
      <c r="C135" s="55" t="n">
        <f aca="false">G135+L135+Q135+V135+AA135+AF135+AK135+AP135+AU135+AZ135</f>
        <v>0</v>
      </c>
      <c r="D135" s="55" t="n">
        <f aca="false">MAX(0,$C$16-C135)</f>
        <v>5822</v>
      </c>
      <c r="E135" s="55" t="n">
        <f aca="false">ROUND(MAX(0,E134+F134-I134),2)</f>
        <v>0</v>
      </c>
      <c r="F135" s="55" t="n">
        <f aca="false">ROUND(E135*$E$5/12,2)</f>
        <v>0</v>
      </c>
      <c r="G135" s="55" t="n">
        <f aca="false">MIN($F$5,E135+F135)</f>
        <v>0</v>
      </c>
      <c r="H135" s="55" t="n">
        <f aca="false">MAX(0,MIN(E135+F135-G135,$D135))</f>
        <v>0</v>
      </c>
      <c r="I135" s="55" t="n">
        <f aca="false">G135+H135</f>
        <v>0</v>
      </c>
      <c r="J135" s="55" t="n">
        <f aca="false">ROUND(MAX(0,J134+K134-N134),2)</f>
        <v>0</v>
      </c>
      <c r="K135" s="55" t="n">
        <f aca="false">ROUND(J135*$E$6/12,2)</f>
        <v>0</v>
      </c>
      <c r="L135" s="55" t="n">
        <f aca="false">MIN($F$6,J135+K135)</f>
        <v>0</v>
      </c>
      <c r="M135" s="55" t="n">
        <f aca="false">MAX(0,MIN(J135+K135-L135,$D135-(H135)))</f>
        <v>0</v>
      </c>
      <c r="N135" s="55" t="n">
        <f aca="false">L135+M135</f>
        <v>0</v>
      </c>
      <c r="O135" s="55" t="n">
        <f aca="false">ROUND(MAX(0,O134+P134-S134),2)</f>
        <v>0</v>
      </c>
      <c r="P135" s="55" t="n">
        <f aca="false">ROUND(O135*$E$7/12,2)</f>
        <v>0</v>
      </c>
      <c r="Q135" s="55" t="n">
        <f aca="false">MIN($F$7,O135+P135)</f>
        <v>0</v>
      </c>
      <c r="R135" s="55" t="n">
        <f aca="false">MAX(0,MIN(O135+P135-Q135,$D135-(H135+M135)))</f>
        <v>0</v>
      </c>
      <c r="S135" s="55" t="n">
        <f aca="false">Q135+R135</f>
        <v>0</v>
      </c>
      <c r="T135" s="55" t="n">
        <f aca="false">ROUND(MAX(0,T134+U134-X134),2)</f>
        <v>0</v>
      </c>
      <c r="U135" s="55" t="n">
        <f aca="false">ROUND(T135*$E$8/12,2)</f>
        <v>0</v>
      </c>
      <c r="V135" s="55" t="n">
        <f aca="false">MIN($F$8,T135+U135)</f>
        <v>0</v>
      </c>
      <c r="W135" s="55" t="n">
        <f aca="false">MAX(0,MIN(T135+U135-V135,$D135-(H135+M135+R135)))</f>
        <v>0</v>
      </c>
      <c r="X135" s="55" t="n">
        <f aca="false">V135+W135</f>
        <v>0</v>
      </c>
      <c r="Y135" s="55" t="n">
        <f aca="false">ROUND(MAX(0,Y134+Z134-AC134),2)</f>
        <v>0</v>
      </c>
      <c r="Z135" s="55" t="n">
        <f aca="false">ROUND(Y135*$E$9/12,2)</f>
        <v>0</v>
      </c>
      <c r="AA135" s="55" t="n">
        <f aca="false">MIN($F$9,Y135+Z135)</f>
        <v>0</v>
      </c>
      <c r="AB135" s="55" t="n">
        <f aca="false">MAX(0,MIN(Y135+Z135-AA135,$D135-(H135+M135+R135+W135)))</f>
        <v>0</v>
      </c>
      <c r="AC135" s="55" t="n">
        <f aca="false">AA135+AB135</f>
        <v>0</v>
      </c>
      <c r="AD135" s="55" t="n">
        <f aca="false">ROUND(MAX(0,AD134+AE134-AH134),2)</f>
        <v>0</v>
      </c>
      <c r="AE135" s="55" t="n">
        <f aca="false">ROUND(AD135*$E$10/12,2)</f>
        <v>0</v>
      </c>
      <c r="AF135" s="55" t="n">
        <f aca="false">MIN($F$10,AD135+AE135)</f>
        <v>0</v>
      </c>
      <c r="AG135" s="55" t="n">
        <f aca="false">MAX(0,MIN(AD135+AE135-AF135,$D135-(H135+M135+R135+W135+AB135)))</f>
        <v>0</v>
      </c>
      <c r="AH135" s="55" t="n">
        <f aca="false">AF135+AG135</f>
        <v>0</v>
      </c>
      <c r="AI135" s="55" t="n">
        <f aca="false">ROUND(MAX(0,AI134+AJ134-AM134),2)</f>
        <v>0</v>
      </c>
      <c r="AJ135" s="55" t="n">
        <f aca="false">ROUND(AI135*$E$11/12,2)</f>
        <v>0</v>
      </c>
      <c r="AK135" s="55" t="n">
        <f aca="false">MIN($F$11,AI135+AJ135)</f>
        <v>0</v>
      </c>
      <c r="AL135" s="55" t="n">
        <f aca="false">MAX(0,MIN(AI135+AJ135-AK135,$D135-(H135+M135+R135+W135+AB135+AG135)))</f>
        <v>0</v>
      </c>
      <c r="AM135" s="55" t="n">
        <f aca="false">AK135+AL135</f>
        <v>0</v>
      </c>
      <c r="AN135" s="55" t="n">
        <f aca="false">ROUND(MAX(0,AN134+AO134-AR134),2)</f>
        <v>0</v>
      </c>
      <c r="AO135" s="55" t="n">
        <f aca="false">ROUND(AN135*$E$12/12,2)</f>
        <v>0</v>
      </c>
      <c r="AP135" s="55" t="n">
        <f aca="false">MIN($F$12,AN135+AO135)</f>
        <v>0</v>
      </c>
      <c r="AQ135" s="55" t="n">
        <f aca="false">MAX(0,MIN(AN135+AO135-AP135,$D135-(H135+M135+R135+W135+AB135+AG135+AL135)))</f>
        <v>0</v>
      </c>
      <c r="AR135" s="55" t="n">
        <f aca="false">AP135+AQ135</f>
        <v>0</v>
      </c>
      <c r="AS135" s="55" t="n">
        <f aca="false">ROUND(MAX(0,AS134+AT134-AW134),2)</f>
        <v>0</v>
      </c>
      <c r="AT135" s="55" t="n">
        <f aca="false">ROUND(AS135*$E$13/12,2)</f>
        <v>0</v>
      </c>
      <c r="AU135" s="55" t="n">
        <f aca="false">MIN($F$13,AS135+AT135)</f>
        <v>0</v>
      </c>
      <c r="AV135" s="55" t="n">
        <f aca="false">MAX(0,MIN(AS135+AT135-AU135,$D135-(H135+M135+R135+W135+AB135+AG135+AL135+AQ135)))</f>
        <v>0</v>
      </c>
      <c r="AW135" s="55" t="n">
        <f aca="false">AU135+AV135</f>
        <v>0</v>
      </c>
      <c r="AX135" s="55" t="n">
        <f aca="false">ROUND(MAX(0,AX134+AY134-BB134),2)</f>
        <v>0</v>
      </c>
      <c r="AY135" s="55" t="n">
        <f aca="false">ROUND(AX135*$E$14/12,2)</f>
        <v>0</v>
      </c>
      <c r="AZ135" s="55" t="n">
        <f aca="false">MIN($F$14,AX135+AY135)</f>
        <v>0</v>
      </c>
      <c r="BA135" s="55" t="n">
        <f aca="false">MAX(0,MIN(AX135+AY135-AZ135,$D135-(H135+M135+R135+W135+AB135+AG135+AL135+AQ135+AV135)))</f>
        <v>0</v>
      </c>
      <c r="BB135" s="55" t="n">
        <f aca="false">AZ135+BA135</f>
        <v>0</v>
      </c>
      <c r="BC135" s="55" t="n">
        <f aca="false">I135+N135+S135+X135+AC135+AH135+AM135+AR135+AW135+BB135</f>
        <v>0</v>
      </c>
      <c r="BD135" s="55" t="n">
        <f aca="false">ROUND((E135+F135-I135)+(J135+K135-N135)+(O135+P135-S135)+(T135+U135-X135)+(Y135+Z135-AC135)+(AD135+AE135-AH135)+(AI135+AJ135-AM135)+(AN135+AO135-AR135)+(AS135+AT135-AW135)+(AX135+AY135-BB135),2)</f>
        <v>0</v>
      </c>
      <c r="BE135" s="25" t="str">
        <f aca="false">IF(H135&gt;0.005,$C$5,IF(M135&gt;0.005,$C$6,IF(R135&gt;0.005,$C$7,IF(W135&gt;0.005,$C$8,IF(AB135&gt;0.005,$C$9,IF(AG135&gt;0.005,$C$10,IF(AL135&gt;0.005,$C$11,IF(AQ135&gt;0.005,$C$12,IF(AV135&gt;0.005,$C$13,IF(BA135&gt;0.005,$C$14,""))))))))))</f>
        <v/>
      </c>
    </row>
    <row r="136" customFormat="false" ht="15" hidden="false" customHeight="false" outlineLevel="0" collapsed="false">
      <c r="A136" s="24" t="n">
        <v>113</v>
      </c>
      <c r="B136" s="54" t="n">
        <f aca="false">EDATE($C$17,A136-1)</f>
        <v>49735</v>
      </c>
      <c r="C136" s="55" t="n">
        <f aca="false">G136+L136+Q136+V136+AA136+AF136+AK136+AP136+AU136+AZ136</f>
        <v>0</v>
      </c>
      <c r="D136" s="55" t="n">
        <f aca="false">MAX(0,$C$16-C136)</f>
        <v>5822</v>
      </c>
      <c r="E136" s="55" t="n">
        <f aca="false">ROUND(MAX(0,E135+F135-I135),2)</f>
        <v>0</v>
      </c>
      <c r="F136" s="55" t="n">
        <f aca="false">ROUND(E136*$E$5/12,2)</f>
        <v>0</v>
      </c>
      <c r="G136" s="55" t="n">
        <f aca="false">MIN($F$5,E136+F136)</f>
        <v>0</v>
      </c>
      <c r="H136" s="55" t="n">
        <f aca="false">MAX(0,MIN(E136+F136-G136,$D136))</f>
        <v>0</v>
      </c>
      <c r="I136" s="55" t="n">
        <f aca="false">G136+H136</f>
        <v>0</v>
      </c>
      <c r="J136" s="55" t="n">
        <f aca="false">ROUND(MAX(0,J135+K135-N135),2)</f>
        <v>0</v>
      </c>
      <c r="K136" s="55" t="n">
        <f aca="false">ROUND(J136*$E$6/12,2)</f>
        <v>0</v>
      </c>
      <c r="L136" s="55" t="n">
        <f aca="false">MIN($F$6,J136+K136)</f>
        <v>0</v>
      </c>
      <c r="M136" s="55" t="n">
        <f aca="false">MAX(0,MIN(J136+K136-L136,$D136-(H136)))</f>
        <v>0</v>
      </c>
      <c r="N136" s="55" t="n">
        <f aca="false">L136+M136</f>
        <v>0</v>
      </c>
      <c r="O136" s="55" t="n">
        <f aca="false">ROUND(MAX(0,O135+P135-S135),2)</f>
        <v>0</v>
      </c>
      <c r="P136" s="55" t="n">
        <f aca="false">ROUND(O136*$E$7/12,2)</f>
        <v>0</v>
      </c>
      <c r="Q136" s="55" t="n">
        <f aca="false">MIN($F$7,O136+P136)</f>
        <v>0</v>
      </c>
      <c r="R136" s="55" t="n">
        <f aca="false">MAX(0,MIN(O136+P136-Q136,$D136-(H136+M136)))</f>
        <v>0</v>
      </c>
      <c r="S136" s="55" t="n">
        <f aca="false">Q136+R136</f>
        <v>0</v>
      </c>
      <c r="T136" s="55" t="n">
        <f aca="false">ROUND(MAX(0,T135+U135-X135),2)</f>
        <v>0</v>
      </c>
      <c r="U136" s="55" t="n">
        <f aca="false">ROUND(T136*$E$8/12,2)</f>
        <v>0</v>
      </c>
      <c r="V136" s="55" t="n">
        <f aca="false">MIN($F$8,T136+U136)</f>
        <v>0</v>
      </c>
      <c r="W136" s="55" t="n">
        <f aca="false">MAX(0,MIN(T136+U136-V136,$D136-(H136+M136+R136)))</f>
        <v>0</v>
      </c>
      <c r="X136" s="55" t="n">
        <f aca="false">V136+W136</f>
        <v>0</v>
      </c>
      <c r="Y136" s="55" t="n">
        <f aca="false">ROUND(MAX(0,Y135+Z135-AC135),2)</f>
        <v>0</v>
      </c>
      <c r="Z136" s="55" t="n">
        <f aca="false">ROUND(Y136*$E$9/12,2)</f>
        <v>0</v>
      </c>
      <c r="AA136" s="55" t="n">
        <f aca="false">MIN($F$9,Y136+Z136)</f>
        <v>0</v>
      </c>
      <c r="AB136" s="55" t="n">
        <f aca="false">MAX(0,MIN(Y136+Z136-AA136,$D136-(H136+M136+R136+W136)))</f>
        <v>0</v>
      </c>
      <c r="AC136" s="55" t="n">
        <f aca="false">AA136+AB136</f>
        <v>0</v>
      </c>
      <c r="AD136" s="55" t="n">
        <f aca="false">ROUND(MAX(0,AD135+AE135-AH135),2)</f>
        <v>0</v>
      </c>
      <c r="AE136" s="55" t="n">
        <f aca="false">ROUND(AD136*$E$10/12,2)</f>
        <v>0</v>
      </c>
      <c r="AF136" s="55" t="n">
        <f aca="false">MIN($F$10,AD136+AE136)</f>
        <v>0</v>
      </c>
      <c r="AG136" s="55" t="n">
        <f aca="false">MAX(0,MIN(AD136+AE136-AF136,$D136-(H136+M136+R136+W136+AB136)))</f>
        <v>0</v>
      </c>
      <c r="AH136" s="55" t="n">
        <f aca="false">AF136+AG136</f>
        <v>0</v>
      </c>
      <c r="AI136" s="55" t="n">
        <f aca="false">ROUND(MAX(0,AI135+AJ135-AM135),2)</f>
        <v>0</v>
      </c>
      <c r="AJ136" s="55" t="n">
        <f aca="false">ROUND(AI136*$E$11/12,2)</f>
        <v>0</v>
      </c>
      <c r="AK136" s="55" t="n">
        <f aca="false">MIN($F$11,AI136+AJ136)</f>
        <v>0</v>
      </c>
      <c r="AL136" s="55" t="n">
        <f aca="false">MAX(0,MIN(AI136+AJ136-AK136,$D136-(H136+M136+R136+W136+AB136+AG136)))</f>
        <v>0</v>
      </c>
      <c r="AM136" s="55" t="n">
        <f aca="false">AK136+AL136</f>
        <v>0</v>
      </c>
      <c r="AN136" s="55" t="n">
        <f aca="false">ROUND(MAX(0,AN135+AO135-AR135),2)</f>
        <v>0</v>
      </c>
      <c r="AO136" s="55" t="n">
        <f aca="false">ROUND(AN136*$E$12/12,2)</f>
        <v>0</v>
      </c>
      <c r="AP136" s="55" t="n">
        <f aca="false">MIN($F$12,AN136+AO136)</f>
        <v>0</v>
      </c>
      <c r="AQ136" s="55" t="n">
        <f aca="false">MAX(0,MIN(AN136+AO136-AP136,$D136-(H136+M136+R136+W136+AB136+AG136+AL136)))</f>
        <v>0</v>
      </c>
      <c r="AR136" s="55" t="n">
        <f aca="false">AP136+AQ136</f>
        <v>0</v>
      </c>
      <c r="AS136" s="55" t="n">
        <f aca="false">ROUND(MAX(0,AS135+AT135-AW135),2)</f>
        <v>0</v>
      </c>
      <c r="AT136" s="55" t="n">
        <f aca="false">ROUND(AS136*$E$13/12,2)</f>
        <v>0</v>
      </c>
      <c r="AU136" s="55" t="n">
        <f aca="false">MIN($F$13,AS136+AT136)</f>
        <v>0</v>
      </c>
      <c r="AV136" s="55" t="n">
        <f aca="false">MAX(0,MIN(AS136+AT136-AU136,$D136-(H136+M136+R136+W136+AB136+AG136+AL136+AQ136)))</f>
        <v>0</v>
      </c>
      <c r="AW136" s="55" t="n">
        <f aca="false">AU136+AV136</f>
        <v>0</v>
      </c>
      <c r="AX136" s="55" t="n">
        <f aca="false">ROUND(MAX(0,AX135+AY135-BB135),2)</f>
        <v>0</v>
      </c>
      <c r="AY136" s="55" t="n">
        <f aca="false">ROUND(AX136*$E$14/12,2)</f>
        <v>0</v>
      </c>
      <c r="AZ136" s="55" t="n">
        <f aca="false">MIN($F$14,AX136+AY136)</f>
        <v>0</v>
      </c>
      <c r="BA136" s="55" t="n">
        <f aca="false">MAX(0,MIN(AX136+AY136-AZ136,$D136-(H136+M136+R136+W136+AB136+AG136+AL136+AQ136+AV136)))</f>
        <v>0</v>
      </c>
      <c r="BB136" s="55" t="n">
        <f aca="false">AZ136+BA136</f>
        <v>0</v>
      </c>
      <c r="BC136" s="55" t="n">
        <f aca="false">I136+N136+S136+X136+AC136+AH136+AM136+AR136+AW136+BB136</f>
        <v>0</v>
      </c>
      <c r="BD136" s="55" t="n">
        <f aca="false">ROUND((E136+F136-I136)+(J136+K136-N136)+(O136+P136-S136)+(T136+U136-X136)+(Y136+Z136-AC136)+(AD136+AE136-AH136)+(AI136+AJ136-AM136)+(AN136+AO136-AR136)+(AS136+AT136-AW136)+(AX136+AY136-BB136),2)</f>
        <v>0</v>
      </c>
      <c r="BE136" s="25" t="str">
        <f aca="false">IF(H136&gt;0.005,$C$5,IF(M136&gt;0.005,$C$6,IF(R136&gt;0.005,$C$7,IF(W136&gt;0.005,$C$8,IF(AB136&gt;0.005,$C$9,IF(AG136&gt;0.005,$C$10,IF(AL136&gt;0.005,$C$11,IF(AQ136&gt;0.005,$C$12,IF(AV136&gt;0.005,$C$13,IF(BA136&gt;0.005,$C$14,""))))))))))</f>
        <v/>
      </c>
    </row>
    <row r="137" customFormat="false" ht="15" hidden="false" customHeight="false" outlineLevel="0" collapsed="false">
      <c r="A137" s="24" t="n">
        <v>114</v>
      </c>
      <c r="B137" s="54" t="n">
        <f aca="false">EDATE($C$17,A137-1)</f>
        <v>49766</v>
      </c>
      <c r="C137" s="55" t="n">
        <f aca="false">G137+L137+Q137+V137+AA137+AF137+AK137+AP137+AU137+AZ137</f>
        <v>0</v>
      </c>
      <c r="D137" s="55" t="n">
        <f aca="false">MAX(0,$C$16-C137)</f>
        <v>5822</v>
      </c>
      <c r="E137" s="55" t="n">
        <f aca="false">ROUND(MAX(0,E136+F136-I136),2)</f>
        <v>0</v>
      </c>
      <c r="F137" s="55" t="n">
        <f aca="false">ROUND(E137*$E$5/12,2)</f>
        <v>0</v>
      </c>
      <c r="G137" s="55" t="n">
        <f aca="false">MIN($F$5,E137+F137)</f>
        <v>0</v>
      </c>
      <c r="H137" s="55" t="n">
        <f aca="false">MAX(0,MIN(E137+F137-G137,$D137))</f>
        <v>0</v>
      </c>
      <c r="I137" s="55" t="n">
        <f aca="false">G137+H137</f>
        <v>0</v>
      </c>
      <c r="J137" s="55" t="n">
        <f aca="false">ROUND(MAX(0,J136+K136-N136),2)</f>
        <v>0</v>
      </c>
      <c r="K137" s="55" t="n">
        <f aca="false">ROUND(J137*$E$6/12,2)</f>
        <v>0</v>
      </c>
      <c r="L137" s="55" t="n">
        <f aca="false">MIN($F$6,J137+K137)</f>
        <v>0</v>
      </c>
      <c r="M137" s="55" t="n">
        <f aca="false">MAX(0,MIN(J137+K137-L137,$D137-(H137)))</f>
        <v>0</v>
      </c>
      <c r="N137" s="55" t="n">
        <f aca="false">L137+M137</f>
        <v>0</v>
      </c>
      <c r="O137" s="55" t="n">
        <f aca="false">ROUND(MAX(0,O136+P136-S136),2)</f>
        <v>0</v>
      </c>
      <c r="P137" s="55" t="n">
        <f aca="false">ROUND(O137*$E$7/12,2)</f>
        <v>0</v>
      </c>
      <c r="Q137" s="55" t="n">
        <f aca="false">MIN($F$7,O137+P137)</f>
        <v>0</v>
      </c>
      <c r="R137" s="55" t="n">
        <f aca="false">MAX(0,MIN(O137+P137-Q137,$D137-(H137+M137)))</f>
        <v>0</v>
      </c>
      <c r="S137" s="55" t="n">
        <f aca="false">Q137+R137</f>
        <v>0</v>
      </c>
      <c r="T137" s="55" t="n">
        <f aca="false">ROUND(MAX(0,T136+U136-X136),2)</f>
        <v>0</v>
      </c>
      <c r="U137" s="55" t="n">
        <f aca="false">ROUND(T137*$E$8/12,2)</f>
        <v>0</v>
      </c>
      <c r="V137" s="55" t="n">
        <f aca="false">MIN($F$8,T137+U137)</f>
        <v>0</v>
      </c>
      <c r="W137" s="55" t="n">
        <f aca="false">MAX(0,MIN(T137+U137-V137,$D137-(H137+M137+R137)))</f>
        <v>0</v>
      </c>
      <c r="X137" s="55" t="n">
        <f aca="false">V137+W137</f>
        <v>0</v>
      </c>
      <c r="Y137" s="55" t="n">
        <f aca="false">ROUND(MAX(0,Y136+Z136-AC136),2)</f>
        <v>0</v>
      </c>
      <c r="Z137" s="55" t="n">
        <f aca="false">ROUND(Y137*$E$9/12,2)</f>
        <v>0</v>
      </c>
      <c r="AA137" s="55" t="n">
        <f aca="false">MIN($F$9,Y137+Z137)</f>
        <v>0</v>
      </c>
      <c r="AB137" s="55" t="n">
        <f aca="false">MAX(0,MIN(Y137+Z137-AA137,$D137-(H137+M137+R137+W137)))</f>
        <v>0</v>
      </c>
      <c r="AC137" s="55" t="n">
        <f aca="false">AA137+AB137</f>
        <v>0</v>
      </c>
      <c r="AD137" s="55" t="n">
        <f aca="false">ROUND(MAX(0,AD136+AE136-AH136),2)</f>
        <v>0</v>
      </c>
      <c r="AE137" s="55" t="n">
        <f aca="false">ROUND(AD137*$E$10/12,2)</f>
        <v>0</v>
      </c>
      <c r="AF137" s="55" t="n">
        <f aca="false">MIN($F$10,AD137+AE137)</f>
        <v>0</v>
      </c>
      <c r="AG137" s="55" t="n">
        <f aca="false">MAX(0,MIN(AD137+AE137-AF137,$D137-(H137+M137+R137+W137+AB137)))</f>
        <v>0</v>
      </c>
      <c r="AH137" s="55" t="n">
        <f aca="false">AF137+AG137</f>
        <v>0</v>
      </c>
      <c r="AI137" s="55" t="n">
        <f aca="false">ROUND(MAX(0,AI136+AJ136-AM136),2)</f>
        <v>0</v>
      </c>
      <c r="AJ137" s="55" t="n">
        <f aca="false">ROUND(AI137*$E$11/12,2)</f>
        <v>0</v>
      </c>
      <c r="AK137" s="55" t="n">
        <f aca="false">MIN($F$11,AI137+AJ137)</f>
        <v>0</v>
      </c>
      <c r="AL137" s="55" t="n">
        <f aca="false">MAX(0,MIN(AI137+AJ137-AK137,$D137-(H137+M137+R137+W137+AB137+AG137)))</f>
        <v>0</v>
      </c>
      <c r="AM137" s="55" t="n">
        <f aca="false">AK137+AL137</f>
        <v>0</v>
      </c>
      <c r="AN137" s="55" t="n">
        <f aca="false">ROUND(MAX(0,AN136+AO136-AR136),2)</f>
        <v>0</v>
      </c>
      <c r="AO137" s="55" t="n">
        <f aca="false">ROUND(AN137*$E$12/12,2)</f>
        <v>0</v>
      </c>
      <c r="AP137" s="55" t="n">
        <f aca="false">MIN($F$12,AN137+AO137)</f>
        <v>0</v>
      </c>
      <c r="AQ137" s="55" t="n">
        <f aca="false">MAX(0,MIN(AN137+AO137-AP137,$D137-(H137+M137+R137+W137+AB137+AG137+AL137)))</f>
        <v>0</v>
      </c>
      <c r="AR137" s="55" t="n">
        <f aca="false">AP137+AQ137</f>
        <v>0</v>
      </c>
      <c r="AS137" s="55" t="n">
        <f aca="false">ROUND(MAX(0,AS136+AT136-AW136),2)</f>
        <v>0</v>
      </c>
      <c r="AT137" s="55" t="n">
        <f aca="false">ROUND(AS137*$E$13/12,2)</f>
        <v>0</v>
      </c>
      <c r="AU137" s="55" t="n">
        <f aca="false">MIN($F$13,AS137+AT137)</f>
        <v>0</v>
      </c>
      <c r="AV137" s="55" t="n">
        <f aca="false">MAX(0,MIN(AS137+AT137-AU137,$D137-(H137+M137+R137+W137+AB137+AG137+AL137+AQ137)))</f>
        <v>0</v>
      </c>
      <c r="AW137" s="55" t="n">
        <f aca="false">AU137+AV137</f>
        <v>0</v>
      </c>
      <c r="AX137" s="55" t="n">
        <f aca="false">ROUND(MAX(0,AX136+AY136-BB136),2)</f>
        <v>0</v>
      </c>
      <c r="AY137" s="55" t="n">
        <f aca="false">ROUND(AX137*$E$14/12,2)</f>
        <v>0</v>
      </c>
      <c r="AZ137" s="55" t="n">
        <f aca="false">MIN($F$14,AX137+AY137)</f>
        <v>0</v>
      </c>
      <c r="BA137" s="55" t="n">
        <f aca="false">MAX(0,MIN(AX137+AY137-AZ137,$D137-(H137+M137+R137+W137+AB137+AG137+AL137+AQ137+AV137)))</f>
        <v>0</v>
      </c>
      <c r="BB137" s="55" t="n">
        <f aca="false">AZ137+BA137</f>
        <v>0</v>
      </c>
      <c r="BC137" s="55" t="n">
        <f aca="false">I137+N137+S137+X137+AC137+AH137+AM137+AR137+AW137+BB137</f>
        <v>0</v>
      </c>
      <c r="BD137" s="55" t="n">
        <f aca="false">ROUND((E137+F137-I137)+(J137+K137-N137)+(O137+P137-S137)+(T137+U137-X137)+(Y137+Z137-AC137)+(AD137+AE137-AH137)+(AI137+AJ137-AM137)+(AN137+AO137-AR137)+(AS137+AT137-AW137)+(AX137+AY137-BB137),2)</f>
        <v>0</v>
      </c>
      <c r="BE137" s="25" t="str">
        <f aca="false">IF(H137&gt;0.005,$C$5,IF(M137&gt;0.005,$C$6,IF(R137&gt;0.005,$C$7,IF(W137&gt;0.005,$C$8,IF(AB137&gt;0.005,$C$9,IF(AG137&gt;0.005,$C$10,IF(AL137&gt;0.005,$C$11,IF(AQ137&gt;0.005,$C$12,IF(AV137&gt;0.005,$C$13,IF(BA137&gt;0.005,$C$14,""))))))))))</f>
        <v/>
      </c>
    </row>
    <row r="138" customFormat="false" ht="15" hidden="false" customHeight="false" outlineLevel="0" collapsed="false">
      <c r="A138" s="24" t="n">
        <v>115</v>
      </c>
      <c r="B138" s="54" t="n">
        <f aca="false">EDATE($C$17,A138-1)</f>
        <v>49796</v>
      </c>
      <c r="C138" s="55" t="n">
        <f aca="false">G138+L138+Q138+V138+AA138+AF138+AK138+AP138+AU138+AZ138</f>
        <v>0</v>
      </c>
      <c r="D138" s="55" t="n">
        <f aca="false">MAX(0,$C$16-C138)</f>
        <v>5822</v>
      </c>
      <c r="E138" s="55" t="n">
        <f aca="false">ROUND(MAX(0,E137+F137-I137),2)</f>
        <v>0</v>
      </c>
      <c r="F138" s="55" t="n">
        <f aca="false">ROUND(E138*$E$5/12,2)</f>
        <v>0</v>
      </c>
      <c r="G138" s="55" t="n">
        <f aca="false">MIN($F$5,E138+F138)</f>
        <v>0</v>
      </c>
      <c r="H138" s="55" t="n">
        <f aca="false">MAX(0,MIN(E138+F138-G138,$D138))</f>
        <v>0</v>
      </c>
      <c r="I138" s="55" t="n">
        <f aca="false">G138+H138</f>
        <v>0</v>
      </c>
      <c r="J138" s="55" t="n">
        <f aca="false">ROUND(MAX(0,J137+K137-N137),2)</f>
        <v>0</v>
      </c>
      <c r="K138" s="55" t="n">
        <f aca="false">ROUND(J138*$E$6/12,2)</f>
        <v>0</v>
      </c>
      <c r="L138" s="55" t="n">
        <f aca="false">MIN($F$6,J138+K138)</f>
        <v>0</v>
      </c>
      <c r="M138" s="55" t="n">
        <f aca="false">MAX(0,MIN(J138+K138-L138,$D138-(H138)))</f>
        <v>0</v>
      </c>
      <c r="N138" s="55" t="n">
        <f aca="false">L138+M138</f>
        <v>0</v>
      </c>
      <c r="O138" s="55" t="n">
        <f aca="false">ROUND(MAX(0,O137+P137-S137),2)</f>
        <v>0</v>
      </c>
      <c r="P138" s="55" t="n">
        <f aca="false">ROUND(O138*$E$7/12,2)</f>
        <v>0</v>
      </c>
      <c r="Q138" s="55" t="n">
        <f aca="false">MIN($F$7,O138+P138)</f>
        <v>0</v>
      </c>
      <c r="R138" s="55" t="n">
        <f aca="false">MAX(0,MIN(O138+P138-Q138,$D138-(H138+M138)))</f>
        <v>0</v>
      </c>
      <c r="S138" s="55" t="n">
        <f aca="false">Q138+R138</f>
        <v>0</v>
      </c>
      <c r="T138" s="55" t="n">
        <f aca="false">ROUND(MAX(0,T137+U137-X137),2)</f>
        <v>0</v>
      </c>
      <c r="U138" s="55" t="n">
        <f aca="false">ROUND(T138*$E$8/12,2)</f>
        <v>0</v>
      </c>
      <c r="V138" s="55" t="n">
        <f aca="false">MIN($F$8,T138+U138)</f>
        <v>0</v>
      </c>
      <c r="W138" s="55" t="n">
        <f aca="false">MAX(0,MIN(T138+U138-V138,$D138-(H138+M138+R138)))</f>
        <v>0</v>
      </c>
      <c r="X138" s="55" t="n">
        <f aca="false">V138+W138</f>
        <v>0</v>
      </c>
      <c r="Y138" s="55" t="n">
        <f aca="false">ROUND(MAX(0,Y137+Z137-AC137),2)</f>
        <v>0</v>
      </c>
      <c r="Z138" s="55" t="n">
        <f aca="false">ROUND(Y138*$E$9/12,2)</f>
        <v>0</v>
      </c>
      <c r="AA138" s="55" t="n">
        <f aca="false">MIN($F$9,Y138+Z138)</f>
        <v>0</v>
      </c>
      <c r="AB138" s="55" t="n">
        <f aca="false">MAX(0,MIN(Y138+Z138-AA138,$D138-(H138+M138+R138+W138)))</f>
        <v>0</v>
      </c>
      <c r="AC138" s="55" t="n">
        <f aca="false">AA138+AB138</f>
        <v>0</v>
      </c>
      <c r="AD138" s="55" t="n">
        <f aca="false">ROUND(MAX(0,AD137+AE137-AH137),2)</f>
        <v>0</v>
      </c>
      <c r="AE138" s="55" t="n">
        <f aca="false">ROUND(AD138*$E$10/12,2)</f>
        <v>0</v>
      </c>
      <c r="AF138" s="55" t="n">
        <f aca="false">MIN($F$10,AD138+AE138)</f>
        <v>0</v>
      </c>
      <c r="AG138" s="55" t="n">
        <f aca="false">MAX(0,MIN(AD138+AE138-AF138,$D138-(H138+M138+R138+W138+AB138)))</f>
        <v>0</v>
      </c>
      <c r="AH138" s="55" t="n">
        <f aca="false">AF138+AG138</f>
        <v>0</v>
      </c>
      <c r="AI138" s="55" t="n">
        <f aca="false">ROUND(MAX(0,AI137+AJ137-AM137),2)</f>
        <v>0</v>
      </c>
      <c r="AJ138" s="55" t="n">
        <f aca="false">ROUND(AI138*$E$11/12,2)</f>
        <v>0</v>
      </c>
      <c r="AK138" s="55" t="n">
        <f aca="false">MIN($F$11,AI138+AJ138)</f>
        <v>0</v>
      </c>
      <c r="AL138" s="55" t="n">
        <f aca="false">MAX(0,MIN(AI138+AJ138-AK138,$D138-(H138+M138+R138+W138+AB138+AG138)))</f>
        <v>0</v>
      </c>
      <c r="AM138" s="55" t="n">
        <f aca="false">AK138+AL138</f>
        <v>0</v>
      </c>
      <c r="AN138" s="55" t="n">
        <f aca="false">ROUND(MAX(0,AN137+AO137-AR137),2)</f>
        <v>0</v>
      </c>
      <c r="AO138" s="55" t="n">
        <f aca="false">ROUND(AN138*$E$12/12,2)</f>
        <v>0</v>
      </c>
      <c r="AP138" s="55" t="n">
        <f aca="false">MIN($F$12,AN138+AO138)</f>
        <v>0</v>
      </c>
      <c r="AQ138" s="55" t="n">
        <f aca="false">MAX(0,MIN(AN138+AO138-AP138,$D138-(H138+M138+R138+W138+AB138+AG138+AL138)))</f>
        <v>0</v>
      </c>
      <c r="AR138" s="55" t="n">
        <f aca="false">AP138+AQ138</f>
        <v>0</v>
      </c>
      <c r="AS138" s="55" t="n">
        <f aca="false">ROUND(MAX(0,AS137+AT137-AW137),2)</f>
        <v>0</v>
      </c>
      <c r="AT138" s="55" t="n">
        <f aca="false">ROUND(AS138*$E$13/12,2)</f>
        <v>0</v>
      </c>
      <c r="AU138" s="55" t="n">
        <f aca="false">MIN($F$13,AS138+AT138)</f>
        <v>0</v>
      </c>
      <c r="AV138" s="55" t="n">
        <f aca="false">MAX(0,MIN(AS138+AT138-AU138,$D138-(H138+M138+R138+W138+AB138+AG138+AL138+AQ138)))</f>
        <v>0</v>
      </c>
      <c r="AW138" s="55" t="n">
        <f aca="false">AU138+AV138</f>
        <v>0</v>
      </c>
      <c r="AX138" s="55" t="n">
        <f aca="false">ROUND(MAX(0,AX137+AY137-BB137),2)</f>
        <v>0</v>
      </c>
      <c r="AY138" s="55" t="n">
        <f aca="false">ROUND(AX138*$E$14/12,2)</f>
        <v>0</v>
      </c>
      <c r="AZ138" s="55" t="n">
        <f aca="false">MIN($F$14,AX138+AY138)</f>
        <v>0</v>
      </c>
      <c r="BA138" s="55" t="n">
        <f aca="false">MAX(0,MIN(AX138+AY138-AZ138,$D138-(H138+M138+R138+W138+AB138+AG138+AL138+AQ138+AV138)))</f>
        <v>0</v>
      </c>
      <c r="BB138" s="55" t="n">
        <f aca="false">AZ138+BA138</f>
        <v>0</v>
      </c>
      <c r="BC138" s="55" t="n">
        <f aca="false">I138+N138+S138+X138+AC138+AH138+AM138+AR138+AW138+BB138</f>
        <v>0</v>
      </c>
      <c r="BD138" s="55" t="n">
        <f aca="false">ROUND((E138+F138-I138)+(J138+K138-N138)+(O138+P138-S138)+(T138+U138-X138)+(Y138+Z138-AC138)+(AD138+AE138-AH138)+(AI138+AJ138-AM138)+(AN138+AO138-AR138)+(AS138+AT138-AW138)+(AX138+AY138-BB138),2)</f>
        <v>0</v>
      </c>
      <c r="BE138" s="25" t="str">
        <f aca="false">IF(H138&gt;0.005,$C$5,IF(M138&gt;0.005,$C$6,IF(R138&gt;0.005,$C$7,IF(W138&gt;0.005,$C$8,IF(AB138&gt;0.005,$C$9,IF(AG138&gt;0.005,$C$10,IF(AL138&gt;0.005,$C$11,IF(AQ138&gt;0.005,$C$12,IF(AV138&gt;0.005,$C$13,IF(BA138&gt;0.005,$C$14,""))))))))))</f>
        <v/>
      </c>
    </row>
    <row r="139" customFormat="false" ht="15" hidden="false" customHeight="false" outlineLevel="0" collapsed="false">
      <c r="A139" s="24" t="n">
        <v>116</v>
      </c>
      <c r="B139" s="54" t="n">
        <f aca="false">EDATE($C$17,A139-1)</f>
        <v>49827</v>
      </c>
      <c r="C139" s="55" t="n">
        <f aca="false">G139+L139+Q139+V139+AA139+AF139+AK139+AP139+AU139+AZ139</f>
        <v>0</v>
      </c>
      <c r="D139" s="55" t="n">
        <f aca="false">MAX(0,$C$16-C139)</f>
        <v>5822</v>
      </c>
      <c r="E139" s="55" t="n">
        <f aca="false">ROUND(MAX(0,E138+F138-I138),2)</f>
        <v>0</v>
      </c>
      <c r="F139" s="55" t="n">
        <f aca="false">ROUND(E139*$E$5/12,2)</f>
        <v>0</v>
      </c>
      <c r="G139" s="55" t="n">
        <f aca="false">MIN($F$5,E139+F139)</f>
        <v>0</v>
      </c>
      <c r="H139" s="55" t="n">
        <f aca="false">MAX(0,MIN(E139+F139-G139,$D139))</f>
        <v>0</v>
      </c>
      <c r="I139" s="55" t="n">
        <f aca="false">G139+H139</f>
        <v>0</v>
      </c>
      <c r="J139" s="55" t="n">
        <f aca="false">ROUND(MAX(0,J138+K138-N138),2)</f>
        <v>0</v>
      </c>
      <c r="K139" s="55" t="n">
        <f aca="false">ROUND(J139*$E$6/12,2)</f>
        <v>0</v>
      </c>
      <c r="L139" s="55" t="n">
        <f aca="false">MIN($F$6,J139+K139)</f>
        <v>0</v>
      </c>
      <c r="M139" s="55" t="n">
        <f aca="false">MAX(0,MIN(J139+K139-L139,$D139-(H139)))</f>
        <v>0</v>
      </c>
      <c r="N139" s="55" t="n">
        <f aca="false">L139+M139</f>
        <v>0</v>
      </c>
      <c r="O139" s="55" t="n">
        <f aca="false">ROUND(MAX(0,O138+P138-S138),2)</f>
        <v>0</v>
      </c>
      <c r="P139" s="55" t="n">
        <f aca="false">ROUND(O139*$E$7/12,2)</f>
        <v>0</v>
      </c>
      <c r="Q139" s="55" t="n">
        <f aca="false">MIN($F$7,O139+P139)</f>
        <v>0</v>
      </c>
      <c r="R139" s="55" t="n">
        <f aca="false">MAX(0,MIN(O139+P139-Q139,$D139-(H139+M139)))</f>
        <v>0</v>
      </c>
      <c r="S139" s="55" t="n">
        <f aca="false">Q139+R139</f>
        <v>0</v>
      </c>
      <c r="T139" s="55" t="n">
        <f aca="false">ROUND(MAX(0,T138+U138-X138),2)</f>
        <v>0</v>
      </c>
      <c r="U139" s="55" t="n">
        <f aca="false">ROUND(T139*$E$8/12,2)</f>
        <v>0</v>
      </c>
      <c r="V139" s="55" t="n">
        <f aca="false">MIN($F$8,T139+U139)</f>
        <v>0</v>
      </c>
      <c r="W139" s="55" t="n">
        <f aca="false">MAX(0,MIN(T139+U139-V139,$D139-(H139+M139+R139)))</f>
        <v>0</v>
      </c>
      <c r="X139" s="55" t="n">
        <f aca="false">V139+W139</f>
        <v>0</v>
      </c>
      <c r="Y139" s="55" t="n">
        <f aca="false">ROUND(MAX(0,Y138+Z138-AC138),2)</f>
        <v>0</v>
      </c>
      <c r="Z139" s="55" t="n">
        <f aca="false">ROUND(Y139*$E$9/12,2)</f>
        <v>0</v>
      </c>
      <c r="AA139" s="55" t="n">
        <f aca="false">MIN($F$9,Y139+Z139)</f>
        <v>0</v>
      </c>
      <c r="AB139" s="55" t="n">
        <f aca="false">MAX(0,MIN(Y139+Z139-AA139,$D139-(H139+M139+R139+W139)))</f>
        <v>0</v>
      </c>
      <c r="AC139" s="55" t="n">
        <f aca="false">AA139+AB139</f>
        <v>0</v>
      </c>
      <c r="AD139" s="55" t="n">
        <f aca="false">ROUND(MAX(0,AD138+AE138-AH138),2)</f>
        <v>0</v>
      </c>
      <c r="AE139" s="55" t="n">
        <f aca="false">ROUND(AD139*$E$10/12,2)</f>
        <v>0</v>
      </c>
      <c r="AF139" s="55" t="n">
        <f aca="false">MIN($F$10,AD139+AE139)</f>
        <v>0</v>
      </c>
      <c r="AG139" s="55" t="n">
        <f aca="false">MAX(0,MIN(AD139+AE139-AF139,$D139-(H139+M139+R139+W139+AB139)))</f>
        <v>0</v>
      </c>
      <c r="AH139" s="55" t="n">
        <f aca="false">AF139+AG139</f>
        <v>0</v>
      </c>
      <c r="AI139" s="55" t="n">
        <f aca="false">ROUND(MAX(0,AI138+AJ138-AM138),2)</f>
        <v>0</v>
      </c>
      <c r="AJ139" s="55" t="n">
        <f aca="false">ROUND(AI139*$E$11/12,2)</f>
        <v>0</v>
      </c>
      <c r="AK139" s="55" t="n">
        <f aca="false">MIN($F$11,AI139+AJ139)</f>
        <v>0</v>
      </c>
      <c r="AL139" s="55" t="n">
        <f aca="false">MAX(0,MIN(AI139+AJ139-AK139,$D139-(H139+M139+R139+W139+AB139+AG139)))</f>
        <v>0</v>
      </c>
      <c r="AM139" s="55" t="n">
        <f aca="false">AK139+AL139</f>
        <v>0</v>
      </c>
      <c r="AN139" s="55" t="n">
        <f aca="false">ROUND(MAX(0,AN138+AO138-AR138),2)</f>
        <v>0</v>
      </c>
      <c r="AO139" s="55" t="n">
        <f aca="false">ROUND(AN139*$E$12/12,2)</f>
        <v>0</v>
      </c>
      <c r="AP139" s="55" t="n">
        <f aca="false">MIN($F$12,AN139+AO139)</f>
        <v>0</v>
      </c>
      <c r="AQ139" s="55" t="n">
        <f aca="false">MAX(0,MIN(AN139+AO139-AP139,$D139-(H139+M139+R139+W139+AB139+AG139+AL139)))</f>
        <v>0</v>
      </c>
      <c r="AR139" s="55" t="n">
        <f aca="false">AP139+AQ139</f>
        <v>0</v>
      </c>
      <c r="AS139" s="55" t="n">
        <f aca="false">ROUND(MAX(0,AS138+AT138-AW138),2)</f>
        <v>0</v>
      </c>
      <c r="AT139" s="55" t="n">
        <f aca="false">ROUND(AS139*$E$13/12,2)</f>
        <v>0</v>
      </c>
      <c r="AU139" s="55" t="n">
        <f aca="false">MIN($F$13,AS139+AT139)</f>
        <v>0</v>
      </c>
      <c r="AV139" s="55" t="n">
        <f aca="false">MAX(0,MIN(AS139+AT139-AU139,$D139-(H139+M139+R139+W139+AB139+AG139+AL139+AQ139)))</f>
        <v>0</v>
      </c>
      <c r="AW139" s="55" t="n">
        <f aca="false">AU139+AV139</f>
        <v>0</v>
      </c>
      <c r="AX139" s="55" t="n">
        <f aca="false">ROUND(MAX(0,AX138+AY138-BB138),2)</f>
        <v>0</v>
      </c>
      <c r="AY139" s="55" t="n">
        <f aca="false">ROUND(AX139*$E$14/12,2)</f>
        <v>0</v>
      </c>
      <c r="AZ139" s="55" t="n">
        <f aca="false">MIN($F$14,AX139+AY139)</f>
        <v>0</v>
      </c>
      <c r="BA139" s="55" t="n">
        <f aca="false">MAX(0,MIN(AX139+AY139-AZ139,$D139-(H139+M139+R139+W139+AB139+AG139+AL139+AQ139+AV139)))</f>
        <v>0</v>
      </c>
      <c r="BB139" s="55" t="n">
        <f aca="false">AZ139+BA139</f>
        <v>0</v>
      </c>
      <c r="BC139" s="55" t="n">
        <f aca="false">I139+N139+S139+X139+AC139+AH139+AM139+AR139+AW139+BB139</f>
        <v>0</v>
      </c>
      <c r="BD139" s="55" t="n">
        <f aca="false">ROUND((E139+F139-I139)+(J139+K139-N139)+(O139+P139-S139)+(T139+U139-X139)+(Y139+Z139-AC139)+(AD139+AE139-AH139)+(AI139+AJ139-AM139)+(AN139+AO139-AR139)+(AS139+AT139-AW139)+(AX139+AY139-BB139),2)</f>
        <v>0</v>
      </c>
      <c r="BE139" s="25" t="str">
        <f aca="false">IF(H139&gt;0.005,$C$5,IF(M139&gt;0.005,$C$6,IF(R139&gt;0.005,$C$7,IF(W139&gt;0.005,$C$8,IF(AB139&gt;0.005,$C$9,IF(AG139&gt;0.005,$C$10,IF(AL139&gt;0.005,$C$11,IF(AQ139&gt;0.005,$C$12,IF(AV139&gt;0.005,$C$13,IF(BA139&gt;0.005,$C$14,""))))))))))</f>
        <v/>
      </c>
    </row>
    <row r="140" customFormat="false" ht="15" hidden="false" customHeight="false" outlineLevel="0" collapsed="false">
      <c r="A140" s="24" t="n">
        <v>117</v>
      </c>
      <c r="B140" s="54" t="n">
        <f aca="false">EDATE($C$17,A140-1)</f>
        <v>49857</v>
      </c>
      <c r="C140" s="55" t="n">
        <f aca="false">G140+L140+Q140+V140+AA140+AF140+AK140+AP140+AU140+AZ140</f>
        <v>0</v>
      </c>
      <c r="D140" s="55" t="n">
        <f aca="false">MAX(0,$C$16-C140)</f>
        <v>5822</v>
      </c>
      <c r="E140" s="55" t="n">
        <f aca="false">ROUND(MAX(0,E139+F139-I139),2)</f>
        <v>0</v>
      </c>
      <c r="F140" s="55" t="n">
        <f aca="false">ROUND(E140*$E$5/12,2)</f>
        <v>0</v>
      </c>
      <c r="G140" s="55" t="n">
        <f aca="false">MIN($F$5,E140+F140)</f>
        <v>0</v>
      </c>
      <c r="H140" s="55" t="n">
        <f aca="false">MAX(0,MIN(E140+F140-G140,$D140))</f>
        <v>0</v>
      </c>
      <c r="I140" s="55" t="n">
        <f aca="false">G140+H140</f>
        <v>0</v>
      </c>
      <c r="J140" s="55" t="n">
        <f aca="false">ROUND(MAX(0,J139+K139-N139),2)</f>
        <v>0</v>
      </c>
      <c r="K140" s="55" t="n">
        <f aca="false">ROUND(J140*$E$6/12,2)</f>
        <v>0</v>
      </c>
      <c r="L140" s="55" t="n">
        <f aca="false">MIN($F$6,J140+K140)</f>
        <v>0</v>
      </c>
      <c r="M140" s="55" t="n">
        <f aca="false">MAX(0,MIN(J140+K140-L140,$D140-(H140)))</f>
        <v>0</v>
      </c>
      <c r="N140" s="55" t="n">
        <f aca="false">L140+M140</f>
        <v>0</v>
      </c>
      <c r="O140" s="55" t="n">
        <f aca="false">ROUND(MAX(0,O139+P139-S139),2)</f>
        <v>0</v>
      </c>
      <c r="P140" s="55" t="n">
        <f aca="false">ROUND(O140*$E$7/12,2)</f>
        <v>0</v>
      </c>
      <c r="Q140" s="55" t="n">
        <f aca="false">MIN($F$7,O140+P140)</f>
        <v>0</v>
      </c>
      <c r="R140" s="55" t="n">
        <f aca="false">MAX(0,MIN(O140+P140-Q140,$D140-(H140+M140)))</f>
        <v>0</v>
      </c>
      <c r="S140" s="55" t="n">
        <f aca="false">Q140+R140</f>
        <v>0</v>
      </c>
      <c r="T140" s="55" t="n">
        <f aca="false">ROUND(MAX(0,T139+U139-X139),2)</f>
        <v>0</v>
      </c>
      <c r="U140" s="55" t="n">
        <f aca="false">ROUND(T140*$E$8/12,2)</f>
        <v>0</v>
      </c>
      <c r="V140" s="55" t="n">
        <f aca="false">MIN($F$8,T140+U140)</f>
        <v>0</v>
      </c>
      <c r="W140" s="55" t="n">
        <f aca="false">MAX(0,MIN(T140+U140-V140,$D140-(H140+M140+R140)))</f>
        <v>0</v>
      </c>
      <c r="X140" s="55" t="n">
        <f aca="false">V140+W140</f>
        <v>0</v>
      </c>
      <c r="Y140" s="55" t="n">
        <f aca="false">ROUND(MAX(0,Y139+Z139-AC139),2)</f>
        <v>0</v>
      </c>
      <c r="Z140" s="55" t="n">
        <f aca="false">ROUND(Y140*$E$9/12,2)</f>
        <v>0</v>
      </c>
      <c r="AA140" s="55" t="n">
        <f aca="false">MIN($F$9,Y140+Z140)</f>
        <v>0</v>
      </c>
      <c r="AB140" s="55" t="n">
        <f aca="false">MAX(0,MIN(Y140+Z140-AA140,$D140-(H140+M140+R140+W140)))</f>
        <v>0</v>
      </c>
      <c r="AC140" s="55" t="n">
        <f aca="false">AA140+AB140</f>
        <v>0</v>
      </c>
      <c r="AD140" s="55" t="n">
        <f aca="false">ROUND(MAX(0,AD139+AE139-AH139),2)</f>
        <v>0</v>
      </c>
      <c r="AE140" s="55" t="n">
        <f aca="false">ROUND(AD140*$E$10/12,2)</f>
        <v>0</v>
      </c>
      <c r="AF140" s="55" t="n">
        <f aca="false">MIN($F$10,AD140+AE140)</f>
        <v>0</v>
      </c>
      <c r="AG140" s="55" t="n">
        <f aca="false">MAX(0,MIN(AD140+AE140-AF140,$D140-(H140+M140+R140+W140+AB140)))</f>
        <v>0</v>
      </c>
      <c r="AH140" s="55" t="n">
        <f aca="false">AF140+AG140</f>
        <v>0</v>
      </c>
      <c r="AI140" s="55" t="n">
        <f aca="false">ROUND(MAX(0,AI139+AJ139-AM139),2)</f>
        <v>0</v>
      </c>
      <c r="AJ140" s="55" t="n">
        <f aca="false">ROUND(AI140*$E$11/12,2)</f>
        <v>0</v>
      </c>
      <c r="AK140" s="55" t="n">
        <f aca="false">MIN($F$11,AI140+AJ140)</f>
        <v>0</v>
      </c>
      <c r="AL140" s="55" t="n">
        <f aca="false">MAX(0,MIN(AI140+AJ140-AK140,$D140-(H140+M140+R140+W140+AB140+AG140)))</f>
        <v>0</v>
      </c>
      <c r="AM140" s="55" t="n">
        <f aca="false">AK140+AL140</f>
        <v>0</v>
      </c>
      <c r="AN140" s="55" t="n">
        <f aca="false">ROUND(MAX(0,AN139+AO139-AR139),2)</f>
        <v>0</v>
      </c>
      <c r="AO140" s="55" t="n">
        <f aca="false">ROUND(AN140*$E$12/12,2)</f>
        <v>0</v>
      </c>
      <c r="AP140" s="55" t="n">
        <f aca="false">MIN($F$12,AN140+AO140)</f>
        <v>0</v>
      </c>
      <c r="AQ140" s="55" t="n">
        <f aca="false">MAX(0,MIN(AN140+AO140-AP140,$D140-(H140+M140+R140+W140+AB140+AG140+AL140)))</f>
        <v>0</v>
      </c>
      <c r="AR140" s="55" t="n">
        <f aca="false">AP140+AQ140</f>
        <v>0</v>
      </c>
      <c r="AS140" s="55" t="n">
        <f aca="false">ROUND(MAX(0,AS139+AT139-AW139),2)</f>
        <v>0</v>
      </c>
      <c r="AT140" s="55" t="n">
        <f aca="false">ROUND(AS140*$E$13/12,2)</f>
        <v>0</v>
      </c>
      <c r="AU140" s="55" t="n">
        <f aca="false">MIN($F$13,AS140+AT140)</f>
        <v>0</v>
      </c>
      <c r="AV140" s="55" t="n">
        <f aca="false">MAX(0,MIN(AS140+AT140-AU140,$D140-(H140+M140+R140+W140+AB140+AG140+AL140+AQ140)))</f>
        <v>0</v>
      </c>
      <c r="AW140" s="55" t="n">
        <f aca="false">AU140+AV140</f>
        <v>0</v>
      </c>
      <c r="AX140" s="55" t="n">
        <f aca="false">ROUND(MAX(0,AX139+AY139-BB139),2)</f>
        <v>0</v>
      </c>
      <c r="AY140" s="55" t="n">
        <f aca="false">ROUND(AX140*$E$14/12,2)</f>
        <v>0</v>
      </c>
      <c r="AZ140" s="55" t="n">
        <f aca="false">MIN($F$14,AX140+AY140)</f>
        <v>0</v>
      </c>
      <c r="BA140" s="55" t="n">
        <f aca="false">MAX(0,MIN(AX140+AY140-AZ140,$D140-(H140+M140+R140+W140+AB140+AG140+AL140+AQ140+AV140)))</f>
        <v>0</v>
      </c>
      <c r="BB140" s="55" t="n">
        <f aca="false">AZ140+BA140</f>
        <v>0</v>
      </c>
      <c r="BC140" s="55" t="n">
        <f aca="false">I140+N140+S140+X140+AC140+AH140+AM140+AR140+AW140+BB140</f>
        <v>0</v>
      </c>
      <c r="BD140" s="55" t="n">
        <f aca="false">ROUND((E140+F140-I140)+(J140+K140-N140)+(O140+P140-S140)+(T140+U140-X140)+(Y140+Z140-AC140)+(AD140+AE140-AH140)+(AI140+AJ140-AM140)+(AN140+AO140-AR140)+(AS140+AT140-AW140)+(AX140+AY140-BB140),2)</f>
        <v>0</v>
      </c>
      <c r="BE140" s="25" t="str">
        <f aca="false">IF(H140&gt;0.005,$C$5,IF(M140&gt;0.005,$C$6,IF(R140&gt;0.005,$C$7,IF(W140&gt;0.005,$C$8,IF(AB140&gt;0.005,$C$9,IF(AG140&gt;0.005,$C$10,IF(AL140&gt;0.005,$C$11,IF(AQ140&gt;0.005,$C$12,IF(AV140&gt;0.005,$C$13,IF(BA140&gt;0.005,$C$14,""))))))))))</f>
        <v/>
      </c>
    </row>
    <row r="141" customFormat="false" ht="15" hidden="false" customHeight="false" outlineLevel="0" collapsed="false">
      <c r="A141" s="24" t="n">
        <v>118</v>
      </c>
      <c r="B141" s="54" t="n">
        <f aca="false">EDATE($C$17,A141-1)</f>
        <v>49888</v>
      </c>
      <c r="C141" s="55" t="n">
        <f aca="false">G141+L141+Q141+V141+AA141+AF141+AK141+AP141+AU141+AZ141</f>
        <v>0</v>
      </c>
      <c r="D141" s="55" t="n">
        <f aca="false">MAX(0,$C$16-C141)</f>
        <v>5822</v>
      </c>
      <c r="E141" s="55" t="n">
        <f aca="false">ROUND(MAX(0,E140+F140-I140),2)</f>
        <v>0</v>
      </c>
      <c r="F141" s="55" t="n">
        <f aca="false">ROUND(E141*$E$5/12,2)</f>
        <v>0</v>
      </c>
      <c r="G141" s="55" t="n">
        <f aca="false">MIN($F$5,E141+F141)</f>
        <v>0</v>
      </c>
      <c r="H141" s="55" t="n">
        <f aca="false">MAX(0,MIN(E141+F141-G141,$D141))</f>
        <v>0</v>
      </c>
      <c r="I141" s="55" t="n">
        <f aca="false">G141+H141</f>
        <v>0</v>
      </c>
      <c r="J141" s="55" t="n">
        <f aca="false">ROUND(MAX(0,J140+K140-N140),2)</f>
        <v>0</v>
      </c>
      <c r="K141" s="55" t="n">
        <f aca="false">ROUND(J141*$E$6/12,2)</f>
        <v>0</v>
      </c>
      <c r="L141" s="55" t="n">
        <f aca="false">MIN($F$6,J141+K141)</f>
        <v>0</v>
      </c>
      <c r="M141" s="55" t="n">
        <f aca="false">MAX(0,MIN(J141+K141-L141,$D141-(H141)))</f>
        <v>0</v>
      </c>
      <c r="N141" s="55" t="n">
        <f aca="false">L141+M141</f>
        <v>0</v>
      </c>
      <c r="O141" s="55" t="n">
        <f aca="false">ROUND(MAX(0,O140+P140-S140),2)</f>
        <v>0</v>
      </c>
      <c r="P141" s="55" t="n">
        <f aca="false">ROUND(O141*$E$7/12,2)</f>
        <v>0</v>
      </c>
      <c r="Q141" s="55" t="n">
        <f aca="false">MIN($F$7,O141+P141)</f>
        <v>0</v>
      </c>
      <c r="R141" s="55" t="n">
        <f aca="false">MAX(0,MIN(O141+P141-Q141,$D141-(H141+M141)))</f>
        <v>0</v>
      </c>
      <c r="S141" s="55" t="n">
        <f aca="false">Q141+R141</f>
        <v>0</v>
      </c>
      <c r="T141" s="55" t="n">
        <f aca="false">ROUND(MAX(0,T140+U140-X140),2)</f>
        <v>0</v>
      </c>
      <c r="U141" s="55" t="n">
        <f aca="false">ROUND(T141*$E$8/12,2)</f>
        <v>0</v>
      </c>
      <c r="V141" s="55" t="n">
        <f aca="false">MIN($F$8,T141+U141)</f>
        <v>0</v>
      </c>
      <c r="W141" s="55" t="n">
        <f aca="false">MAX(0,MIN(T141+U141-V141,$D141-(H141+M141+R141)))</f>
        <v>0</v>
      </c>
      <c r="X141" s="55" t="n">
        <f aca="false">V141+W141</f>
        <v>0</v>
      </c>
      <c r="Y141" s="55" t="n">
        <f aca="false">ROUND(MAX(0,Y140+Z140-AC140),2)</f>
        <v>0</v>
      </c>
      <c r="Z141" s="55" t="n">
        <f aca="false">ROUND(Y141*$E$9/12,2)</f>
        <v>0</v>
      </c>
      <c r="AA141" s="55" t="n">
        <f aca="false">MIN($F$9,Y141+Z141)</f>
        <v>0</v>
      </c>
      <c r="AB141" s="55" t="n">
        <f aca="false">MAX(0,MIN(Y141+Z141-AA141,$D141-(H141+M141+R141+W141)))</f>
        <v>0</v>
      </c>
      <c r="AC141" s="55" t="n">
        <f aca="false">AA141+AB141</f>
        <v>0</v>
      </c>
      <c r="AD141" s="55" t="n">
        <f aca="false">ROUND(MAX(0,AD140+AE140-AH140),2)</f>
        <v>0</v>
      </c>
      <c r="AE141" s="55" t="n">
        <f aca="false">ROUND(AD141*$E$10/12,2)</f>
        <v>0</v>
      </c>
      <c r="AF141" s="55" t="n">
        <f aca="false">MIN($F$10,AD141+AE141)</f>
        <v>0</v>
      </c>
      <c r="AG141" s="55" t="n">
        <f aca="false">MAX(0,MIN(AD141+AE141-AF141,$D141-(H141+M141+R141+W141+AB141)))</f>
        <v>0</v>
      </c>
      <c r="AH141" s="55" t="n">
        <f aca="false">AF141+AG141</f>
        <v>0</v>
      </c>
      <c r="AI141" s="55" t="n">
        <f aca="false">ROUND(MAX(0,AI140+AJ140-AM140),2)</f>
        <v>0</v>
      </c>
      <c r="AJ141" s="55" t="n">
        <f aca="false">ROUND(AI141*$E$11/12,2)</f>
        <v>0</v>
      </c>
      <c r="AK141" s="55" t="n">
        <f aca="false">MIN($F$11,AI141+AJ141)</f>
        <v>0</v>
      </c>
      <c r="AL141" s="55" t="n">
        <f aca="false">MAX(0,MIN(AI141+AJ141-AK141,$D141-(H141+M141+R141+W141+AB141+AG141)))</f>
        <v>0</v>
      </c>
      <c r="AM141" s="55" t="n">
        <f aca="false">AK141+AL141</f>
        <v>0</v>
      </c>
      <c r="AN141" s="55" t="n">
        <f aca="false">ROUND(MAX(0,AN140+AO140-AR140),2)</f>
        <v>0</v>
      </c>
      <c r="AO141" s="55" t="n">
        <f aca="false">ROUND(AN141*$E$12/12,2)</f>
        <v>0</v>
      </c>
      <c r="AP141" s="55" t="n">
        <f aca="false">MIN($F$12,AN141+AO141)</f>
        <v>0</v>
      </c>
      <c r="AQ141" s="55" t="n">
        <f aca="false">MAX(0,MIN(AN141+AO141-AP141,$D141-(H141+M141+R141+W141+AB141+AG141+AL141)))</f>
        <v>0</v>
      </c>
      <c r="AR141" s="55" t="n">
        <f aca="false">AP141+AQ141</f>
        <v>0</v>
      </c>
      <c r="AS141" s="55" t="n">
        <f aca="false">ROUND(MAX(0,AS140+AT140-AW140),2)</f>
        <v>0</v>
      </c>
      <c r="AT141" s="55" t="n">
        <f aca="false">ROUND(AS141*$E$13/12,2)</f>
        <v>0</v>
      </c>
      <c r="AU141" s="55" t="n">
        <f aca="false">MIN($F$13,AS141+AT141)</f>
        <v>0</v>
      </c>
      <c r="AV141" s="55" t="n">
        <f aca="false">MAX(0,MIN(AS141+AT141-AU141,$D141-(H141+M141+R141+W141+AB141+AG141+AL141+AQ141)))</f>
        <v>0</v>
      </c>
      <c r="AW141" s="55" t="n">
        <f aca="false">AU141+AV141</f>
        <v>0</v>
      </c>
      <c r="AX141" s="55" t="n">
        <f aca="false">ROUND(MAX(0,AX140+AY140-BB140),2)</f>
        <v>0</v>
      </c>
      <c r="AY141" s="55" t="n">
        <f aca="false">ROUND(AX141*$E$14/12,2)</f>
        <v>0</v>
      </c>
      <c r="AZ141" s="55" t="n">
        <f aca="false">MIN($F$14,AX141+AY141)</f>
        <v>0</v>
      </c>
      <c r="BA141" s="55" t="n">
        <f aca="false">MAX(0,MIN(AX141+AY141-AZ141,$D141-(H141+M141+R141+W141+AB141+AG141+AL141+AQ141+AV141)))</f>
        <v>0</v>
      </c>
      <c r="BB141" s="55" t="n">
        <f aca="false">AZ141+BA141</f>
        <v>0</v>
      </c>
      <c r="BC141" s="55" t="n">
        <f aca="false">I141+N141+S141+X141+AC141+AH141+AM141+AR141+AW141+BB141</f>
        <v>0</v>
      </c>
      <c r="BD141" s="55" t="n">
        <f aca="false">ROUND((E141+F141-I141)+(J141+K141-N141)+(O141+P141-S141)+(T141+U141-X141)+(Y141+Z141-AC141)+(AD141+AE141-AH141)+(AI141+AJ141-AM141)+(AN141+AO141-AR141)+(AS141+AT141-AW141)+(AX141+AY141-BB141),2)</f>
        <v>0</v>
      </c>
      <c r="BE141" s="25" t="str">
        <f aca="false">IF(H141&gt;0.005,$C$5,IF(M141&gt;0.005,$C$6,IF(R141&gt;0.005,$C$7,IF(W141&gt;0.005,$C$8,IF(AB141&gt;0.005,$C$9,IF(AG141&gt;0.005,$C$10,IF(AL141&gt;0.005,$C$11,IF(AQ141&gt;0.005,$C$12,IF(AV141&gt;0.005,$C$13,IF(BA141&gt;0.005,$C$14,""))))))))))</f>
        <v/>
      </c>
    </row>
    <row r="142" customFormat="false" ht="15" hidden="false" customHeight="false" outlineLevel="0" collapsed="false">
      <c r="A142" s="24" t="n">
        <v>119</v>
      </c>
      <c r="B142" s="54" t="n">
        <f aca="false">EDATE($C$17,A142-1)</f>
        <v>49919</v>
      </c>
      <c r="C142" s="55" t="n">
        <f aca="false">G142+L142+Q142+V142+AA142+AF142+AK142+AP142+AU142+AZ142</f>
        <v>0</v>
      </c>
      <c r="D142" s="55" t="n">
        <f aca="false">MAX(0,$C$16-C142)</f>
        <v>5822</v>
      </c>
      <c r="E142" s="55" t="n">
        <f aca="false">ROUND(MAX(0,E141+F141-I141),2)</f>
        <v>0</v>
      </c>
      <c r="F142" s="55" t="n">
        <f aca="false">ROUND(E142*$E$5/12,2)</f>
        <v>0</v>
      </c>
      <c r="G142" s="55" t="n">
        <f aca="false">MIN($F$5,E142+F142)</f>
        <v>0</v>
      </c>
      <c r="H142" s="55" t="n">
        <f aca="false">MAX(0,MIN(E142+F142-G142,$D142))</f>
        <v>0</v>
      </c>
      <c r="I142" s="55" t="n">
        <f aca="false">G142+H142</f>
        <v>0</v>
      </c>
      <c r="J142" s="55" t="n">
        <f aca="false">ROUND(MAX(0,J141+K141-N141),2)</f>
        <v>0</v>
      </c>
      <c r="K142" s="55" t="n">
        <f aca="false">ROUND(J142*$E$6/12,2)</f>
        <v>0</v>
      </c>
      <c r="L142" s="55" t="n">
        <f aca="false">MIN($F$6,J142+K142)</f>
        <v>0</v>
      </c>
      <c r="M142" s="55" t="n">
        <f aca="false">MAX(0,MIN(J142+K142-L142,$D142-(H142)))</f>
        <v>0</v>
      </c>
      <c r="N142" s="55" t="n">
        <f aca="false">L142+M142</f>
        <v>0</v>
      </c>
      <c r="O142" s="55" t="n">
        <f aca="false">ROUND(MAX(0,O141+P141-S141),2)</f>
        <v>0</v>
      </c>
      <c r="P142" s="55" t="n">
        <f aca="false">ROUND(O142*$E$7/12,2)</f>
        <v>0</v>
      </c>
      <c r="Q142" s="55" t="n">
        <f aca="false">MIN($F$7,O142+P142)</f>
        <v>0</v>
      </c>
      <c r="R142" s="55" t="n">
        <f aca="false">MAX(0,MIN(O142+P142-Q142,$D142-(H142+M142)))</f>
        <v>0</v>
      </c>
      <c r="S142" s="55" t="n">
        <f aca="false">Q142+R142</f>
        <v>0</v>
      </c>
      <c r="T142" s="55" t="n">
        <f aca="false">ROUND(MAX(0,T141+U141-X141),2)</f>
        <v>0</v>
      </c>
      <c r="U142" s="55" t="n">
        <f aca="false">ROUND(T142*$E$8/12,2)</f>
        <v>0</v>
      </c>
      <c r="V142" s="55" t="n">
        <f aca="false">MIN($F$8,T142+U142)</f>
        <v>0</v>
      </c>
      <c r="W142" s="55" t="n">
        <f aca="false">MAX(0,MIN(T142+U142-V142,$D142-(H142+M142+R142)))</f>
        <v>0</v>
      </c>
      <c r="X142" s="55" t="n">
        <f aca="false">V142+W142</f>
        <v>0</v>
      </c>
      <c r="Y142" s="55" t="n">
        <f aca="false">ROUND(MAX(0,Y141+Z141-AC141),2)</f>
        <v>0</v>
      </c>
      <c r="Z142" s="55" t="n">
        <f aca="false">ROUND(Y142*$E$9/12,2)</f>
        <v>0</v>
      </c>
      <c r="AA142" s="55" t="n">
        <f aca="false">MIN($F$9,Y142+Z142)</f>
        <v>0</v>
      </c>
      <c r="AB142" s="55" t="n">
        <f aca="false">MAX(0,MIN(Y142+Z142-AA142,$D142-(H142+M142+R142+W142)))</f>
        <v>0</v>
      </c>
      <c r="AC142" s="55" t="n">
        <f aca="false">AA142+AB142</f>
        <v>0</v>
      </c>
      <c r="AD142" s="55" t="n">
        <f aca="false">ROUND(MAX(0,AD141+AE141-AH141),2)</f>
        <v>0</v>
      </c>
      <c r="AE142" s="55" t="n">
        <f aca="false">ROUND(AD142*$E$10/12,2)</f>
        <v>0</v>
      </c>
      <c r="AF142" s="55" t="n">
        <f aca="false">MIN($F$10,AD142+AE142)</f>
        <v>0</v>
      </c>
      <c r="AG142" s="55" t="n">
        <f aca="false">MAX(0,MIN(AD142+AE142-AF142,$D142-(H142+M142+R142+W142+AB142)))</f>
        <v>0</v>
      </c>
      <c r="AH142" s="55" t="n">
        <f aca="false">AF142+AG142</f>
        <v>0</v>
      </c>
      <c r="AI142" s="55" t="n">
        <f aca="false">ROUND(MAX(0,AI141+AJ141-AM141),2)</f>
        <v>0</v>
      </c>
      <c r="AJ142" s="55" t="n">
        <f aca="false">ROUND(AI142*$E$11/12,2)</f>
        <v>0</v>
      </c>
      <c r="AK142" s="55" t="n">
        <f aca="false">MIN($F$11,AI142+AJ142)</f>
        <v>0</v>
      </c>
      <c r="AL142" s="55" t="n">
        <f aca="false">MAX(0,MIN(AI142+AJ142-AK142,$D142-(H142+M142+R142+W142+AB142+AG142)))</f>
        <v>0</v>
      </c>
      <c r="AM142" s="55" t="n">
        <f aca="false">AK142+AL142</f>
        <v>0</v>
      </c>
      <c r="AN142" s="55" t="n">
        <f aca="false">ROUND(MAX(0,AN141+AO141-AR141),2)</f>
        <v>0</v>
      </c>
      <c r="AO142" s="55" t="n">
        <f aca="false">ROUND(AN142*$E$12/12,2)</f>
        <v>0</v>
      </c>
      <c r="AP142" s="55" t="n">
        <f aca="false">MIN($F$12,AN142+AO142)</f>
        <v>0</v>
      </c>
      <c r="AQ142" s="55" t="n">
        <f aca="false">MAX(0,MIN(AN142+AO142-AP142,$D142-(H142+M142+R142+W142+AB142+AG142+AL142)))</f>
        <v>0</v>
      </c>
      <c r="AR142" s="55" t="n">
        <f aca="false">AP142+AQ142</f>
        <v>0</v>
      </c>
      <c r="AS142" s="55" t="n">
        <f aca="false">ROUND(MAX(0,AS141+AT141-AW141),2)</f>
        <v>0</v>
      </c>
      <c r="AT142" s="55" t="n">
        <f aca="false">ROUND(AS142*$E$13/12,2)</f>
        <v>0</v>
      </c>
      <c r="AU142" s="55" t="n">
        <f aca="false">MIN($F$13,AS142+AT142)</f>
        <v>0</v>
      </c>
      <c r="AV142" s="55" t="n">
        <f aca="false">MAX(0,MIN(AS142+AT142-AU142,$D142-(H142+M142+R142+W142+AB142+AG142+AL142+AQ142)))</f>
        <v>0</v>
      </c>
      <c r="AW142" s="55" t="n">
        <f aca="false">AU142+AV142</f>
        <v>0</v>
      </c>
      <c r="AX142" s="55" t="n">
        <f aca="false">ROUND(MAX(0,AX141+AY141-BB141),2)</f>
        <v>0</v>
      </c>
      <c r="AY142" s="55" t="n">
        <f aca="false">ROUND(AX142*$E$14/12,2)</f>
        <v>0</v>
      </c>
      <c r="AZ142" s="55" t="n">
        <f aca="false">MIN($F$14,AX142+AY142)</f>
        <v>0</v>
      </c>
      <c r="BA142" s="55" t="n">
        <f aca="false">MAX(0,MIN(AX142+AY142-AZ142,$D142-(H142+M142+R142+W142+AB142+AG142+AL142+AQ142+AV142)))</f>
        <v>0</v>
      </c>
      <c r="BB142" s="55" t="n">
        <f aca="false">AZ142+BA142</f>
        <v>0</v>
      </c>
      <c r="BC142" s="55" t="n">
        <f aca="false">I142+N142+S142+X142+AC142+AH142+AM142+AR142+AW142+BB142</f>
        <v>0</v>
      </c>
      <c r="BD142" s="55" t="n">
        <f aca="false">ROUND((E142+F142-I142)+(J142+K142-N142)+(O142+P142-S142)+(T142+U142-X142)+(Y142+Z142-AC142)+(AD142+AE142-AH142)+(AI142+AJ142-AM142)+(AN142+AO142-AR142)+(AS142+AT142-AW142)+(AX142+AY142-BB142),2)</f>
        <v>0</v>
      </c>
      <c r="BE142" s="25" t="str">
        <f aca="false">IF(H142&gt;0.005,$C$5,IF(M142&gt;0.005,$C$6,IF(R142&gt;0.005,$C$7,IF(W142&gt;0.005,$C$8,IF(AB142&gt;0.005,$C$9,IF(AG142&gt;0.005,$C$10,IF(AL142&gt;0.005,$C$11,IF(AQ142&gt;0.005,$C$12,IF(AV142&gt;0.005,$C$13,IF(BA142&gt;0.005,$C$14,""))))))))))</f>
        <v/>
      </c>
    </row>
    <row r="143" customFormat="false" ht="15" hidden="false" customHeight="false" outlineLevel="0" collapsed="false">
      <c r="A143" s="24" t="n">
        <v>120</v>
      </c>
      <c r="B143" s="54" t="n">
        <f aca="false">EDATE($C$17,A143-1)</f>
        <v>49949</v>
      </c>
      <c r="C143" s="55" t="n">
        <f aca="false">G143+L143+Q143+V143+AA143+AF143+AK143+AP143+AU143+AZ143</f>
        <v>0</v>
      </c>
      <c r="D143" s="55" t="n">
        <f aca="false">MAX(0,$C$16-C143)</f>
        <v>5822</v>
      </c>
      <c r="E143" s="55" t="n">
        <f aca="false">ROUND(MAX(0,E142+F142-I142),2)</f>
        <v>0</v>
      </c>
      <c r="F143" s="55" t="n">
        <f aca="false">ROUND(E143*$E$5/12,2)</f>
        <v>0</v>
      </c>
      <c r="G143" s="55" t="n">
        <f aca="false">MIN($F$5,E143+F143)</f>
        <v>0</v>
      </c>
      <c r="H143" s="55" t="n">
        <f aca="false">MAX(0,MIN(E143+F143-G143,$D143))</f>
        <v>0</v>
      </c>
      <c r="I143" s="55" t="n">
        <f aca="false">G143+H143</f>
        <v>0</v>
      </c>
      <c r="J143" s="55" t="n">
        <f aca="false">ROUND(MAX(0,J142+K142-N142),2)</f>
        <v>0</v>
      </c>
      <c r="K143" s="55" t="n">
        <f aca="false">ROUND(J143*$E$6/12,2)</f>
        <v>0</v>
      </c>
      <c r="L143" s="55" t="n">
        <f aca="false">MIN($F$6,J143+K143)</f>
        <v>0</v>
      </c>
      <c r="M143" s="55" t="n">
        <f aca="false">MAX(0,MIN(J143+K143-L143,$D143-(H143)))</f>
        <v>0</v>
      </c>
      <c r="N143" s="55" t="n">
        <f aca="false">L143+M143</f>
        <v>0</v>
      </c>
      <c r="O143" s="55" t="n">
        <f aca="false">ROUND(MAX(0,O142+P142-S142),2)</f>
        <v>0</v>
      </c>
      <c r="P143" s="55" t="n">
        <f aca="false">ROUND(O143*$E$7/12,2)</f>
        <v>0</v>
      </c>
      <c r="Q143" s="55" t="n">
        <f aca="false">MIN($F$7,O143+P143)</f>
        <v>0</v>
      </c>
      <c r="R143" s="55" t="n">
        <f aca="false">MAX(0,MIN(O143+P143-Q143,$D143-(H143+M143)))</f>
        <v>0</v>
      </c>
      <c r="S143" s="55" t="n">
        <f aca="false">Q143+R143</f>
        <v>0</v>
      </c>
      <c r="T143" s="55" t="n">
        <f aca="false">ROUND(MAX(0,T142+U142-X142),2)</f>
        <v>0</v>
      </c>
      <c r="U143" s="55" t="n">
        <f aca="false">ROUND(T143*$E$8/12,2)</f>
        <v>0</v>
      </c>
      <c r="V143" s="55" t="n">
        <f aca="false">MIN($F$8,T143+U143)</f>
        <v>0</v>
      </c>
      <c r="W143" s="55" t="n">
        <f aca="false">MAX(0,MIN(T143+U143-V143,$D143-(H143+M143+R143)))</f>
        <v>0</v>
      </c>
      <c r="X143" s="55" t="n">
        <f aca="false">V143+W143</f>
        <v>0</v>
      </c>
      <c r="Y143" s="55" t="n">
        <f aca="false">ROUND(MAX(0,Y142+Z142-AC142),2)</f>
        <v>0</v>
      </c>
      <c r="Z143" s="55" t="n">
        <f aca="false">ROUND(Y143*$E$9/12,2)</f>
        <v>0</v>
      </c>
      <c r="AA143" s="55" t="n">
        <f aca="false">MIN($F$9,Y143+Z143)</f>
        <v>0</v>
      </c>
      <c r="AB143" s="55" t="n">
        <f aca="false">MAX(0,MIN(Y143+Z143-AA143,$D143-(H143+M143+R143+W143)))</f>
        <v>0</v>
      </c>
      <c r="AC143" s="55" t="n">
        <f aca="false">AA143+AB143</f>
        <v>0</v>
      </c>
      <c r="AD143" s="55" t="n">
        <f aca="false">ROUND(MAX(0,AD142+AE142-AH142),2)</f>
        <v>0</v>
      </c>
      <c r="AE143" s="55" t="n">
        <f aca="false">ROUND(AD143*$E$10/12,2)</f>
        <v>0</v>
      </c>
      <c r="AF143" s="55" t="n">
        <f aca="false">MIN($F$10,AD143+AE143)</f>
        <v>0</v>
      </c>
      <c r="AG143" s="55" t="n">
        <f aca="false">MAX(0,MIN(AD143+AE143-AF143,$D143-(H143+M143+R143+W143+AB143)))</f>
        <v>0</v>
      </c>
      <c r="AH143" s="55" t="n">
        <f aca="false">AF143+AG143</f>
        <v>0</v>
      </c>
      <c r="AI143" s="55" t="n">
        <f aca="false">ROUND(MAX(0,AI142+AJ142-AM142),2)</f>
        <v>0</v>
      </c>
      <c r="AJ143" s="55" t="n">
        <f aca="false">ROUND(AI143*$E$11/12,2)</f>
        <v>0</v>
      </c>
      <c r="AK143" s="55" t="n">
        <f aca="false">MIN($F$11,AI143+AJ143)</f>
        <v>0</v>
      </c>
      <c r="AL143" s="55" t="n">
        <f aca="false">MAX(0,MIN(AI143+AJ143-AK143,$D143-(H143+M143+R143+W143+AB143+AG143)))</f>
        <v>0</v>
      </c>
      <c r="AM143" s="55" t="n">
        <f aca="false">AK143+AL143</f>
        <v>0</v>
      </c>
      <c r="AN143" s="55" t="n">
        <f aca="false">ROUND(MAX(0,AN142+AO142-AR142),2)</f>
        <v>0</v>
      </c>
      <c r="AO143" s="55" t="n">
        <f aca="false">ROUND(AN143*$E$12/12,2)</f>
        <v>0</v>
      </c>
      <c r="AP143" s="55" t="n">
        <f aca="false">MIN($F$12,AN143+AO143)</f>
        <v>0</v>
      </c>
      <c r="AQ143" s="55" t="n">
        <f aca="false">MAX(0,MIN(AN143+AO143-AP143,$D143-(H143+M143+R143+W143+AB143+AG143+AL143)))</f>
        <v>0</v>
      </c>
      <c r="AR143" s="55" t="n">
        <f aca="false">AP143+AQ143</f>
        <v>0</v>
      </c>
      <c r="AS143" s="55" t="n">
        <f aca="false">ROUND(MAX(0,AS142+AT142-AW142),2)</f>
        <v>0</v>
      </c>
      <c r="AT143" s="55" t="n">
        <f aca="false">ROUND(AS143*$E$13/12,2)</f>
        <v>0</v>
      </c>
      <c r="AU143" s="55" t="n">
        <f aca="false">MIN($F$13,AS143+AT143)</f>
        <v>0</v>
      </c>
      <c r="AV143" s="55" t="n">
        <f aca="false">MAX(0,MIN(AS143+AT143-AU143,$D143-(H143+M143+R143+W143+AB143+AG143+AL143+AQ143)))</f>
        <v>0</v>
      </c>
      <c r="AW143" s="55" t="n">
        <f aca="false">AU143+AV143</f>
        <v>0</v>
      </c>
      <c r="AX143" s="55" t="n">
        <f aca="false">ROUND(MAX(0,AX142+AY142-BB142),2)</f>
        <v>0</v>
      </c>
      <c r="AY143" s="55" t="n">
        <f aca="false">ROUND(AX143*$E$14/12,2)</f>
        <v>0</v>
      </c>
      <c r="AZ143" s="55" t="n">
        <f aca="false">MIN($F$14,AX143+AY143)</f>
        <v>0</v>
      </c>
      <c r="BA143" s="55" t="n">
        <f aca="false">MAX(0,MIN(AX143+AY143-AZ143,$D143-(H143+M143+R143+W143+AB143+AG143+AL143+AQ143+AV143)))</f>
        <v>0</v>
      </c>
      <c r="BB143" s="55" t="n">
        <f aca="false">AZ143+BA143</f>
        <v>0</v>
      </c>
      <c r="BC143" s="55" t="n">
        <f aca="false">I143+N143+S143+X143+AC143+AH143+AM143+AR143+AW143+BB143</f>
        <v>0</v>
      </c>
      <c r="BD143" s="55" t="n">
        <f aca="false">ROUND((E143+F143-I143)+(J143+K143-N143)+(O143+P143-S143)+(T143+U143-X143)+(Y143+Z143-AC143)+(AD143+AE143-AH143)+(AI143+AJ143-AM143)+(AN143+AO143-AR143)+(AS143+AT143-AW143)+(AX143+AY143-BB143),2)</f>
        <v>0</v>
      </c>
      <c r="BE143" s="25" t="str">
        <f aca="false">IF(H143&gt;0.005,$C$5,IF(M143&gt;0.005,$C$6,IF(R143&gt;0.005,$C$7,IF(W143&gt;0.005,$C$8,IF(AB143&gt;0.005,$C$9,IF(AG143&gt;0.005,$C$10,IF(AL143&gt;0.005,$C$11,IF(AQ143&gt;0.005,$C$12,IF(AV143&gt;0.005,$C$13,IF(BA143&gt;0.005,$C$14,""))))))))))</f>
        <v/>
      </c>
    </row>
    <row r="144" customFormat="false" ht="15" hidden="false" customHeight="false" outlineLevel="0" collapsed="false">
      <c r="A144" s="24" t="n">
        <v>121</v>
      </c>
      <c r="B144" s="54" t="n">
        <f aca="false">EDATE($C$17,A144-1)</f>
        <v>49980</v>
      </c>
      <c r="C144" s="55" t="n">
        <f aca="false">G144+L144+Q144+V144+AA144+AF144+AK144+AP144+AU144+AZ144</f>
        <v>0</v>
      </c>
      <c r="D144" s="55" t="n">
        <f aca="false">MAX(0,$C$16-C144)</f>
        <v>5822</v>
      </c>
      <c r="E144" s="55" t="n">
        <f aca="false">ROUND(MAX(0,E143+F143-I143),2)</f>
        <v>0</v>
      </c>
      <c r="F144" s="55" t="n">
        <f aca="false">ROUND(E144*$E$5/12,2)</f>
        <v>0</v>
      </c>
      <c r="G144" s="55" t="n">
        <f aca="false">MIN($F$5,E144+F144)</f>
        <v>0</v>
      </c>
      <c r="H144" s="55" t="n">
        <f aca="false">MAX(0,MIN(E144+F144-G144,$D144))</f>
        <v>0</v>
      </c>
      <c r="I144" s="55" t="n">
        <f aca="false">G144+H144</f>
        <v>0</v>
      </c>
      <c r="J144" s="55" t="n">
        <f aca="false">ROUND(MAX(0,J143+K143-N143),2)</f>
        <v>0</v>
      </c>
      <c r="K144" s="55" t="n">
        <f aca="false">ROUND(J144*$E$6/12,2)</f>
        <v>0</v>
      </c>
      <c r="L144" s="55" t="n">
        <f aca="false">MIN($F$6,J144+K144)</f>
        <v>0</v>
      </c>
      <c r="M144" s="55" t="n">
        <f aca="false">MAX(0,MIN(J144+K144-L144,$D144-(H144)))</f>
        <v>0</v>
      </c>
      <c r="N144" s="55" t="n">
        <f aca="false">L144+M144</f>
        <v>0</v>
      </c>
      <c r="O144" s="55" t="n">
        <f aca="false">ROUND(MAX(0,O143+P143-S143),2)</f>
        <v>0</v>
      </c>
      <c r="P144" s="55" t="n">
        <f aca="false">ROUND(O144*$E$7/12,2)</f>
        <v>0</v>
      </c>
      <c r="Q144" s="55" t="n">
        <f aca="false">MIN($F$7,O144+P144)</f>
        <v>0</v>
      </c>
      <c r="R144" s="55" t="n">
        <f aca="false">MAX(0,MIN(O144+P144-Q144,$D144-(H144+M144)))</f>
        <v>0</v>
      </c>
      <c r="S144" s="55" t="n">
        <f aca="false">Q144+R144</f>
        <v>0</v>
      </c>
      <c r="T144" s="55" t="n">
        <f aca="false">ROUND(MAX(0,T143+U143-X143),2)</f>
        <v>0</v>
      </c>
      <c r="U144" s="55" t="n">
        <f aca="false">ROUND(T144*$E$8/12,2)</f>
        <v>0</v>
      </c>
      <c r="V144" s="55" t="n">
        <f aca="false">MIN($F$8,T144+U144)</f>
        <v>0</v>
      </c>
      <c r="W144" s="55" t="n">
        <f aca="false">MAX(0,MIN(T144+U144-V144,$D144-(H144+M144+R144)))</f>
        <v>0</v>
      </c>
      <c r="X144" s="55" t="n">
        <f aca="false">V144+W144</f>
        <v>0</v>
      </c>
      <c r="Y144" s="55" t="n">
        <f aca="false">ROUND(MAX(0,Y143+Z143-AC143),2)</f>
        <v>0</v>
      </c>
      <c r="Z144" s="55" t="n">
        <f aca="false">ROUND(Y144*$E$9/12,2)</f>
        <v>0</v>
      </c>
      <c r="AA144" s="55" t="n">
        <f aca="false">MIN($F$9,Y144+Z144)</f>
        <v>0</v>
      </c>
      <c r="AB144" s="55" t="n">
        <f aca="false">MAX(0,MIN(Y144+Z144-AA144,$D144-(H144+M144+R144+W144)))</f>
        <v>0</v>
      </c>
      <c r="AC144" s="55" t="n">
        <f aca="false">AA144+AB144</f>
        <v>0</v>
      </c>
      <c r="AD144" s="55" t="n">
        <f aca="false">ROUND(MAX(0,AD143+AE143-AH143),2)</f>
        <v>0</v>
      </c>
      <c r="AE144" s="55" t="n">
        <f aca="false">ROUND(AD144*$E$10/12,2)</f>
        <v>0</v>
      </c>
      <c r="AF144" s="55" t="n">
        <f aca="false">MIN($F$10,AD144+AE144)</f>
        <v>0</v>
      </c>
      <c r="AG144" s="55" t="n">
        <f aca="false">MAX(0,MIN(AD144+AE144-AF144,$D144-(H144+M144+R144+W144+AB144)))</f>
        <v>0</v>
      </c>
      <c r="AH144" s="55" t="n">
        <f aca="false">AF144+AG144</f>
        <v>0</v>
      </c>
      <c r="AI144" s="55" t="n">
        <f aca="false">ROUND(MAX(0,AI143+AJ143-AM143),2)</f>
        <v>0</v>
      </c>
      <c r="AJ144" s="55" t="n">
        <f aca="false">ROUND(AI144*$E$11/12,2)</f>
        <v>0</v>
      </c>
      <c r="AK144" s="55" t="n">
        <f aca="false">MIN($F$11,AI144+AJ144)</f>
        <v>0</v>
      </c>
      <c r="AL144" s="55" t="n">
        <f aca="false">MAX(0,MIN(AI144+AJ144-AK144,$D144-(H144+M144+R144+W144+AB144+AG144)))</f>
        <v>0</v>
      </c>
      <c r="AM144" s="55" t="n">
        <f aca="false">AK144+AL144</f>
        <v>0</v>
      </c>
      <c r="AN144" s="55" t="n">
        <f aca="false">ROUND(MAX(0,AN143+AO143-AR143),2)</f>
        <v>0</v>
      </c>
      <c r="AO144" s="55" t="n">
        <f aca="false">ROUND(AN144*$E$12/12,2)</f>
        <v>0</v>
      </c>
      <c r="AP144" s="55" t="n">
        <f aca="false">MIN($F$12,AN144+AO144)</f>
        <v>0</v>
      </c>
      <c r="AQ144" s="55" t="n">
        <f aca="false">MAX(0,MIN(AN144+AO144-AP144,$D144-(H144+M144+R144+W144+AB144+AG144+AL144)))</f>
        <v>0</v>
      </c>
      <c r="AR144" s="55" t="n">
        <f aca="false">AP144+AQ144</f>
        <v>0</v>
      </c>
      <c r="AS144" s="55" t="n">
        <f aca="false">ROUND(MAX(0,AS143+AT143-AW143),2)</f>
        <v>0</v>
      </c>
      <c r="AT144" s="55" t="n">
        <f aca="false">ROUND(AS144*$E$13/12,2)</f>
        <v>0</v>
      </c>
      <c r="AU144" s="55" t="n">
        <f aca="false">MIN($F$13,AS144+AT144)</f>
        <v>0</v>
      </c>
      <c r="AV144" s="55" t="n">
        <f aca="false">MAX(0,MIN(AS144+AT144-AU144,$D144-(H144+M144+R144+W144+AB144+AG144+AL144+AQ144)))</f>
        <v>0</v>
      </c>
      <c r="AW144" s="55" t="n">
        <f aca="false">AU144+AV144</f>
        <v>0</v>
      </c>
      <c r="AX144" s="55" t="n">
        <f aca="false">ROUND(MAX(0,AX143+AY143-BB143),2)</f>
        <v>0</v>
      </c>
      <c r="AY144" s="55" t="n">
        <f aca="false">ROUND(AX144*$E$14/12,2)</f>
        <v>0</v>
      </c>
      <c r="AZ144" s="55" t="n">
        <f aca="false">MIN($F$14,AX144+AY144)</f>
        <v>0</v>
      </c>
      <c r="BA144" s="55" t="n">
        <f aca="false">MAX(0,MIN(AX144+AY144-AZ144,$D144-(H144+M144+R144+W144+AB144+AG144+AL144+AQ144+AV144)))</f>
        <v>0</v>
      </c>
      <c r="BB144" s="55" t="n">
        <f aca="false">AZ144+BA144</f>
        <v>0</v>
      </c>
      <c r="BC144" s="55" t="n">
        <f aca="false">I144+N144+S144+X144+AC144+AH144+AM144+AR144+AW144+BB144</f>
        <v>0</v>
      </c>
      <c r="BD144" s="55" t="n">
        <f aca="false">ROUND((E144+F144-I144)+(J144+K144-N144)+(O144+P144-S144)+(T144+U144-X144)+(Y144+Z144-AC144)+(AD144+AE144-AH144)+(AI144+AJ144-AM144)+(AN144+AO144-AR144)+(AS144+AT144-AW144)+(AX144+AY144-BB144),2)</f>
        <v>0</v>
      </c>
      <c r="BE144" s="25" t="str">
        <f aca="false">IF(H144&gt;0.005,$C$5,IF(M144&gt;0.005,$C$6,IF(R144&gt;0.005,$C$7,IF(W144&gt;0.005,$C$8,IF(AB144&gt;0.005,$C$9,IF(AG144&gt;0.005,$C$10,IF(AL144&gt;0.005,$C$11,IF(AQ144&gt;0.005,$C$12,IF(AV144&gt;0.005,$C$13,IF(BA144&gt;0.005,$C$14,""))))))))))</f>
        <v/>
      </c>
    </row>
    <row r="145" customFormat="false" ht="15" hidden="false" customHeight="false" outlineLevel="0" collapsed="false">
      <c r="A145" s="24" t="n">
        <v>122</v>
      </c>
      <c r="B145" s="54" t="n">
        <f aca="false">EDATE($C$17,A145-1)</f>
        <v>50010</v>
      </c>
      <c r="C145" s="55" t="n">
        <f aca="false">G145+L145+Q145+V145+AA145+AF145+AK145+AP145+AU145+AZ145</f>
        <v>0</v>
      </c>
      <c r="D145" s="55" t="n">
        <f aca="false">MAX(0,$C$16-C145)</f>
        <v>5822</v>
      </c>
      <c r="E145" s="55" t="n">
        <f aca="false">ROUND(MAX(0,E144+F144-I144),2)</f>
        <v>0</v>
      </c>
      <c r="F145" s="55" t="n">
        <f aca="false">ROUND(E145*$E$5/12,2)</f>
        <v>0</v>
      </c>
      <c r="G145" s="55" t="n">
        <f aca="false">MIN($F$5,E145+F145)</f>
        <v>0</v>
      </c>
      <c r="H145" s="55" t="n">
        <f aca="false">MAX(0,MIN(E145+F145-G145,$D145))</f>
        <v>0</v>
      </c>
      <c r="I145" s="55" t="n">
        <f aca="false">G145+H145</f>
        <v>0</v>
      </c>
      <c r="J145" s="55" t="n">
        <f aca="false">ROUND(MAX(0,J144+K144-N144),2)</f>
        <v>0</v>
      </c>
      <c r="K145" s="55" t="n">
        <f aca="false">ROUND(J145*$E$6/12,2)</f>
        <v>0</v>
      </c>
      <c r="L145" s="55" t="n">
        <f aca="false">MIN($F$6,J145+K145)</f>
        <v>0</v>
      </c>
      <c r="M145" s="55" t="n">
        <f aca="false">MAX(0,MIN(J145+K145-L145,$D145-(H145)))</f>
        <v>0</v>
      </c>
      <c r="N145" s="55" t="n">
        <f aca="false">L145+M145</f>
        <v>0</v>
      </c>
      <c r="O145" s="55" t="n">
        <f aca="false">ROUND(MAX(0,O144+P144-S144),2)</f>
        <v>0</v>
      </c>
      <c r="P145" s="55" t="n">
        <f aca="false">ROUND(O145*$E$7/12,2)</f>
        <v>0</v>
      </c>
      <c r="Q145" s="55" t="n">
        <f aca="false">MIN($F$7,O145+P145)</f>
        <v>0</v>
      </c>
      <c r="R145" s="55" t="n">
        <f aca="false">MAX(0,MIN(O145+P145-Q145,$D145-(H145+M145)))</f>
        <v>0</v>
      </c>
      <c r="S145" s="55" t="n">
        <f aca="false">Q145+R145</f>
        <v>0</v>
      </c>
      <c r="T145" s="55" t="n">
        <f aca="false">ROUND(MAX(0,T144+U144-X144),2)</f>
        <v>0</v>
      </c>
      <c r="U145" s="55" t="n">
        <f aca="false">ROUND(T145*$E$8/12,2)</f>
        <v>0</v>
      </c>
      <c r="V145" s="55" t="n">
        <f aca="false">MIN($F$8,T145+U145)</f>
        <v>0</v>
      </c>
      <c r="W145" s="55" t="n">
        <f aca="false">MAX(0,MIN(T145+U145-V145,$D145-(H145+M145+R145)))</f>
        <v>0</v>
      </c>
      <c r="X145" s="55" t="n">
        <f aca="false">V145+W145</f>
        <v>0</v>
      </c>
      <c r="Y145" s="55" t="n">
        <f aca="false">ROUND(MAX(0,Y144+Z144-AC144),2)</f>
        <v>0</v>
      </c>
      <c r="Z145" s="55" t="n">
        <f aca="false">ROUND(Y145*$E$9/12,2)</f>
        <v>0</v>
      </c>
      <c r="AA145" s="55" t="n">
        <f aca="false">MIN($F$9,Y145+Z145)</f>
        <v>0</v>
      </c>
      <c r="AB145" s="55" t="n">
        <f aca="false">MAX(0,MIN(Y145+Z145-AA145,$D145-(H145+M145+R145+W145)))</f>
        <v>0</v>
      </c>
      <c r="AC145" s="55" t="n">
        <f aca="false">AA145+AB145</f>
        <v>0</v>
      </c>
      <c r="AD145" s="55" t="n">
        <f aca="false">ROUND(MAX(0,AD144+AE144-AH144),2)</f>
        <v>0</v>
      </c>
      <c r="AE145" s="55" t="n">
        <f aca="false">ROUND(AD145*$E$10/12,2)</f>
        <v>0</v>
      </c>
      <c r="AF145" s="55" t="n">
        <f aca="false">MIN($F$10,AD145+AE145)</f>
        <v>0</v>
      </c>
      <c r="AG145" s="55" t="n">
        <f aca="false">MAX(0,MIN(AD145+AE145-AF145,$D145-(H145+M145+R145+W145+AB145)))</f>
        <v>0</v>
      </c>
      <c r="AH145" s="55" t="n">
        <f aca="false">AF145+AG145</f>
        <v>0</v>
      </c>
      <c r="AI145" s="55" t="n">
        <f aca="false">ROUND(MAX(0,AI144+AJ144-AM144),2)</f>
        <v>0</v>
      </c>
      <c r="AJ145" s="55" t="n">
        <f aca="false">ROUND(AI145*$E$11/12,2)</f>
        <v>0</v>
      </c>
      <c r="AK145" s="55" t="n">
        <f aca="false">MIN($F$11,AI145+AJ145)</f>
        <v>0</v>
      </c>
      <c r="AL145" s="55" t="n">
        <f aca="false">MAX(0,MIN(AI145+AJ145-AK145,$D145-(H145+M145+R145+W145+AB145+AG145)))</f>
        <v>0</v>
      </c>
      <c r="AM145" s="55" t="n">
        <f aca="false">AK145+AL145</f>
        <v>0</v>
      </c>
      <c r="AN145" s="55" t="n">
        <f aca="false">ROUND(MAX(0,AN144+AO144-AR144),2)</f>
        <v>0</v>
      </c>
      <c r="AO145" s="55" t="n">
        <f aca="false">ROUND(AN145*$E$12/12,2)</f>
        <v>0</v>
      </c>
      <c r="AP145" s="55" t="n">
        <f aca="false">MIN($F$12,AN145+AO145)</f>
        <v>0</v>
      </c>
      <c r="AQ145" s="55" t="n">
        <f aca="false">MAX(0,MIN(AN145+AO145-AP145,$D145-(H145+M145+R145+W145+AB145+AG145+AL145)))</f>
        <v>0</v>
      </c>
      <c r="AR145" s="55" t="n">
        <f aca="false">AP145+AQ145</f>
        <v>0</v>
      </c>
      <c r="AS145" s="55" t="n">
        <f aca="false">ROUND(MAX(0,AS144+AT144-AW144),2)</f>
        <v>0</v>
      </c>
      <c r="AT145" s="55" t="n">
        <f aca="false">ROUND(AS145*$E$13/12,2)</f>
        <v>0</v>
      </c>
      <c r="AU145" s="55" t="n">
        <f aca="false">MIN($F$13,AS145+AT145)</f>
        <v>0</v>
      </c>
      <c r="AV145" s="55" t="n">
        <f aca="false">MAX(0,MIN(AS145+AT145-AU145,$D145-(H145+M145+R145+W145+AB145+AG145+AL145+AQ145)))</f>
        <v>0</v>
      </c>
      <c r="AW145" s="55" t="n">
        <f aca="false">AU145+AV145</f>
        <v>0</v>
      </c>
      <c r="AX145" s="55" t="n">
        <f aca="false">ROUND(MAX(0,AX144+AY144-BB144),2)</f>
        <v>0</v>
      </c>
      <c r="AY145" s="55" t="n">
        <f aca="false">ROUND(AX145*$E$14/12,2)</f>
        <v>0</v>
      </c>
      <c r="AZ145" s="55" t="n">
        <f aca="false">MIN($F$14,AX145+AY145)</f>
        <v>0</v>
      </c>
      <c r="BA145" s="55" t="n">
        <f aca="false">MAX(0,MIN(AX145+AY145-AZ145,$D145-(H145+M145+R145+W145+AB145+AG145+AL145+AQ145+AV145)))</f>
        <v>0</v>
      </c>
      <c r="BB145" s="55" t="n">
        <f aca="false">AZ145+BA145</f>
        <v>0</v>
      </c>
      <c r="BC145" s="55" t="n">
        <f aca="false">I145+N145+S145+X145+AC145+AH145+AM145+AR145+AW145+BB145</f>
        <v>0</v>
      </c>
      <c r="BD145" s="55" t="n">
        <f aca="false">ROUND((E145+F145-I145)+(J145+K145-N145)+(O145+P145-S145)+(T145+U145-X145)+(Y145+Z145-AC145)+(AD145+AE145-AH145)+(AI145+AJ145-AM145)+(AN145+AO145-AR145)+(AS145+AT145-AW145)+(AX145+AY145-BB145),2)</f>
        <v>0</v>
      </c>
      <c r="BE145" s="25" t="str">
        <f aca="false">IF(H145&gt;0.005,$C$5,IF(M145&gt;0.005,$C$6,IF(R145&gt;0.005,$C$7,IF(W145&gt;0.005,$C$8,IF(AB145&gt;0.005,$C$9,IF(AG145&gt;0.005,$C$10,IF(AL145&gt;0.005,$C$11,IF(AQ145&gt;0.005,$C$12,IF(AV145&gt;0.005,$C$13,IF(BA145&gt;0.005,$C$14,""))))))))))</f>
        <v/>
      </c>
    </row>
    <row r="146" customFormat="false" ht="15" hidden="false" customHeight="false" outlineLevel="0" collapsed="false">
      <c r="A146" s="24" t="n">
        <v>123</v>
      </c>
      <c r="B146" s="54" t="n">
        <f aca="false">EDATE($C$17,A146-1)</f>
        <v>50041</v>
      </c>
      <c r="C146" s="55" t="n">
        <f aca="false">G146+L146+Q146+V146+AA146+AF146+AK146+AP146+AU146+AZ146</f>
        <v>0</v>
      </c>
      <c r="D146" s="55" t="n">
        <f aca="false">MAX(0,$C$16-C146)</f>
        <v>5822</v>
      </c>
      <c r="E146" s="55" t="n">
        <f aca="false">ROUND(MAX(0,E145+F145-I145),2)</f>
        <v>0</v>
      </c>
      <c r="F146" s="55" t="n">
        <f aca="false">ROUND(E146*$E$5/12,2)</f>
        <v>0</v>
      </c>
      <c r="G146" s="55" t="n">
        <f aca="false">MIN($F$5,E146+F146)</f>
        <v>0</v>
      </c>
      <c r="H146" s="55" t="n">
        <f aca="false">MAX(0,MIN(E146+F146-G146,$D146))</f>
        <v>0</v>
      </c>
      <c r="I146" s="55" t="n">
        <f aca="false">G146+H146</f>
        <v>0</v>
      </c>
      <c r="J146" s="55" t="n">
        <f aca="false">ROUND(MAX(0,J145+K145-N145),2)</f>
        <v>0</v>
      </c>
      <c r="K146" s="55" t="n">
        <f aca="false">ROUND(J146*$E$6/12,2)</f>
        <v>0</v>
      </c>
      <c r="L146" s="55" t="n">
        <f aca="false">MIN($F$6,J146+K146)</f>
        <v>0</v>
      </c>
      <c r="M146" s="55" t="n">
        <f aca="false">MAX(0,MIN(J146+K146-L146,$D146-(H146)))</f>
        <v>0</v>
      </c>
      <c r="N146" s="55" t="n">
        <f aca="false">L146+M146</f>
        <v>0</v>
      </c>
      <c r="O146" s="55" t="n">
        <f aca="false">ROUND(MAX(0,O145+P145-S145),2)</f>
        <v>0</v>
      </c>
      <c r="P146" s="55" t="n">
        <f aca="false">ROUND(O146*$E$7/12,2)</f>
        <v>0</v>
      </c>
      <c r="Q146" s="55" t="n">
        <f aca="false">MIN($F$7,O146+P146)</f>
        <v>0</v>
      </c>
      <c r="R146" s="55" t="n">
        <f aca="false">MAX(0,MIN(O146+P146-Q146,$D146-(H146+M146)))</f>
        <v>0</v>
      </c>
      <c r="S146" s="55" t="n">
        <f aca="false">Q146+R146</f>
        <v>0</v>
      </c>
      <c r="T146" s="55" t="n">
        <f aca="false">ROUND(MAX(0,T145+U145-X145),2)</f>
        <v>0</v>
      </c>
      <c r="U146" s="55" t="n">
        <f aca="false">ROUND(T146*$E$8/12,2)</f>
        <v>0</v>
      </c>
      <c r="V146" s="55" t="n">
        <f aca="false">MIN($F$8,T146+U146)</f>
        <v>0</v>
      </c>
      <c r="W146" s="55" t="n">
        <f aca="false">MAX(0,MIN(T146+U146-V146,$D146-(H146+M146+R146)))</f>
        <v>0</v>
      </c>
      <c r="X146" s="55" t="n">
        <f aca="false">V146+W146</f>
        <v>0</v>
      </c>
      <c r="Y146" s="55" t="n">
        <f aca="false">ROUND(MAX(0,Y145+Z145-AC145),2)</f>
        <v>0</v>
      </c>
      <c r="Z146" s="55" t="n">
        <f aca="false">ROUND(Y146*$E$9/12,2)</f>
        <v>0</v>
      </c>
      <c r="AA146" s="55" t="n">
        <f aca="false">MIN($F$9,Y146+Z146)</f>
        <v>0</v>
      </c>
      <c r="AB146" s="55" t="n">
        <f aca="false">MAX(0,MIN(Y146+Z146-AA146,$D146-(H146+M146+R146+W146)))</f>
        <v>0</v>
      </c>
      <c r="AC146" s="55" t="n">
        <f aca="false">AA146+AB146</f>
        <v>0</v>
      </c>
      <c r="AD146" s="55" t="n">
        <f aca="false">ROUND(MAX(0,AD145+AE145-AH145),2)</f>
        <v>0</v>
      </c>
      <c r="AE146" s="55" t="n">
        <f aca="false">ROUND(AD146*$E$10/12,2)</f>
        <v>0</v>
      </c>
      <c r="AF146" s="55" t="n">
        <f aca="false">MIN($F$10,AD146+AE146)</f>
        <v>0</v>
      </c>
      <c r="AG146" s="55" t="n">
        <f aca="false">MAX(0,MIN(AD146+AE146-AF146,$D146-(H146+M146+R146+W146+AB146)))</f>
        <v>0</v>
      </c>
      <c r="AH146" s="55" t="n">
        <f aca="false">AF146+AG146</f>
        <v>0</v>
      </c>
      <c r="AI146" s="55" t="n">
        <f aca="false">ROUND(MAX(0,AI145+AJ145-AM145),2)</f>
        <v>0</v>
      </c>
      <c r="AJ146" s="55" t="n">
        <f aca="false">ROUND(AI146*$E$11/12,2)</f>
        <v>0</v>
      </c>
      <c r="AK146" s="55" t="n">
        <f aca="false">MIN($F$11,AI146+AJ146)</f>
        <v>0</v>
      </c>
      <c r="AL146" s="55" t="n">
        <f aca="false">MAX(0,MIN(AI146+AJ146-AK146,$D146-(H146+M146+R146+W146+AB146+AG146)))</f>
        <v>0</v>
      </c>
      <c r="AM146" s="55" t="n">
        <f aca="false">AK146+AL146</f>
        <v>0</v>
      </c>
      <c r="AN146" s="55" t="n">
        <f aca="false">ROUND(MAX(0,AN145+AO145-AR145),2)</f>
        <v>0</v>
      </c>
      <c r="AO146" s="55" t="n">
        <f aca="false">ROUND(AN146*$E$12/12,2)</f>
        <v>0</v>
      </c>
      <c r="AP146" s="55" t="n">
        <f aca="false">MIN($F$12,AN146+AO146)</f>
        <v>0</v>
      </c>
      <c r="AQ146" s="55" t="n">
        <f aca="false">MAX(0,MIN(AN146+AO146-AP146,$D146-(H146+M146+R146+W146+AB146+AG146+AL146)))</f>
        <v>0</v>
      </c>
      <c r="AR146" s="55" t="n">
        <f aca="false">AP146+AQ146</f>
        <v>0</v>
      </c>
      <c r="AS146" s="55" t="n">
        <f aca="false">ROUND(MAX(0,AS145+AT145-AW145),2)</f>
        <v>0</v>
      </c>
      <c r="AT146" s="55" t="n">
        <f aca="false">ROUND(AS146*$E$13/12,2)</f>
        <v>0</v>
      </c>
      <c r="AU146" s="55" t="n">
        <f aca="false">MIN($F$13,AS146+AT146)</f>
        <v>0</v>
      </c>
      <c r="AV146" s="55" t="n">
        <f aca="false">MAX(0,MIN(AS146+AT146-AU146,$D146-(H146+M146+R146+W146+AB146+AG146+AL146+AQ146)))</f>
        <v>0</v>
      </c>
      <c r="AW146" s="55" t="n">
        <f aca="false">AU146+AV146</f>
        <v>0</v>
      </c>
      <c r="AX146" s="55" t="n">
        <f aca="false">ROUND(MAX(0,AX145+AY145-BB145),2)</f>
        <v>0</v>
      </c>
      <c r="AY146" s="55" t="n">
        <f aca="false">ROUND(AX146*$E$14/12,2)</f>
        <v>0</v>
      </c>
      <c r="AZ146" s="55" t="n">
        <f aca="false">MIN($F$14,AX146+AY146)</f>
        <v>0</v>
      </c>
      <c r="BA146" s="55" t="n">
        <f aca="false">MAX(0,MIN(AX146+AY146-AZ146,$D146-(H146+M146+R146+W146+AB146+AG146+AL146+AQ146+AV146)))</f>
        <v>0</v>
      </c>
      <c r="BB146" s="55" t="n">
        <f aca="false">AZ146+BA146</f>
        <v>0</v>
      </c>
      <c r="BC146" s="55" t="n">
        <f aca="false">I146+N146+S146+X146+AC146+AH146+AM146+AR146+AW146+BB146</f>
        <v>0</v>
      </c>
      <c r="BD146" s="55" t="n">
        <f aca="false">ROUND((E146+F146-I146)+(J146+K146-N146)+(O146+P146-S146)+(T146+U146-X146)+(Y146+Z146-AC146)+(AD146+AE146-AH146)+(AI146+AJ146-AM146)+(AN146+AO146-AR146)+(AS146+AT146-AW146)+(AX146+AY146-BB146),2)</f>
        <v>0</v>
      </c>
      <c r="BE146" s="25" t="str">
        <f aca="false">IF(H146&gt;0.005,$C$5,IF(M146&gt;0.005,$C$6,IF(R146&gt;0.005,$C$7,IF(W146&gt;0.005,$C$8,IF(AB146&gt;0.005,$C$9,IF(AG146&gt;0.005,$C$10,IF(AL146&gt;0.005,$C$11,IF(AQ146&gt;0.005,$C$12,IF(AV146&gt;0.005,$C$13,IF(BA146&gt;0.005,$C$14,""))))))))))</f>
        <v/>
      </c>
    </row>
    <row r="147" customFormat="false" ht="15" hidden="false" customHeight="false" outlineLevel="0" collapsed="false">
      <c r="A147" s="24" t="n">
        <v>124</v>
      </c>
      <c r="B147" s="54" t="n">
        <f aca="false">EDATE($C$17,A147-1)</f>
        <v>50072</v>
      </c>
      <c r="C147" s="55" t="n">
        <f aca="false">G147+L147+Q147+V147+AA147+AF147+AK147+AP147+AU147+AZ147</f>
        <v>0</v>
      </c>
      <c r="D147" s="55" t="n">
        <f aca="false">MAX(0,$C$16-C147)</f>
        <v>5822</v>
      </c>
      <c r="E147" s="55" t="n">
        <f aca="false">ROUND(MAX(0,E146+F146-I146),2)</f>
        <v>0</v>
      </c>
      <c r="F147" s="55" t="n">
        <f aca="false">ROUND(E147*$E$5/12,2)</f>
        <v>0</v>
      </c>
      <c r="G147" s="55" t="n">
        <f aca="false">MIN($F$5,E147+F147)</f>
        <v>0</v>
      </c>
      <c r="H147" s="55" t="n">
        <f aca="false">MAX(0,MIN(E147+F147-G147,$D147))</f>
        <v>0</v>
      </c>
      <c r="I147" s="55" t="n">
        <f aca="false">G147+H147</f>
        <v>0</v>
      </c>
      <c r="J147" s="55" t="n">
        <f aca="false">ROUND(MAX(0,J146+K146-N146),2)</f>
        <v>0</v>
      </c>
      <c r="K147" s="55" t="n">
        <f aca="false">ROUND(J147*$E$6/12,2)</f>
        <v>0</v>
      </c>
      <c r="L147" s="55" t="n">
        <f aca="false">MIN($F$6,J147+K147)</f>
        <v>0</v>
      </c>
      <c r="M147" s="55" t="n">
        <f aca="false">MAX(0,MIN(J147+K147-L147,$D147-(H147)))</f>
        <v>0</v>
      </c>
      <c r="N147" s="55" t="n">
        <f aca="false">L147+M147</f>
        <v>0</v>
      </c>
      <c r="O147" s="55" t="n">
        <f aca="false">ROUND(MAX(0,O146+P146-S146),2)</f>
        <v>0</v>
      </c>
      <c r="P147" s="55" t="n">
        <f aca="false">ROUND(O147*$E$7/12,2)</f>
        <v>0</v>
      </c>
      <c r="Q147" s="55" t="n">
        <f aca="false">MIN($F$7,O147+P147)</f>
        <v>0</v>
      </c>
      <c r="R147" s="55" t="n">
        <f aca="false">MAX(0,MIN(O147+P147-Q147,$D147-(H147+M147)))</f>
        <v>0</v>
      </c>
      <c r="S147" s="55" t="n">
        <f aca="false">Q147+R147</f>
        <v>0</v>
      </c>
      <c r="T147" s="55" t="n">
        <f aca="false">ROUND(MAX(0,T146+U146-X146),2)</f>
        <v>0</v>
      </c>
      <c r="U147" s="55" t="n">
        <f aca="false">ROUND(T147*$E$8/12,2)</f>
        <v>0</v>
      </c>
      <c r="V147" s="55" t="n">
        <f aca="false">MIN($F$8,T147+U147)</f>
        <v>0</v>
      </c>
      <c r="W147" s="55" t="n">
        <f aca="false">MAX(0,MIN(T147+U147-V147,$D147-(H147+M147+R147)))</f>
        <v>0</v>
      </c>
      <c r="X147" s="55" t="n">
        <f aca="false">V147+W147</f>
        <v>0</v>
      </c>
      <c r="Y147" s="55" t="n">
        <f aca="false">ROUND(MAX(0,Y146+Z146-AC146),2)</f>
        <v>0</v>
      </c>
      <c r="Z147" s="55" t="n">
        <f aca="false">ROUND(Y147*$E$9/12,2)</f>
        <v>0</v>
      </c>
      <c r="AA147" s="55" t="n">
        <f aca="false">MIN($F$9,Y147+Z147)</f>
        <v>0</v>
      </c>
      <c r="AB147" s="55" t="n">
        <f aca="false">MAX(0,MIN(Y147+Z147-AA147,$D147-(H147+M147+R147+W147)))</f>
        <v>0</v>
      </c>
      <c r="AC147" s="55" t="n">
        <f aca="false">AA147+AB147</f>
        <v>0</v>
      </c>
      <c r="AD147" s="55" t="n">
        <f aca="false">ROUND(MAX(0,AD146+AE146-AH146),2)</f>
        <v>0</v>
      </c>
      <c r="AE147" s="55" t="n">
        <f aca="false">ROUND(AD147*$E$10/12,2)</f>
        <v>0</v>
      </c>
      <c r="AF147" s="55" t="n">
        <f aca="false">MIN($F$10,AD147+AE147)</f>
        <v>0</v>
      </c>
      <c r="AG147" s="55" t="n">
        <f aca="false">MAX(0,MIN(AD147+AE147-AF147,$D147-(H147+M147+R147+W147+AB147)))</f>
        <v>0</v>
      </c>
      <c r="AH147" s="55" t="n">
        <f aca="false">AF147+AG147</f>
        <v>0</v>
      </c>
      <c r="AI147" s="55" t="n">
        <f aca="false">ROUND(MAX(0,AI146+AJ146-AM146),2)</f>
        <v>0</v>
      </c>
      <c r="AJ147" s="55" t="n">
        <f aca="false">ROUND(AI147*$E$11/12,2)</f>
        <v>0</v>
      </c>
      <c r="AK147" s="55" t="n">
        <f aca="false">MIN($F$11,AI147+AJ147)</f>
        <v>0</v>
      </c>
      <c r="AL147" s="55" t="n">
        <f aca="false">MAX(0,MIN(AI147+AJ147-AK147,$D147-(H147+M147+R147+W147+AB147+AG147)))</f>
        <v>0</v>
      </c>
      <c r="AM147" s="55" t="n">
        <f aca="false">AK147+AL147</f>
        <v>0</v>
      </c>
      <c r="AN147" s="55" t="n">
        <f aca="false">ROUND(MAX(0,AN146+AO146-AR146),2)</f>
        <v>0</v>
      </c>
      <c r="AO147" s="55" t="n">
        <f aca="false">ROUND(AN147*$E$12/12,2)</f>
        <v>0</v>
      </c>
      <c r="AP147" s="55" t="n">
        <f aca="false">MIN($F$12,AN147+AO147)</f>
        <v>0</v>
      </c>
      <c r="AQ147" s="55" t="n">
        <f aca="false">MAX(0,MIN(AN147+AO147-AP147,$D147-(H147+M147+R147+W147+AB147+AG147+AL147)))</f>
        <v>0</v>
      </c>
      <c r="AR147" s="55" t="n">
        <f aca="false">AP147+AQ147</f>
        <v>0</v>
      </c>
      <c r="AS147" s="55" t="n">
        <f aca="false">ROUND(MAX(0,AS146+AT146-AW146),2)</f>
        <v>0</v>
      </c>
      <c r="AT147" s="55" t="n">
        <f aca="false">ROUND(AS147*$E$13/12,2)</f>
        <v>0</v>
      </c>
      <c r="AU147" s="55" t="n">
        <f aca="false">MIN($F$13,AS147+AT147)</f>
        <v>0</v>
      </c>
      <c r="AV147" s="55" t="n">
        <f aca="false">MAX(0,MIN(AS147+AT147-AU147,$D147-(H147+M147+R147+W147+AB147+AG147+AL147+AQ147)))</f>
        <v>0</v>
      </c>
      <c r="AW147" s="55" t="n">
        <f aca="false">AU147+AV147</f>
        <v>0</v>
      </c>
      <c r="AX147" s="55" t="n">
        <f aca="false">ROUND(MAX(0,AX146+AY146-BB146),2)</f>
        <v>0</v>
      </c>
      <c r="AY147" s="55" t="n">
        <f aca="false">ROUND(AX147*$E$14/12,2)</f>
        <v>0</v>
      </c>
      <c r="AZ147" s="55" t="n">
        <f aca="false">MIN($F$14,AX147+AY147)</f>
        <v>0</v>
      </c>
      <c r="BA147" s="55" t="n">
        <f aca="false">MAX(0,MIN(AX147+AY147-AZ147,$D147-(H147+M147+R147+W147+AB147+AG147+AL147+AQ147+AV147)))</f>
        <v>0</v>
      </c>
      <c r="BB147" s="55" t="n">
        <f aca="false">AZ147+BA147</f>
        <v>0</v>
      </c>
      <c r="BC147" s="55" t="n">
        <f aca="false">I147+N147+S147+X147+AC147+AH147+AM147+AR147+AW147+BB147</f>
        <v>0</v>
      </c>
      <c r="BD147" s="55" t="n">
        <f aca="false">ROUND((E147+F147-I147)+(J147+K147-N147)+(O147+P147-S147)+(T147+U147-X147)+(Y147+Z147-AC147)+(AD147+AE147-AH147)+(AI147+AJ147-AM147)+(AN147+AO147-AR147)+(AS147+AT147-AW147)+(AX147+AY147-BB147),2)</f>
        <v>0</v>
      </c>
      <c r="BE147" s="25" t="str">
        <f aca="false">IF(H147&gt;0.005,$C$5,IF(M147&gt;0.005,$C$6,IF(R147&gt;0.005,$C$7,IF(W147&gt;0.005,$C$8,IF(AB147&gt;0.005,$C$9,IF(AG147&gt;0.005,$C$10,IF(AL147&gt;0.005,$C$11,IF(AQ147&gt;0.005,$C$12,IF(AV147&gt;0.005,$C$13,IF(BA147&gt;0.005,$C$14,""))))))))))</f>
        <v/>
      </c>
    </row>
    <row r="148" customFormat="false" ht="15" hidden="false" customHeight="false" outlineLevel="0" collapsed="false">
      <c r="A148" s="24" t="n">
        <v>125</v>
      </c>
      <c r="B148" s="54" t="n">
        <f aca="false">EDATE($C$17,A148-1)</f>
        <v>50100</v>
      </c>
      <c r="C148" s="55" t="n">
        <f aca="false">G148+L148+Q148+V148+AA148+AF148+AK148+AP148+AU148+AZ148</f>
        <v>0</v>
      </c>
      <c r="D148" s="55" t="n">
        <f aca="false">MAX(0,$C$16-C148)</f>
        <v>5822</v>
      </c>
      <c r="E148" s="55" t="n">
        <f aca="false">ROUND(MAX(0,E147+F147-I147),2)</f>
        <v>0</v>
      </c>
      <c r="F148" s="55" t="n">
        <f aca="false">ROUND(E148*$E$5/12,2)</f>
        <v>0</v>
      </c>
      <c r="G148" s="55" t="n">
        <f aca="false">MIN($F$5,E148+F148)</f>
        <v>0</v>
      </c>
      <c r="H148" s="55" t="n">
        <f aca="false">MAX(0,MIN(E148+F148-G148,$D148))</f>
        <v>0</v>
      </c>
      <c r="I148" s="55" t="n">
        <f aca="false">G148+H148</f>
        <v>0</v>
      </c>
      <c r="J148" s="55" t="n">
        <f aca="false">ROUND(MAX(0,J147+K147-N147),2)</f>
        <v>0</v>
      </c>
      <c r="K148" s="55" t="n">
        <f aca="false">ROUND(J148*$E$6/12,2)</f>
        <v>0</v>
      </c>
      <c r="L148" s="55" t="n">
        <f aca="false">MIN($F$6,J148+K148)</f>
        <v>0</v>
      </c>
      <c r="M148" s="55" t="n">
        <f aca="false">MAX(0,MIN(J148+K148-L148,$D148-(H148)))</f>
        <v>0</v>
      </c>
      <c r="N148" s="55" t="n">
        <f aca="false">L148+M148</f>
        <v>0</v>
      </c>
      <c r="O148" s="55" t="n">
        <f aca="false">ROUND(MAX(0,O147+P147-S147),2)</f>
        <v>0</v>
      </c>
      <c r="P148" s="55" t="n">
        <f aca="false">ROUND(O148*$E$7/12,2)</f>
        <v>0</v>
      </c>
      <c r="Q148" s="55" t="n">
        <f aca="false">MIN($F$7,O148+P148)</f>
        <v>0</v>
      </c>
      <c r="R148" s="55" t="n">
        <f aca="false">MAX(0,MIN(O148+P148-Q148,$D148-(H148+M148)))</f>
        <v>0</v>
      </c>
      <c r="S148" s="55" t="n">
        <f aca="false">Q148+R148</f>
        <v>0</v>
      </c>
      <c r="T148" s="55" t="n">
        <f aca="false">ROUND(MAX(0,T147+U147-X147),2)</f>
        <v>0</v>
      </c>
      <c r="U148" s="55" t="n">
        <f aca="false">ROUND(T148*$E$8/12,2)</f>
        <v>0</v>
      </c>
      <c r="V148" s="55" t="n">
        <f aca="false">MIN($F$8,T148+U148)</f>
        <v>0</v>
      </c>
      <c r="W148" s="55" t="n">
        <f aca="false">MAX(0,MIN(T148+U148-V148,$D148-(H148+M148+R148)))</f>
        <v>0</v>
      </c>
      <c r="X148" s="55" t="n">
        <f aca="false">V148+W148</f>
        <v>0</v>
      </c>
      <c r="Y148" s="55" t="n">
        <f aca="false">ROUND(MAX(0,Y147+Z147-AC147),2)</f>
        <v>0</v>
      </c>
      <c r="Z148" s="55" t="n">
        <f aca="false">ROUND(Y148*$E$9/12,2)</f>
        <v>0</v>
      </c>
      <c r="AA148" s="55" t="n">
        <f aca="false">MIN($F$9,Y148+Z148)</f>
        <v>0</v>
      </c>
      <c r="AB148" s="55" t="n">
        <f aca="false">MAX(0,MIN(Y148+Z148-AA148,$D148-(H148+M148+R148+W148)))</f>
        <v>0</v>
      </c>
      <c r="AC148" s="55" t="n">
        <f aca="false">AA148+AB148</f>
        <v>0</v>
      </c>
      <c r="AD148" s="55" t="n">
        <f aca="false">ROUND(MAX(0,AD147+AE147-AH147),2)</f>
        <v>0</v>
      </c>
      <c r="AE148" s="55" t="n">
        <f aca="false">ROUND(AD148*$E$10/12,2)</f>
        <v>0</v>
      </c>
      <c r="AF148" s="55" t="n">
        <f aca="false">MIN($F$10,AD148+AE148)</f>
        <v>0</v>
      </c>
      <c r="AG148" s="55" t="n">
        <f aca="false">MAX(0,MIN(AD148+AE148-AF148,$D148-(H148+M148+R148+W148+AB148)))</f>
        <v>0</v>
      </c>
      <c r="AH148" s="55" t="n">
        <f aca="false">AF148+AG148</f>
        <v>0</v>
      </c>
      <c r="AI148" s="55" t="n">
        <f aca="false">ROUND(MAX(0,AI147+AJ147-AM147),2)</f>
        <v>0</v>
      </c>
      <c r="AJ148" s="55" t="n">
        <f aca="false">ROUND(AI148*$E$11/12,2)</f>
        <v>0</v>
      </c>
      <c r="AK148" s="55" t="n">
        <f aca="false">MIN($F$11,AI148+AJ148)</f>
        <v>0</v>
      </c>
      <c r="AL148" s="55" t="n">
        <f aca="false">MAX(0,MIN(AI148+AJ148-AK148,$D148-(H148+M148+R148+W148+AB148+AG148)))</f>
        <v>0</v>
      </c>
      <c r="AM148" s="55" t="n">
        <f aca="false">AK148+AL148</f>
        <v>0</v>
      </c>
      <c r="AN148" s="55" t="n">
        <f aca="false">ROUND(MAX(0,AN147+AO147-AR147),2)</f>
        <v>0</v>
      </c>
      <c r="AO148" s="55" t="n">
        <f aca="false">ROUND(AN148*$E$12/12,2)</f>
        <v>0</v>
      </c>
      <c r="AP148" s="55" t="n">
        <f aca="false">MIN($F$12,AN148+AO148)</f>
        <v>0</v>
      </c>
      <c r="AQ148" s="55" t="n">
        <f aca="false">MAX(0,MIN(AN148+AO148-AP148,$D148-(H148+M148+R148+W148+AB148+AG148+AL148)))</f>
        <v>0</v>
      </c>
      <c r="AR148" s="55" t="n">
        <f aca="false">AP148+AQ148</f>
        <v>0</v>
      </c>
      <c r="AS148" s="55" t="n">
        <f aca="false">ROUND(MAX(0,AS147+AT147-AW147),2)</f>
        <v>0</v>
      </c>
      <c r="AT148" s="55" t="n">
        <f aca="false">ROUND(AS148*$E$13/12,2)</f>
        <v>0</v>
      </c>
      <c r="AU148" s="55" t="n">
        <f aca="false">MIN($F$13,AS148+AT148)</f>
        <v>0</v>
      </c>
      <c r="AV148" s="55" t="n">
        <f aca="false">MAX(0,MIN(AS148+AT148-AU148,$D148-(H148+M148+R148+W148+AB148+AG148+AL148+AQ148)))</f>
        <v>0</v>
      </c>
      <c r="AW148" s="55" t="n">
        <f aca="false">AU148+AV148</f>
        <v>0</v>
      </c>
      <c r="AX148" s="55" t="n">
        <f aca="false">ROUND(MAX(0,AX147+AY147-BB147),2)</f>
        <v>0</v>
      </c>
      <c r="AY148" s="55" t="n">
        <f aca="false">ROUND(AX148*$E$14/12,2)</f>
        <v>0</v>
      </c>
      <c r="AZ148" s="55" t="n">
        <f aca="false">MIN($F$14,AX148+AY148)</f>
        <v>0</v>
      </c>
      <c r="BA148" s="55" t="n">
        <f aca="false">MAX(0,MIN(AX148+AY148-AZ148,$D148-(H148+M148+R148+W148+AB148+AG148+AL148+AQ148+AV148)))</f>
        <v>0</v>
      </c>
      <c r="BB148" s="55" t="n">
        <f aca="false">AZ148+BA148</f>
        <v>0</v>
      </c>
      <c r="BC148" s="55" t="n">
        <f aca="false">I148+N148+S148+X148+AC148+AH148+AM148+AR148+AW148+BB148</f>
        <v>0</v>
      </c>
      <c r="BD148" s="55" t="n">
        <f aca="false">ROUND((E148+F148-I148)+(J148+K148-N148)+(O148+P148-S148)+(T148+U148-X148)+(Y148+Z148-AC148)+(AD148+AE148-AH148)+(AI148+AJ148-AM148)+(AN148+AO148-AR148)+(AS148+AT148-AW148)+(AX148+AY148-BB148),2)</f>
        <v>0</v>
      </c>
      <c r="BE148" s="25" t="str">
        <f aca="false">IF(H148&gt;0.005,$C$5,IF(M148&gt;0.005,$C$6,IF(R148&gt;0.005,$C$7,IF(W148&gt;0.005,$C$8,IF(AB148&gt;0.005,$C$9,IF(AG148&gt;0.005,$C$10,IF(AL148&gt;0.005,$C$11,IF(AQ148&gt;0.005,$C$12,IF(AV148&gt;0.005,$C$13,IF(BA148&gt;0.005,$C$14,""))))))))))</f>
        <v/>
      </c>
    </row>
    <row r="149" customFormat="false" ht="15" hidden="false" customHeight="false" outlineLevel="0" collapsed="false">
      <c r="A149" s="24" t="n">
        <v>126</v>
      </c>
      <c r="B149" s="54" t="n">
        <f aca="false">EDATE($C$17,A149-1)</f>
        <v>50131</v>
      </c>
      <c r="C149" s="55" t="n">
        <f aca="false">G149+L149+Q149+V149+AA149+AF149+AK149+AP149+AU149+AZ149</f>
        <v>0</v>
      </c>
      <c r="D149" s="55" t="n">
        <f aca="false">MAX(0,$C$16-C149)</f>
        <v>5822</v>
      </c>
      <c r="E149" s="55" t="n">
        <f aca="false">ROUND(MAX(0,E148+F148-I148),2)</f>
        <v>0</v>
      </c>
      <c r="F149" s="55" t="n">
        <f aca="false">ROUND(E149*$E$5/12,2)</f>
        <v>0</v>
      </c>
      <c r="G149" s="55" t="n">
        <f aca="false">MIN($F$5,E149+F149)</f>
        <v>0</v>
      </c>
      <c r="H149" s="55" t="n">
        <f aca="false">MAX(0,MIN(E149+F149-G149,$D149))</f>
        <v>0</v>
      </c>
      <c r="I149" s="55" t="n">
        <f aca="false">G149+H149</f>
        <v>0</v>
      </c>
      <c r="J149" s="55" t="n">
        <f aca="false">ROUND(MAX(0,J148+K148-N148),2)</f>
        <v>0</v>
      </c>
      <c r="K149" s="55" t="n">
        <f aca="false">ROUND(J149*$E$6/12,2)</f>
        <v>0</v>
      </c>
      <c r="L149" s="55" t="n">
        <f aca="false">MIN($F$6,J149+K149)</f>
        <v>0</v>
      </c>
      <c r="M149" s="55" t="n">
        <f aca="false">MAX(0,MIN(J149+K149-L149,$D149-(H149)))</f>
        <v>0</v>
      </c>
      <c r="N149" s="55" t="n">
        <f aca="false">L149+M149</f>
        <v>0</v>
      </c>
      <c r="O149" s="55" t="n">
        <f aca="false">ROUND(MAX(0,O148+P148-S148),2)</f>
        <v>0</v>
      </c>
      <c r="P149" s="55" t="n">
        <f aca="false">ROUND(O149*$E$7/12,2)</f>
        <v>0</v>
      </c>
      <c r="Q149" s="55" t="n">
        <f aca="false">MIN($F$7,O149+P149)</f>
        <v>0</v>
      </c>
      <c r="R149" s="55" t="n">
        <f aca="false">MAX(0,MIN(O149+P149-Q149,$D149-(H149+M149)))</f>
        <v>0</v>
      </c>
      <c r="S149" s="55" t="n">
        <f aca="false">Q149+R149</f>
        <v>0</v>
      </c>
      <c r="T149" s="55" t="n">
        <f aca="false">ROUND(MAX(0,T148+U148-X148),2)</f>
        <v>0</v>
      </c>
      <c r="U149" s="55" t="n">
        <f aca="false">ROUND(T149*$E$8/12,2)</f>
        <v>0</v>
      </c>
      <c r="V149" s="55" t="n">
        <f aca="false">MIN($F$8,T149+U149)</f>
        <v>0</v>
      </c>
      <c r="W149" s="55" t="n">
        <f aca="false">MAX(0,MIN(T149+U149-V149,$D149-(H149+M149+R149)))</f>
        <v>0</v>
      </c>
      <c r="X149" s="55" t="n">
        <f aca="false">V149+W149</f>
        <v>0</v>
      </c>
      <c r="Y149" s="55" t="n">
        <f aca="false">ROUND(MAX(0,Y148+Z148-AC148),2)</f>
        <v>0</v>
      </c>
      <c r="Z149" s="55" t="n">
        <f aca="false">ROUND(Y149*$E$9/12,2)</f>
        <v>0</v>
      </c>
      <c r="AA149" s="55" t="n">
        <f aca="false">MIN($F$9,Y149+Z149)</f>
        <v>0</v>
      </c>
      <c r="AB149" s="55" t="n">
        <f aca="false">MAX(0,MIN(Y149+Z149-AA149,$D149-(H149+M149+R149+W149)))</f>
        <v>0</v>
      </c>
      <c r="AC149" s="55" t="n">
        <f aca="false">AA149+AB149</f>
        <v>0</v>
      </c>
      <c r="AD149" s="55" t="n">
        <f aca="false">ROUND(MAX(0,AD148+AE148-AH148),2)</f>
        <v>0</v>
      </c>
      <c r="AE149" s="55" t="n">
        <f aca="false">ROUND(AD149*$E$10/12,2)</f>
        <v>0</v>
      </c>
      <c r="AF149" s="55" t="n">
        <f aca="false">MIN($F$10,AD149+AE149)</f>
        <v>0</v>
      </c>
      <c r="AG149" s="55" t="n">
        <f aca="false">MAX(0,MIN(AD149+AE149-AF149,$D149-(H149+M149+R149+W149+AB149)))</f>
        <v>0</v>
      </c>
      <c r="AH149" s="55" t="n">
        <f aca="false">AF149+AG149</f>
        <v>0</v>
      </c>
      <c r="AI149" s="55" t="n">
        <f aca="false">ROUND(MAX(0,AI148+AJ148-AM148),2)</f>
        <v>0</v>
      </c>
      <c r="AJ149" s="55" t="n">
        <f aca="false">ROUND(AI149*$E$11/12,2)</f>
        <v>0</v>
      </c>
      <c r="AK149" s="55" t="n">
        <f aca="false">MIN($F$11,AI149+AJ149)</f>
        <v>0</v>
      </c>
      <c r="AL149" s="55" t="n">
        <f aca="false">MAX(0,MIN(AI149+AJ149-AK149,$D149-(H149+M149+R149+W149+AB149+AG149)))</f>
        <v>0</v>
      </c>
      <c r="AM149" s="55" t="n">
        <f aca="false">AK149+AL149</f>
        <v>0</v>
      </c>
      <c r="AN149" s="55" t="n">
        <f aca="false">ROUND(MAX(0,AN148+AO148-AR148),2)</f>
        <v>0</v>
      </c>
      <c r="AO149" s="55" t="n">
        <f aca="false">ROUND(AN149*$E$12/12,2)</f>
        <v>0</v>
      </c>
      <c r="AP149" s="55" t="n">
        <f aca="false">MIN($F$12,AN149+AO149)</f>
        <v>0</v>
      </c>
      <c r="AQ149" s="55" t="n">
        <f aca="false">MAX(0,MIN(AN149+AO149-AP149,$D149-(H149+M149+R149+W149+AB149+AG149+AL149)))</f>
        <v>0</v>
      </c>
      <c r="AR149" s="55" t="n">
        <f aca="false">AP149+AQ149</f>
        <v>0</v>
      </c>
      <c r="AS149" s="55" t="n">
        <f aca="false">ROUND(MAX(0,AS148+AT148-AW148),2)</f>
        <v>0</v>
      </c>
      <c r="AT149" s="55" t="n">
        <f aca="false">ROUND(AS149*$E$13/12,2)</f>
        <v>0</v>
      </c>
      <c r="AU149" s="55" t="n">
        <f aca="false">MIN($F$13,AS149+AT149)</f>
        <v>0</v>
      </c>
      <c r="AV149" s="55" t="n">
        <f aca="false">MAX(0,MIN(AS149+AT149-AU149,$D149-(H149+M149+R149+W149+AB149+AG149+AL149+AQ149)))</f>
        <v>0</v>
      </c>
      <c r="AW149" s="55" t="n">
        <f aca="false">AU149+AV149</f>
        <v>0</v>
      </c>
      <c r="AX149" s="55" t="n">
        <f aca="false">ROUND(MAX(0,AX148+AY148-BB148),2)</f>
        <v>0</v>
      </c>
      <c r="AY149" s="55" t="n">
        <f aca="false">ROUND(AX149*$E$14/12,2)</f>
        <v>0</v>
      </c>
      <c r="AZ149" s="55" t="n">
        <f aca="false">MIN($F$14,AX149+AY149)</f>
        <v>0</v>
      </c>
      <c r="BA149" s="55" t="n">
        <f aca="false">MAX(0,MIN(AX149+AY149-AZ149,$D149-(H149+M149+R149+W149+AB149+AG149+AL149+AQ149+AV149)))</f>
        <v>0</v>
      </c>
      <c r="BB149" s="55" t="n">
        <f aca="false">AZ149+BA149</f>
        <v>0</v>
      </c>
      <c r="BC149" s="55" t="n">
        <f aca="false">I149+N149+S149+X149+AC149+AH149+AM149+AR149+AW149+BB149</f>
        <v>0</v>
      </c>
      <c r="BD149" s="55" t="n">
        <f aca="false">ROUND((E149+F149-I149)+(J149+K149-N149)+(O149+P149-S149)+(T149+U149-X149)+(Y149+Z149-AC149)+(AD149+AE149-AH149)+(AI149+AJ149-AM149)+(AN149+AO149-AR149)+(AS149+AT149-AW149)+(AX149+AY149-BB149),2)</f>
        <v>0</v>
      </c>
      <c r="BE149" s="25" t="str">
        <f aca="false">IF(H149&gt;0.005,$C$5,IF(M149&gt;0.005,$C$6,IF(R149&gt;0.005,$C$7,IF(W149&gt;0.005,$C$8,IF(AB149&gt;0.005,$C$9,IF(AG149&gt;0.005,$C$10,IF(AL149&gt;0.005,$C$11,IF(AQ149&gt;0.005,$C$12,IF(AV149&gt;0.005,$C$13,IF(BA149&gt;0.005,$C$14,""))))))))))</f>
        <v/>
      </c>
    </row>
    <row r="150" customFormat="false" ht="15" hidden="false" customHeight="false" outlineLevel="0" collapsed="false">
      <c r="A150" s="24" t="n">
        <v>127</v>
      </c>
      <c r="B150" s="54" t="n">
        <f aca="false">EDATE($C$17,A150-1)</f>
        <v>50161</v>
      </c>
      <c r="C150" s="55" t="n">
        <f aca="false">G150+L150+Q150+V150+AA150+AF150+AK150+AP150+AU150+AZ150</f>
        <v>0</v>
      </c>
      <c r="D150" s="55" t="n">
        <f aca="false">MAX(0,$C$16-C150)</f>
        <v>5822</v>
      </c>
      <c r="E150" s="55" t="n">
        <f aca="false">ROUND(MAX(0,E149+F149-I149),2)</f>
        <v>0</v>
      </c>
      <c r="F150" s="55" t="n">
        <f aca="false">ROUND(E150*$E$5/12,2)</f>
        <v>0</v>
      </c>
      <c r="G150" s="55" t="n">
        <f aca="false">MIN($F$5,E150+F150)</f>
        <v>0</v>
      </c>
      <c r="H150" s="55" t="n">
        <f aca="false">MAX(0,MIN(E150+F150-G150,$D150))</f>
        <v>0</v>
      </c>
      <c r="I150" s="55" t="n">
        <f aca="false">G150+H150</f>
        <v>0</v>
      </c>
      <c r="J150" s="55" t="n">
        <f aca="false">ROUND(MAX(0,J149+K149-N149),2)</f>
        <v>0</v>
      </c>
      <c r="K150" s="55" t="n">
        <f aca="false">ROUND(J150*$E$6/12,2)</f>
        <v>0</v>
      </c>
      <c r="L150" s="55" t="n">
        <f aca="false">MIN($F$6,J150+K150)</f>
        <v>0</v>
      </c>
      <c r="M150" s="55" t="n">
        <f aca="false">MAX(0,MIN(J150+K150-L150,$D150-(H150)))</f>
        <v>0</v>
      </c>
      <c r="N150" s="55" t="n">
        <f aca="false">L150+M150</f>
        <v>0</v>
      </c>
      <c r="O150" s="55" t="n">
        <f aca="false">ROUND(MAX(0,O149+P149-S149),2)</f>
        <v>0</v>
      </c>
      <c r="P150" s="55" t="n">
        <f aca="false">ROUND(O150*$E$7/12,2)</f>
        <v>0</v>
      </c>
      <c r="Q150" s="55" t="n">
        <f aca="false">MIN($F$7,O150+P150)</f>
        <v>0</v>
      </c>
      <c r="R150" s="55" t="n">
        <f aca="false">MAX(0,MIN(O150+P150-Q150,$D150-(H150+M150)))</f>
        <v>0</v>
      </c>
      <c r="S150" s="55" t="n">
        <f aca="false">Q150+R150</f>
        <v>0</v>
      </c>
      <c r="T150" s="55" t="n">
        <f aca="false">ROUND(MAX(0,T149+U149-X149),2)</f>
        <v>0</v>
      </c>
      <c r="U150" s="55" t="n">
        <f aca="false">ROUND(T150*$E$8/12,2)</f>
        <v>0</v>
      </c>
      <c r="V150" s="55" t="n">
        <f aca="false">MIN($F$8,T150+U150)</f>
        <v>0</v>
      </c>
      <c r="W150" s="55" t="n">
        <f aca="false">MAX(0,MIN(T150+U150-V150,$D150-(H150+M150+R150)))</f>
        <v>0</v>
      </c>
      <c r="X150" s="55" t="n">
        <f aca="false">V150+W150</f>
        <v>0</v>
      </c>
      <c r="Y150" s="55" t="n">
        <f aca="false">ROUND(MAX(0,Y149+Z149-AC149),2)</f>
        <v>0</v>
      </c>
      <c r="Z150" s="55" t="n">
        <f aca="false">ROUND(Y150*$E$9/12,2)</f>
        <v>0</v>
      </c>
      <c r="AA150" s="55" t="n">
        <f aca="false">MIN($F$9,Y150+Z150)</f>
        <v>0</v>
      </c>
      <c r="AB150" s="55" t="n">
        <f aca="false">MAX(0,MIN(Y150+Z150-AA150,$D150-(H150+M150+R150+W150)))</f>
        <v>0</v>
      </c>
      <c r="AC150" s="55" t="n">
        <f aca="false">AA150+AB150</f>
        <v>0</v>
      </c>
      <c r="AD150" s="55" t="n">
        <f aca="false">ROUND(MAX(0,AD149+AE149-AH149),2)</f>
        <v>0</v>
      </c>
      <c r="AE150" s="55" t="n">
        <f aca="false">ROUND(AD150*$E$10/12,2)</f>
        <v>0</v>
      </c>
      <c r="AF150" s="55" t="n">
        <f aca="false">MIN($F$10,AD150+AE150)</f>
        <v>0</v>
      </c>
      <c r="AG150" s="55" t="n">
        <f aca="false">MAX(0,MIN(AD150+AE150-AF150,$D150-(H150+M150+R150+W150+AB150)))</f>
        <v>0</v>
      </c>
      <c r="AH150" s="55" t="n">
        <f aca="false">AF150+AG150</f>
        <v>0</v>
      </c>
      <c r="AI150" s="55" t="n">
        <f aca="false">ROUND(MAX(0,AI149+AJ149-AM149),2)</f>
        <v>0</v>
      </c>
      <c r="AJ150" s="55" t="n">
        <f aca="false">ROUND(AI150*$E$11/12,2)</f>
        <v>0</v>
      </c>
      <c r="AK150" s="55" t="n">
        <f aca="false">MIN($F$11,AI150+AJ150)</f>
        <v>0</v>
      </c>
      <c r="AL150" s="55" t="n">
        <f aca="false">MAX(0,MIN(AI150+AJ150-AK150,$D150-(H150+M150+R150+W150+AB150+AG150)))</f>
        <v>0</v>
      </c>
      <c r="AM150" s="55" t="n">
        <f aca="false">AK150+AL150</f>
        <v>0</v>
      </c>
      <c r="AN150" s="55" t="n">
        <f aca="false">ROUND(MAX(0,AN149+AO149-AR149),2)</f>
        <v>0</v>
      </c>
      <c r="AO150" s="55" t="n">
        <f aca="false">ROUND(AN150*$E$12/12,2)</f>
        <v>0</v>
      </c>
      <c r="AP150" s="55" t="n">
        <f aca="false">MIN($F$12,AN150+AO150)</f>
        <v>0</v>
      </c>
      <c r="AQ150" s="55" t="n">
        <f aca="false">MAX(0,MIN(AN150+AO150-AP150,$D150-(H150+M150+R150+W150+AB150+AG150+AL150)))</f>
        <v>0</v>
      </c>
      <c r="AR150" s="55" t="n">
        <f aca="false">AP150+AQ150</f>
        <v>0</v>
      </c>
      <c r="AS150" s="55" t="n">
        <f aca="false">ROUND(MAX(0,AS149+AT149-AW149),2)</f>
        <v>0</v>
      </c>
      <c r="AT150" s="55" t="n">
        <f aca="false">ROUND(AS150*$E$13/12,2)</f>
        <v>0</v>
      </c>
      <c r="AU150" s="55" t="n">
        <f aca="false">MIN($F$13,AS150+AT150)</f>
        <v>0</v>
      </c>
      <c r="AV150" s="55" t="n">
        <f aca="false">MAX(0,MIN(AS150+AT150-AU150,$D150-(H150+M150+R150+W150+AB150+AG150+AL150+AQ150)))</f>
        <v>0</v>
      </c>
      <c r="AW150" s="55" t="n">
        <f aca="false">AU150+AV150</f>
        <v>0</v>
      </c>
      <c r="AX150" s="55" t="n">
        <f aca="false">ROUND(MAX(0,AX149+AY149-BB149),2)</f>
        <v>0</v>
      </c>
      <c r="AY150" s="55" t="n">
        <f aca="false">ROUND(AX150*$E$14/12,2)</f>
        <v>0</v>
      </c>
      <c r="AZ150" s="55" t="n">
        <f aca="false">MIN($F$14,AX150+AY150)</f>
        <v>0</v>
      </c>
      <c r="BA150" s="55" t="n">
        <f aca="false">MAX(0,MIN(AX150+AY150-AZ150,$D150-(H150+M150+R150+W150+AB150+AG150+AL150+AQ150+AV150)))</f>
        <v>0</v>
      </c>
      <c r="BB150" s="55" t="n">
        <f aca="false">AZ150+BA150</f>
        <v>0</v>
      </c>
      <c r="BC150" s="55" t="n">
        <f aca="false">I150+N150+S150+X150+AC150+AH150+AM150+AR150+AW150+BB150</f>
        <v>0</v>
      </c>
      <c r="BD150" s="55" t="n">
        <f aca="false">ROUND((E150+F150-I150)+(J150+K150-N150)+(O150+P150-S150)+(T150+U150-X150)+(Y150+Z150-AC150)+(AD150+AE150-AH150)+(AI150+AJ150-AM150)+(AN150+AO150-AR150)+(AS150+AT150-AW150)+(AX150+AY150-BB150),2)</f>
        <v>0</v>
      </c>
      <c r="BE150" s="25" t="str">
        <f aca="false">IF(H150&gt;0.005,$C$5,IF(M150&gt;0.005,$C$6,IF(R150&gt;0.005,$C$7,IF(W150&gt;0.005,$C$8,IF(AB150&gt;0.005,$C$9,IF(AG150&gt;0.005,$C$10,IF(AL150&gt;0.005,$C$11,IF(AQ150&gt;0.005,$C$12,IF(AV150&gt;0.005,$C$13,IF(BA150&gt;0.005,$C$14,""))))))))))</f>
        <v/>
      </c>
    </row>
    <row r="151" customFormat="false" ht="15" hidden="false" customHeight="false" outlineLevel="0" collapsed="false">
      <c r="A151" s="24" t="n">
        <v>128</v>
      </c>
      <c r="B151" s="54" t="n">
        <f aca="false">EDATE($C$17,A151-1)</f>
        <v>50192</v>
      </c>
      <c r="C151" s="55" t="n">
        <f aca="false">G151+L151+Q151+V151+AA151+AF151+AK151+AP151+AU151+AZ151</f>
        <v>0</v>
      </c>
      <c r="D151" s="55" t="n">
        <f aca="false">MAX(0,$C$16-C151)</f>
        <v>5822</v>
      </c>
      <c r="E151" s="55" t="n">
        <f aca="false">ROUND(MAX(0,E150+F150-I150),2)</f>
        <v>0</v>
      </c>
      <c r="F151" s="55" t="n">
        <f aca="false">ROUND(E151*$E$5/12,2)</f>
        <v>0</v>
      </c>
      <c r="G151" s="55" t="n">
        <f aca="false">MIN($F$5,E151+F151)</f>
        <v>0</v>
      </c>
      <c r="H151" s="55" t="n">
        <f aca="false">MAX(0,MIN(E151+F151-G151,$D151))</f>
        <v>0</v>
      </c>
      <c r="I151" s="55" t="n">
        <f aca="false">G151+H151</f>
        <v>0</v>
      </c>
      <c r="J151" s="55" t="n">
        <f aca="false">ROUND(MAX(0,J150+K150-N150),2)</f>
        <v>0</v>
      </c>
      <c r="K151" s="55" t="n">
        <f aca="false">ROUND(J151*$E$6/12,2)</f>
        <v>0</v>
      </c>
      <c r="L151" s="55" t="n">
        <f aca="false">MIN($F$6,J151+K151)</f>
        <v>0</v>
      </c>
      <c r="M151" s="55" t="n">
        <f aca="false">MAX(0,MIN(J151+K151-L151,$D151-(H151)))</f>
        <v>0</v>
      </c>
      <c r="N151" s="55" t="n">
        <f aca="false">L151+M151</f>
        <v>0</v>
      </c>
      <c r="O151" s="55" t="n">
        <f aca="false">ROUND(MAX(0,O150+P150-S150),2)</f>
        <v>0</v>
      </c>
      <c r="P151" s="55" t="n">
        <f aca="false">ROUND(O151*$E$7/12,2)</f>
        <v>0</v>
      </c>
      <c r="Q151" s="55" t="n">
        <f aca="false">MIN($F$7,O151+P151)</f>
        <v>0</v>
      </c>
      <c r="R151" s="55" t="n">
        <f aca="false">MAX(0,MIN(O151+P151-Q151,$D151-(H151+M151)))</f>
        <v>0</v>
      </c>
      <c r="S151" s="55" t="n">
        <f aca="false">Q151+R151</f>
        <v>0</v>
      </c>
      <c r="T151" s="55" t="n">
        <f aca="false">ROUND(MAX(0,T150+U150-X150),2)</f>
        <v>0</v>
      </c>
      <c r="U151" s="55" t="n">
        <f aca="false">ROUND(T151*$E$8/12,2)</f>
        <v>0</v>
      </c>
      <c r="V151" s="55" t="n">
        <f aca="false">MIN($F$8,T151+U151)</f>
        <v>0</v>
      </c>
      <c r="W151" s="55" t="n">
        <f aca="false">MAX(0,MIN(T151+U151-V151,$D151-(H151+M151+R151)))</f>
        <v>0</v>
      </c>
      <c r="X151" s="55" t="n">
        <f aca="false">V151+W151</f>
        <v>0</v>
      </c>
      <c r="Y151" s="55" t="n">
        <f aca="false">ROUND(MAX(0,Y150+Z150-AC150),2)</f>
        <v>0</v>
      </c>
      <c r="Z151" s="55" t="n">
        <f aca="false">ROUND(Y151*$E$9/12,2)</f>
        <v>0</v>
      </c>
      <c r="AA151" s="55" t="n">
        <f aca="false">MIN($F$9,Y151+Z151)</f>
        <v>0</v>
      </c>
      <c r="AB151" s="55" t="n">
        <f aca="false">MAX(0,MIN(Y151+Z151-AA151,$D151-(H151+M151+R151+W151)))</f>
        <v>0</v>
      </c>
      <c r="AC151" s="55" t="n">
        <f aca="false">AA151+AB151</f>
        <v>0</v>
      </c>
      <c r="AD151" s="55" t="n">
        <f aca="false">ROUND(MAX(0,AD150+AE150-AH150),2)</f>
        <v>0</v>
      </c>
      <c r="AE151" s="55" t="n">
        <f aca="false">ROUND(AD151*$E$10/12,2)</f>
        <v>0</v>
      </c>
      <c r="AF151" s="55" t="n">
        <f aca="false">MIN($F$10,AD151+AE151)</f>
        <v>0</v>
      </c>
      <c r="AG151" s="55" t="n">
        <f aca="false">MAX(0,MIN(AD151+AE151-AF151,$D151-(H151+M151+R151+W151+AB151)))</f>
        <v>0</v>
      </c>
      <c r="AH151" s="55" t="n">
        <f aca="false">AF151+AG151</f>
        <v>0</v>
      </c>
      <c r="AI151" s="55" t="n">
        <f aca="false">ROUND(MAX(0,AI150+AJ150-AM150),2)</f>
        <v>0</v>
      </c>
      <c r="AJ151" s="55" t="n">
        <f aca="false">ROUND(AI151*$E$11/12,2)</f>
        <v>0</v>
      </c>
      <c r="AK151" s="55" t="n">
        <f aca="false">MIN($F$11,AI151+AJ151)</f>
        <v>0</v>
      </c>
      <c r="AL151" s="55" t="n">
        <f aca="false">MAX(0,MIN(AI151+AJ151-AK151,$D151-(H151+M151+R151+W151+AB151+AG151)))</f>
        <v>0</v>
      </c>
      <c r="AM151" s="55" t="n">
        <f aca="false">AK151+AL151</f>
        <v>0</v>
      </c>
      <c r="AN151" s="55" t="n">
        <f aca="false">ROUND(MAX(0,AN150+AO150-AR150),2)</f>
        <v>0</v>
      </c>
      <c r="AO151" s="55" t="n">
        <f aca="false">ROUND(AN151*$E$12/12,2)</f>
        <v>0</v>
      </c>
      <c r="AP151" s="55" t="n">
        <f aca="false">MIN($F$12,AN151+AO151)</f>
        <v>0</v>
      </c>
      <c r="AQ151" s="55" t="n">
        <f aca="false">MAX(0,MIN(AN151+AO151-AP151,$D151-(H151+M151+R151+W151+AB151+AG151+AL151)))</f>
        <v>0</v>
      </c>
      <c r="AR151" s="55" t="n">
        <f aca="false">AP151+AQ151</f>
        <v>0</v>
      </c>
      <c r="AS151" s="55" t="n">
        <f aca="false">ROUND(MAX(0,AS150+AT150-AW150),2)</f>
        <v>0</v>
      </c>
      <c r="AT151" s="55" t="n">
        <f aca="false">ROUND(AS151*$E$13/12,2)</f>
        <v>0</v>
      </c>
      <c r="AU151" s="55" t="n">
        <f aca="false">MIN($F$13,AS151+AT151)</f>
        <v>0</v>
      </c>
      <c r="AV151" s="55" t="n">
        <f aca="false">MAX(0,MIN(AS151+AT151-AU151,$D151-(H151+M151+R151+W151+AB151+AG151+AL151+AQ151)))</f>
        <v>0</v>
      </c>
      <c r="AW151" s="55" t="n">
        <f aca="false">AU151+AV151</f>
        <v>0</v>
      </c>
      <c r="AX151" s="55" t="n">
        <f aca="false">ROUND(MAX(0,AX150+AY150-BB150),2)</f>
        <v>0</v>
      </c>
      <c r="AY151" s="55" t="n">
        <f aca="false">ROUND(AX151*$E$14/12,2)</f>
        <v>0</v>
      </c>
      <c r="AZ151" s="55" t="n">
        <f aca="false">MIN($F$14,AX151+AY151)</f>
        <v>0</v>
      </c>
      <c r="BA151" s="55" t="n">
        <f aca="false">MAX(0,MIN(AX151+AY151-AZ151,$D151-(H151+M151+R151+W151+AB151+AG151+AL151+AQ151+AV151)))</f>
        <v>0</v>
      </c>
      <c r="BB151" s="55" t="n">
        <f aca="false">AZ151+BA151</f>
        <v>0</v>
      </c>
      <c r="BC151" s="55" t="n">
        <f aca="false">I151+N151+S151+X151+AC151+AH151+AM151+AR151+AW151+BB151</f>
        <v>0</v>
      </c>
      <c r="BD151" s="55" t="n">
        <f aca="false">ROUND((E151+F151-I151)+(J151+K151-N151)+(O151+P151-S151)+(T151+U151-X151)+(Y151+Z151-AC151)+(AD151+AE151-AH151)+(AI151+AJ151-AM151)+(AN151+AO151-AR151)+(AS151+AT151-AW151)+(AX151+AY151-BB151),2)</f>
        <v>0</v>
      </c>
      <c r="BE151" s="25" t="str">
        <f aca="false">IF(H151&gt;0.005,$C$5,IF(M151&gt;0.005,$C$6,IF(R151&gt;0.005,$C$7,IF(W151&gt;0.005,$C$8,IF(AB151&gt;0.005,$C$9,IF(AG151&gt;0.005,$C$10,IF(AL151&gt;0.005,$C$11,IF(AQ151&gt;0.005,$C$12,IF(AV151&gt;0.005,$C$13,IF(BA151&gt;0.005,$C$14,""))))))))))</f>
        <v/>
      </c>
    </row>
    <row r="152" customFormat="false" ht="15" hidden="false" customHeight="false" outlineLevel="0" collapsed="false">
      <c r="A152" s="24" t="n">
        <v>129</v>
      </c>
      <c r="B152" s="54" t="n">
        <f aca="false">EDATE($C$17,A152-1)</f>
        <v>50222</v>
      </c>
      <c r="C152" s="55" t="n">
        <f aca="false">G152+L152+Q152+V152+AA152+AF152+AK152+AP152+AU152+AZ152</f>
        <v>0</v>
      </c>
      <c r="D152" s="55" t="n">
        <f aca="false">MAX(0,$C$16-C152)</f>
        <v>5822</v>
      </c>
      <c r="E152" s="55" t="n">
        <f aca="false">ROUND(MAX(0,E151+F151-I151),2)</f>
        <v>0</v>
      </c>
      <c r="F152" s="55" t="n">
        <f aca="false">ROUND(E152*$E$5/12,2)</f>
        <v>0</v>
      </c>
      <c r="G152" s="55" t="n">
        <f aca="false">MIN($F$5,E152+F152)</f>
        <v>0</v>
      </c>
      <c r="H152" s="55" t="n">
        <f aca="false">MAX(0,MIN(E152+F152-G152,$D152))</f>
        <v>0</v>
      </c>
      <c r="I152" s="55" t="n">
        <f aca="false">G152+H152</f>
        <v>0</v>
      </c>
      <c r="J152" s="55" t="n">
        <f aca="false">ROUND(MAX(0,J151+K151-N151),2)</f>
        <v>0</v>
      </c>
      <c r="K152" s="55" t="n">
        <f aca="false">ROUND(J152*$E$6/12,2)</f>
        <v>0</v>
      </c>
      <c r="L152" s="55" t="n">
        <f aca="false">MIN($F$6,J152+K152)</f>
        <v>0</v>
      </c>
      <c r="M152" s="55" t="n">
        <f aca="false">MAX(0,MIN(J152+K152-L152,$D152-(H152)))</f>
        <v>0</v>
      </c>
      <c r="N152" s="55" t="n">
        <f aca="false">L152+M152</f>
        <v>0</v>
      </c>
      <c r="O152" s="55" t="n">
        <f aca="false">ROUND(MAX(0,O151+P151-S151),2)</f>
        <v>0</v>
      </c>
      <c r="P152" s="55" t="n">
        <f aca="false">ROUND(O152*$E$7/12,2)</f>
        <v>0</v>
      </c>
      <c r="Q152" s="55" t="n">
        <f aca="false">MIN($F$7,O152+P152)</f>
        <v>0</v>
      </c>
      <c r="R152" s="55" t="n">
        <f aca="false">MAX(0,MIN(O152+P152-Q152,$D152-(H152+M152)))</f>
        <v>0</v>
      </c>
      <c r="S152" s="55" t="n">
        <f aca="false">Q152+R152</f>
        <v>0</v>
      </c>
      <c r="T152" s="55" t="n">
        <f aca="false">ROUND(MAX(0,T151+U151-X151),2)</f>
        <v>0</v>
      </c>
      <c r="U152" s="55" t="n">
        <f aca="false">ROUND(T152*$E$8/12,2)</f>
        <v>0</v>
      </c>
      <c r="V152" s="55" t="n">
        <f aca="false">MIN($F$8,T152+U152)</f>
        <v>0</v>
      </c>
      <c r="W152" s="55" t="n">
        <f aca="false">MAX(0,MIN(T152+U152-V152,$D152-(H152+M152+R152)))</f>
        <v>0</v>
      </c>
      <c r="X152" s="55" t="n">
        <f aca="false">V152+W152</f>
        <v>0</v>
      </c>
      <c r="Y152" s="55" t="n">
        <f aca="false">ROUND(MAX(0,Y151+Z151-AC151),2)</f>
        <v>0</v>
      </c>
      <c r="Z152" s="55" t="n">
        <f aca="false">ROUND(Y152*$E$9/12,2)</f>
        <v>0</v>
      </c>
      <c r="AA152" s="55" t="n">
        <f aca="false">MIN($F$9,Y152+Z152)</f>
        <v>0</v>
      </c>
      <c r="AB152" s="55" t="n">
        <f aca="false">MAX(0,MIN(Y152+Z152-AA152,$D152-(H152+M152+R152+W152)))</f>
        <v>0</v>
      </c>
      <c r="AC152" s="55" t="n">
        <f aca="false">AA152+AB152</f>
        <v>0</v>
      </c>
      <c r="AD152" s="55" t="n">
        <f aca="false">ROUND(MAX(0,AD151+AE151-AH151),2)</f>
        <v>0</v>
      </c>
      <c r="AE152" s="55" t="n">
        <f aca="false">ROUND(AD152*$E$10/12,2)</f>
        <v>0</v>
      </c>
      <c r="AF152" s="55" t="n">
        <f aca="false">MIN($F$10,AD152+AE152)</f>
        <v>0</v>
      </c>
      <c r="AG152" s="55" t="n">
        <f aca="false">MAX(0,MIN(AD152+AE152-AF152,$D152-(H152+M152+R152+W152+AB152)))</f>
        <v>0</v>
      </c>
      <c r="AH152" s="55" t="n">
        <f aca="false">AF152+AG152</f>
        <v>0</v>
      </c>
      <c r="AI152" s="55" t="n">
        <f aca="false">ROUND(MAX(0,AI151+AJ151-AM151),2)</f>
        <v>0</v>
      </c>
      <c r="AJ152" s="55" t="n">
        <f aca="false">ROUND(AI152*$E$11/12,2)</f>
        <v>0</v>
      </c>
      <c r="AK152" s="55" t="n">
        <f aca="false">MIN($F$11,AI152+AJ152)</f>
        <v>0</v>
      </c>
      <c r="AL152" s="55" t="n">
        <f aca="false">MAX(0,MIN(AI152+AJ152-AK152,$D152-(H152+M152+R152+W152+AB152+AG152)))</f>
        <v>0</v>
      </c>
      <c r="AM152" s="55" t="n">
        <f aca="false">AK152+AL152</f>
        <v>0</v>
      </c>
      <c r="AN152" s="55" t="n">
        <f aca="false">ROUND(MAX(0,AN151+AO151-AR151),2)</f>
        <v>0</v>
      </c>
      <c r="AO152" s="55" t="n">
        <f aca="false">ROUND(AN152*$E$12/12,2)</f>
        <v>0</v>
      </c>
      <c r="AP152" s="55" t="n">
        <f aca="false">MIN($F$12,AN152+AO152)</f>
        <v>0</v>
      </c>
      <c r="AQ152" s="55" t="n">
        <f aca="false">MAX(0,MIN(AN152+AO152-AP152,$D152-(H152+M152+R152+W152+AB152+AG152+AL152)))</f>
        <v>0</v>
      </c>
      <c r="AR152" s="55" t="n">
        <f aca="false">AP152+AQ152</f>
        <v>0</v>
      </c>
      <c r="AS152" s="55" t="n">
        <f aca="false">ROUND(MAX(0,AS151+AT151-AW151),2)</f>
        <v>0</v>
      </c>
      <c r="AT152" s="55" t="n">
        <f aca="false">ROUND(AS152*$E$13/12,2)</f>
        <v>0</v>
      </c>
      <c r="AU152" s="55" t="n">
        <f aca="false">MIN($F$13,AS152+AT152)</f>
        <v>0</v>
      </c>
      <c r="AV152" s="55" t="n">
        <f aca="false">MAX(0,MIN(AS152+AT152-AU152,$D152-(H152+M152+R152+W152+AB152+AG152+AL152+AQ152)))</f>
        <v>0</v>
      </c>
      <c r="AW152" s="55" t="n">
        <f aca="false">AU152+AV152</f>
        <v>0</v>
      </c>
      <c r="AX152" s="55" t="n">
        <f aca="false">ROUND(MAX(0,AX151+AY151-BB151),2)</f>
        <v>0</v>
      </c>
      <c r="AY152" s="55" t="n">
        <f aca="false">ROUND(AX152*$E$14/12,2)</f>
        <v>0</v>
      </c>
      <c r="AZ152" s="55" t="n">
        <f aca="false">MIN($F$14,AX152+AY152)</f>
        <v>0</v>
      </c>
      <c r="BA152" s="55" t="n">
        <f aca="false">MAX(0,MIN(AX152+AY152-AZ152,$D152-(H152+M152+R152+W152+AB152+AG152+AL152+AQ152+AV152)))</f>
        <v>0</v>
      </c>
      <c r="BB152" s="55" t="n">
        <f aca="false">AZ152+BA152</f>
        <v>0</v>
      </c>
      <c r="BC152" s="55" t="n">
        <f aca="false">I152+N152+S152+X152+AC152+AH152+AM152+AR152+AW152+BB152</f>
        <v>0</v>
      </c>
      <c r="BD152" s="55" t="n">
        <f aca="false">ROUND((E152+F152-I152)+(J152+K152-N152)+(O152+P152-S152)+(T152+U152-X152)+(Y152+Z152-AC152)+(AD152+AE152-AH152)+(AI152+AJ152-AM152)+(AN152+AO152-AR152)+(AS152+AT152-AW152)+(AX152+AY152-BB152),2)</f>
        <v>0</v>
      </c>
      <c r="BE152" s="25" t="str">
        <f aca="false">IF(H152&gt;0.005,$C$5,IF(M152&gt;0.005,$C$6,IF(R152&gt;0.005,$C$7,IF(W152&gt;0.005,$C$8,IF(AB152&gt;0.005,$C$9,IF(AG152&gt;0.005,$C$10,IF(AL152&gt;0.005,$C$11,IF(AQ152&gt;0.005,$C$12,IF(AV152&gt;0.005,$C$13,IF(BA152&gt;0.005,$C$14,""))))))))))</f>
        <v/>
      </c>
    </row>
    <row r="153" customFormat="false" ht="15" hidden="false" customHeight="false" outlineLevel="0" collapsed="false">
      <c r="A153" s="24" t="n">
        <v>130</v>
      </c>
      <c r="B153" s="54" t="n">
        <f aca="false">EDATE($C$17,A153-1)</f>
        <v>50253</v>
      </c>
      <c r="C153" s="55" t="n">
        <f aca="false">G153+L153+Q153+V153+AA153+AF153+AK153+AP153+AU153+AZ153</f>
        <v>0</v>
      </c>
      <c r="D153" s="55" t="n">
        <f aca="false">MAX(0,$C$16-C153)</f>
        <v>5822</v>
      </c>
      <c r="E153" s="55" t="n">
        <f aca="false">ROUND(MAX(0,E152+F152-I152),2)</f>
        <v>0</v>
      </c>
      <c r="F153" s="55" t="n">
        <f aca="false">ROUND(E153*$E$5/12,2)</f>
        <v>0</v>
      </c>
      <c r="G153" s="55" t="n">
        <f aca="false">MIN($F$5,E153+F153)</f>
        <v>0</v>
      </c>
      <c r="H153" s="55" t="n">
        <f aca="false">MAX(0,MIN(E153+F153-G153,$D153))</f>
        <v>0</v>
      </c>
      <c r="I153" s="55" t="n">
        <f aca="false">G153+H153</f>
        <v>0</v>
      </c>
      <c r="J153" s="55" t="n">
        <f aca="false">ROUND(MAX(0,J152+K152-N152),2)</f>
        <v>0</v>
      </c>
      <c r="K153" s="55" t="n">
        <f aca="false">ROUND(J153*$E$6/12,2)</f>
        <v>0</v>
      </c>
      <c r="L153" s="55" t="n">
        <f aca="false">MIN($F$6,J153+K153)</f>
        <v>0</v>
      </c>
      <c r="M153" s="55" t="n">
        <f aca="false">MAX(0,MIN(J153+K153-L153,$D153-(H153)))</f>
        <v>0</v>
      </c>
      <c r="N153" s="55" t="n">
        <f aca="false">L153+M153</f>
        <v>0</v>
      </c>
      <c r="O153" s="55" t="n">
        <f aca="false">ROUND(MAX(0,O152+P152-S152),2)</f>
        <v>0</v>
      </c>
      <c r="P153" s="55" t="n">
        <f aca="false">ROUND(O153*$E$7/12,2)</f>
        <v>0</v>
      </c>
      <c r="Q153" s="55" t="n">
        <f aca="false">MIN($F$7,O153+P153)</f>
        <v>0</v>
      </c>
      <c r="R153" s="55" t="n">
        <f aca="false">MAX(0,MIN(O153+P153-Q153,$D153-(H153+M153)))</f>
        <v>0</v>
      </c>
      <c r="S153" s="55" t="n">
        <f aca="false">Q153+R153</f>
        <v>0</v>
      </c>
      <c r="T153" s="55" t="n">
        <f aca="false">ROUND(MAX(0,T152+U152-X152),2)</f>
        <v>0</v>
      </c>
      <c r="U153" s="55" t="n">
        <f aca="false">ROUND(T153*$E$8/12,2)</f>
        <v>0</v>
      </c>
      <c r="V153" s="55" t="n">
        <f aca="false">MIN($F$8,T153+U153)</f>
        <v>0</v>
      </c>
      <c r="W153" s="55" t="n">
        <f aca="false">MAX(0,MIN(T153+U153-V153,$D153-(H153+M153+R153)))</f>
        <v>0</v>
      </c>
      <c r="X153" s="55" t="n">
        <f aca="false">V153+W153</f>
        <v>0</v>
      </c>
      <c r="Y153" s="55" t="n">
        <f aca="false">ROUND(MAX(0,Y152+Z152-AC152),2)</f>
        <v>0</v>
      </c>
      <c r="Z153" s="55" t="n">
        <f aca="false">ROUND(Y153*$E$9/12,2)</f>
        <v>0</v>
      </c>
      <c r="AA153" s="55" t="n">
        <f aca="false">MIN($F$9,Y153+Z153)</f>
        <v>0</v>
      </c>
      <c r="AB153" s="55" t="n">
        <f aca="false">MAX(0,MIN(Y153+Z153-AA153,$D153-(H153+M153+R153+W153)))</f>
        <v>0</v>
      </c>
      <c r="AC153" s="55" t="n">
        <f aca="false">AA153+AB153</f>
        <v>0</v>
      </c>
      <c r="AD153" s="55" t="n">
        <f aca="false">ROUND(MAX(0,AD152+AE152-AH152),2)</f>
        <v>0</v>
      </c>
      <c r="AE153" s="55" t="n">
        <f aca="false">ROUND(AD153*$E$10/12,2)</f>
        <v>0</v>
      </c>
      <c r="AF153" s="55" t="n">
        <f aca="false">MIN($F$10,AD153+AE153)</f>
        <v>0</v>
      </c>
      <c r="AG153" s="55" t="n">
        <f aca="false">MAX(0,MIN(AD153+AE153-AF153,$D153-(H153+M153+R153+W153+AB153)))</f>
        <v>0</v>
      </c>
      <c r="AH153" s="55" t="n">
        <f aca="false">AF153+AG153</f>
        <v>0</v>
      </c>
      <c r="AI153" s="55" t="n">
        <f aca="false">ROUND(MAX(0,AI152+AJ152-AM152),2)</f>
        <v>0</v>
      </c>
      <c r="AJ153" s="55" t="n">
        <f aca="false">ROUND(AI153*$E$11/12,2)</f>
        <v>0</v>
      </c>
      <c r="AK153" s="55" t="n">
        <f aca="false">MIN($F$11,AI153+AJ153)</f>
        <v>0</v>
      </c>
      <c r="AL153" s="55" t="n">
        <f aca="false">MAX(0,MIN(AI153+AJ153-AK153,$D153-(H153+M153+R153+W153+AB153+AG153)))</f>
        <v>0</v>
      </c>
      <c r="AM153" s="55" t="n">
        <f aca="false">AK153+AL153</f>
        <v>0</v>
      </c>
      <c r="AN153" s="55" t="n">
        <f aca="false">ROUND(MAX(0,AN152+AO152-AR152),2)</f>
        <v>0</v>
      </c>
      <c r="AO153" s="55" t="n">
        <f aca="false">ROUND(AN153*$E$12/12,2)</f>
        <v>0</v>
      </c>
      <c r="AP153" s="55" t="n">
        <f aca="false">MIN($F$12,AN153+AO153)</f>
        <v>0</v>
      </c>
      <c r="AQ153" s="55" t="n">
        <f aca="false">MAX(0,MIN(AN153+AO153-AP153,$D153-(H153+M153+R153+W153+AB153+AG153+AL153)))</f>
        <v>0</v>
      </c>
      <c r="AR153" s="55" t="n">
        <f aca="false">AP153+AQ153</f>
        <v>0</v>
      </c>
      <c r="AS153" s="55" t="n">
        <f aca="false">ROUND(MAX(0,AS152+AT152-AW152),2)</f>
        <v>0</v>
      </c>
      <c r="AT153" s="55" t="n">
        <f aca="false">ROUND(AS153*$E$13/12,2)</f>
        <v>0</v>
      </c>
      <c r="AU153" s="55" t="n">
        <f aca="false">MIN($F$13,AS153+AT153)</f>
        <v>0</v>
      </c>
      <c r="AV153" s="55" t="n">
        <f aca="false">MAX(0,MIN(AS153+AT153-AU153,$D153-(H153+M153+R153+W153+AB153+AG153+AL153+AQ153)))</f>
        <v>0</v>
      </c>
      <c r="AW153" s="55" t="n">
        <f aca="false">AU153+AV153</f>
        <v>0</v>
      </c>
      <c r="AX153" s="55" t="n">
        <f aca="false">ROUND(MAX(0,AX152+AY152-BB152),2)</f>
        <v>0</v>
      </c>
      <c r="AY153" s="55" t="n">
        <f aca="false">ROUND(AX153*$E$14/12,2)</f>
        <v>0</v>
      </c>
      <c r="AZ153" s="55" t="n">
        <f aca="false">MIN($F$14,AX153+AY153)</f>
        <v>0</v>
      </c>
      <c r="BA153" s="55" t="n">
        <f aca="false">MAX(0,MIN(AX153+AY153-AZ153,$D153-(H153+M153+R153+W153+AB153+AG153+AL153+AQ153+AV153)))</f>
        <v>0</v>
      </c>
      <c r="BB153" s="55" t="n">
        <f aca="false">AZ153+BA153</f>
        <v>0</v>
      </c>
      <c r="BC153" s="55" t="n">
        <f aca="false">I153+N153+S153+X153+AC153+AH153+AM153+AR153+AW153+BB153</f>
        <v>0</v>
      </c>
      <c r="BD153" s="55" t="n">
        <f aca="false">ROUND((E153+F153-I153)+(J153+K153-N153)+(O153+P153-S153)+(T153+U153-X153)+(Y153+Z153-AC153)+(AD153+AE153-AH153)+(AI153+AJ153-AM153)+(AN153+AO153-AR153)+(AS153+AT153-AW153)+(AX153+AY153-BB153),2)</f>
        <v>0</v>
      </c>
      <c r="BE153" s="25" t="str">
        <f aca="false">IF(H153&gt;0.005,$C$5,IF(M153&gt;0.005,$C$6,IF(R153&gt;0.005,$C$7,IF(W153&gt;0.005,$C$8,IF(AB153&gt;0.005,$C$9,IF(AG153&gt;0.005,$C$10,IF(AL153&gt;0.005,$C$11,IF(AQ153&gt;0.005,$C$12,IF(AV153&gt;0.005,$C$13,IF(BA153&gt;0.005,$C$14,""))))))))))</f>
        <v/>
      </c>
    </row>
    <row r="154" customFormat="false" ht="15" hidden="false" customHeight="false" outlineLevel="0" collapsed="false">
      <c r="A154" s="24" t="n">
        <v>131</v>
      </c>
      <c r="B154" s="54" t="n">
        <f aca="false">EDATE($C$17,A154-1)</f>
        <v>50284</v>
      </c>
      <c r="C154" s="55" t="n">
        <f aca="false">G154+L154+Q154+V154+AA154+AF154+AK154+AP154+AU154+AZ154</f>
        <v>0</v>
      </c>
      <c r="D154" s="55" t="n">
        <f aca="false">MAX(0,$C$16-C154)</f>
        <v>5822</v>
      </c>
      <c r="E154" s="55" t="n">
        <f aca="false">ROUND(MAX(0,E153+F153-I153),2)</f>
        <v>0</v>
      </c>
      <c r="F154" s="55" t="n">
        <f aca="false">ROUND(E154*$E$5/12,2)</f>
        <v>0</v>
      </c>
      <c r="G154" s="55" t="n">
        <f aca="false">MIN($F$5,E154+F154)</f>
        <v>0</v>
      </c>
      <c r="H154" s="55" t="n">
        <f aca="false">MAX(0,MIN(E154+F154-G154,$D154))</f>
        <v>0</v>
      </c>
      <c r="I154" s="55" t="n">
        <f aca="false">G154+H154</f>
        <v>0</v>
      </c>
      <c r="J154" s="55" t="n">
        <f aca="false">ROUND(MAX(0,J153+K153-N153),2)</f>
        <v>0</v>
      </c>
      <c r="K154" s="55" t="n">
        <f aca="false">ROUND(J154*$E$6/12,2)</f>
        <v>0</v>
      </c>
      <c r="L154" s="55" t="n">
        <f aca="false">MIN($F$6,J154+K154)</f>
        <v>0</v>
      </c>
      <c r="M154" s="55" t="n">
        <f aca="false">MAX(0,MIN(J154+K154-L154,$D154-(H154)))</f>
        <v>0</v>
      </c>
      <c r="N154" s="55" t="n">
        <f aca="false">L154+M154</f>
        <v>0</v>
      </c>
      <c r="O154" s="55" t="n">
        <f aca="false">ROUND(MAX(0,O153+P153-S153),2)</f>
        <v>0</v>
      </c>
      <c r="P154" s="55" t="n">
        <f aca="false">ROUND(O154*$E$7/12,2)</f>
        <v>0</v>
      </c>
      <c r="Q154" s="55" t="n">
        <f aca="false">MIN($F$7,O154+P154)</f>
        <v>0</v>
      </c>
      <c r="R154" s="55" t="n">
        <f aca="false">MAX(0,MIN(O154+P154-Q154,$D154-(H154+M154)))</f>
        <v>0</v>
      </c>
      <c r="S154" s="55" t="n">
        <f aca="false">Q154+R154</f>
        <v>0</v>
      </c>
      <c r="T154" s="55" t="n">
        <f aca="false">ROUND(MAX(0,T153+U153-X153),2)</f>
        <v>0</v>
      </c>
      <c r="U154" s="55" t="n">
        <f aca="false">ROUND(T154*$E$8/12,2)</f>
        <v>0</v>
      </c>
      <c r="V154" s="55" t="n">
        <f aca="false">MIN($F$8,T154+U154)</f>
        <v>0</v>
      </c>
      <c r="W154" s="55" t="n">
        <f aca="false">MAX(0,MIN(T154+U154-V154,$D154-(H154+M154+R154)))</f>
        <v>0</v>
      </c>
      <c r="X154" s="55" t="n">
        <f aca="false">V154+W154</f>
        <v>0</v>
      </c>
      <c r="Y154" s="55" t="n">
        <f aca="false">ROUND(MAX(0,Y153+Z153-AC153),2)</f>
        <v>0</v>
      </c>
      <c r="Z154" s="55" t="n">
        <f aca="false">ROUND(Y154*$E$9/12,2)</f>
        <v>0</v>
      </c>
      <c r="AA154" s="55" t="n">
        <f aca="false">MIN($F$9,Y154+Z154)</f>
        <v>0</v>
      </c>
      <c r="AB154" s="55" t="n">
        <f aca="false">MAX(0,MIN(Y154+Z154-AA154,$D154-(H154+M154+R154+W154)))</f>
        <v>0</v>
      </c>
      <c r="AC154" s="55" t="n">
        <f aca="false">AA154+AB154</f>
        <v>0</v>
      </c>
      <c r="AD154" s="55" t="n">
        <f aca="false">ROUND(MAX(0,AD153+AE153-AH153),2)</f>
        <v>0</v>
      </c>
      <c r="AE154" s="55" t="n">
        <f aca="false">ROUND(AD154*$E$10/12,2)</f>
        <v>0</v>
      </c>
      <c r="AF154" s="55" t="n">
        <f aca="false">MIN($F$10,AD154+AE154)</f>
        <v>0</v>
      </c>
      <c r="AG154" s="55" t="n">
        <f aca="false">MAX(0,MIN(AD154+AE154-AF154,$D154-(H154+M154+R154+W154+AB154)))</f>
        <v>0</v>
      </c>
      <c r="AH154" s="55" t="n">
        <f aca="false">AF154+AG154</f>
        <v>0</v>
      </c>
      <c r="AI154" s="55" t="n">
        <f aca="false">ROUND(MAX(0,AI153+AJ153-AM153),2)</f>
        <v>0</v>
      </c>
      <c r="AJ154" s="55" t="n">
        <f aca="false">ROUND(AI154*$E$11/12,2)</f>
        <v>0</v>
      </c>
      <c r="AK154" s="55" t="n">
        <f aca="false">MIN($F$11,AI154+AJ154)</f>
        <v>0</v>
      </c>
      <c r="AL154" s="55" t="n">
        <f aca="false">MAX(0,MIN(AI154+AJ154-AK154,$D154-(H154+M154+R154+W154+AB154+AG154)))</f>
        <v>0</v>
      </c>
      <c r="AM154" s="55" t="n">
        <f aca="false">AK154+AL154</f>
        <v>0</v>
      </c>
      <c r="AN154" s="55" t="n">
        <f aca="false">ROUND(MAX(0,AN153+AO153-AR153),2)</f>
        <v>0</v>
      </c>
      <c r="AO154" s="55" t="n">
        <f aca="false">ROUND(AN154*$E$12/12,2)</f>
        <v>0</v>
      </c>
      <c r="AP154" s="55" t="n">
        <f aca="false">MIN($F$12,AN154+AO154)</f>
        <v>0</v>
      </c>
      <c r="AQ154" s="55" t="n">
        <f aca="false">MAX(0,MIN(AN154+AO154-AP154,$D154-(H154+M154+R154+W154+AB154+AG154+AL154)))</f>
        <v>0</v>
      </c>
      <c r="AR154" s="55" t="n">
        <f aca="false">AP154+AQ154</f>
        <v>0</v>
      </c>
      <c r="AS154" s="55" t="n">
        <f aca="false">ROUND(MAX(0,AS153+AT153-AW153),2)</f>
        <v>0</v>
      </c>
      <c r="AT154" s="55" t="n">
        <f aca="false">ROUND(AS154*$E$13/12,2)</f>
        <v>0</v>
      </c>
      <c r="AU154" s="55" t="n">
        <f aca="false">MIN($F$13,AS154+AT154)</f>
        <v>0</v>
      </c>
      <c r="AV154" s="55" t="n">
        <f aca="false">MAX(0,MIN(AS154+AT154-AU154,$D154-(H154+M154+R154+W154+AB154+AG154+AL154+AQ154)))</f>
        <v>0</v>
      </c>
      <c r="AW154" s="55" t="n">
        <f aca="false">AU154+AV154</f>
        <v>0</v>
      </c>
      <c r="AX154" s="55" t="n">
        <f aca="false">ROUND(MAX(0,AX153+AY153-BB153),2)</f>
        <v>0</v>
      </c>
      <c r="AY154" s="55" t="n">
        <f aca="false">ROUND(AX154*$E$14/12,2)</f>
        <v>0</v>
      </c>
      <c r="AZ154" s="55" t="n">
        <f aca="false">MIN($F$14,AX154+AY154)</f>
        <v>0</v>
      </c>
      <c r="BA154" s="55" t="n">
        <f aca="false">MAX(0,MIN(AX154+AY154-AZ154,$D154-(H154+M154+R154+W154+AB154+AG154+AL154+AQ154+AV154)))</f>
        <v>0</v>
      </c>
      <c r="BB154" s="55" t="n">
        <f aca="false">AZ154+BA154</f>
        <v>0</v>
      </c>
      <c r="BC154" s="55" t="n">
        <f aca="false">I154+N154+S154+X154+AC154+AH154+AM154+AR154+AW154+BB154</f>
        <v>0</v>
      </c>
      <c r="BD154" s="55" t="n">
        <f aca="false">ROUND((E154+F154-I154)+(J154+K154-N154)+(O154+P154-S154)+(T154+U154-X154)+(Y154+Z154-AC154)+(AD154+AE154-AH154)+(AI154+AJ154-AM154)+(AN154+AO154-AR154)+(AS154+AT154-AW154)+(AX154+AY154-BB154),2)</f>
        <v>0</v>
      </c>
      <c r="BE154" s="25" t="str">
        <f aca="false">IF(H154&gt;0.005,$C$5,IF(M154&gt;0.005,$C$6,IF(R154&gt;0.005,$C$7,IF(W154&gt;0.005,$C$8,IF(AB154&gt;0.005,$C$9,IF(AG154&gt;0.005,$C$10,IF(AL154&gt;0.005,$C$11,IF(AQ154&gt;0.005,$C$12,IF(AV154&gt;0.005,$C$13,IF(BA154&gt;0.005,$C$14,""))))))))))</f>
        <v/>
      </c>
    </row>
    <row r="155" customFormat="false" ht="15" hidden="false" customHeight="false" outlineLevel="0" collapsed="false">
      <c r="A155" s="24" t="n">
        <v>132</v>
      </c>
      <c r="B155" s="54" t="n">
        <f aca="false">EDATE($C$17,A155-1)</f>
        <v>50314</v>
      </c>
      <c r="C155" s="55" t="n">
        <f aca="false">G155+L155+Q155+V155+AA155+AF155+AK155+AP155+AU155+AZ155</f>
        <v>0</v>
      </c>
      <c r="D155" s="55" t="n">
        <f aca="false">MAX(0,$C$16-C155)</f>
        <v>5822</v>
      </c>
      <c r="E155" s="55" t="n">
        <f aca="false">ROUND(MAX(0,E154+F154-I154),2)</f>
        <v>0</v>
      </c>
      <c r="F155" s="55" t="n">
        <f aca="false">ROUND(E155*$E$5/12,2)</f>
        <v>0</v>
      </c>
      <c r="G155" s="55" t="n">
        <f aca="false">MIN($F$5,E155+F155)</f>
        <v>0</v>
      </c>
      <c r="H155" s="55" t="n">
        <f aca="false">MAX(0,MIN(E155+F155-G155,$D155))</f>
        <v>0</v>
      </c>
      <c r="I155" s="55" t="n">
        <f aca="false">G155+H155</f>
        <v>0</v>
      </c>
      <c r="J155" s="55" t="n">
        <f aca="false">ROUND(MAX(0,J154+K154-N154),2)</f>
        <v>0</v>
      </c>
      <c r="K155" s="55" t="n">
        <f aca="false">ROUND(J155*$E$6/12,2)</f>
        <v>0</v>
      </c>
      <c r="L155" s="55" t="n">
        <f aca="false">MIN($F$6,J155+K155)</f>
        <v>0</v>
      </c>
      <c r="M155" s="55" t="n">
        <f aca="false">MAX(0,MIN(J155+K155-L155,$D155-(H155)))</f>
        <v>0</v>
      </c>
      <c r="N155" s="55" t="n">
        <f aca="false">L155+M155</f>
        <v>0</v>
      </c>
      <c r="O155" s="55" t="n">
        <f aca="false">ROUND(MAX(0,O154+P154-S154),2)</f>
        <v>0</v>
      </c>
      <c r="P155" s="55" t="n">
        <f aca="false">ROUND(O155*$E$7/12,2)</f>
        <v>0</v>
      </c>
      <c r="Q155" s="55" t="n">
        <f aca="false">MIN($F$7,O155+P155)</f>
        <v>0</v>
      </c>
      <c r="R155" s="55" t="n">
        <f aca="false">MAX(0,MIN(O155+P155-Q155,$D155-(H155+M155)))</f>
        <v>0</v>
      </c>
      <c r="S155" s="55" t="n">
        <f aca="false">Q155+R155</f>
        <v>0</v>
      </c>
      <c r="T155" s="55" t="n">
        <f aca="false">ROUND(MAX(0,T154+U154-X154),2)</f>
        <v>0</v>
      </c>
      <c r="U155" s="55" t="n">
        <f aca="false">ROUND(T155*$E$8/12,2)</f>
        <v>0</v>
      </c>
      <c r="V155" s="55" t="n">
        <f aca="false">MIN($F$8,T155+U155)</f>
        <v>0</v>
      </c>
      <c r="W155" s="55" t="n">
        <f aca="false">MAX(0,MIN(T155+U155-V155,$D155-(H155+M155+R155)))</f>
        <v>0</v>
      </c>
      <c r="X155" s="55" t="n">
        <f aca="false">V155+W155</f>
        <v>0</v>
      </c>
      <c r="Y155" s="55" t="n">
        <f aca="false">ROUND(MAX(0,Y154+Z154-AC154),2)</f>
        <v>0</v>
      </c>
      <c r="Z155" s="55" t="n">
        <f aca="false">ROUND(Y155*$E$9/12,2)</f>
        <v>0</v>
      </c>
      <c r="AA155" s="55" t="n">
        <f aca="false">MIN($F$9,Y155+Z155)</f>
        <v>0</v>
      </c>
      <c r="AB155" s="55" t="n">
        <f aca="false">MAX(0,MIN(Y155+Z155-AA155,$D155-(H155+M155+R155+W155)))</f>
        <v>0</v>
      </c>
      <c r="AC155" s="55" t="n">
        <f aca="false">AA155+AB155</f>
        <v>0</v>
      </c>
      <c r="AD155" s="55" t="n">
        <f aca="false">ROUND(MAX(0,AD154+AE154-AH154),2)</f>
        <v>0</v>
      </c>
      <c r="AE155" s="55" t="n">
        <f aca="false">ROUND(AD155*$E$10/12,2)</f>
        <v>0</v>
      </c>
      <c r="AF155" s="55" t="n">
        <f aca="false">MIN($F$10,AD155+AE155)</f>
        <v>0</v>
      </c>
      <c r="AG155" s="55" t="n">
        <f aca="false">MAX(0,MIN(AD155+AE155-AF155,$D155-(H155+M155+R155+W155+AB155)))</f>
        <v>0</v>
      </c>
      <c r="AH155" s="55" t="n">
        <f aca="false">AF155+AG155</f>
        <v>0</v>
      </c>
      <c r="AI155" s="55" t="n">
        <f aca="false">ROUND(MAX(0,AI154+AJ154-AM154),2)</f>
        <v>0</v>
      </c>
      <c r="AJ155" s="55" t="n">
        <f aca="false">ROUND(AI155*$E$11/12,2)</f>
        <v>0</v>
      </c>
      <c r="AK155" s="55" t="n">
        <f aca="false">MIN($F$11,AI155+AJ155)</f>
        <v>0</v>
      </c>
      <c r="AL155" s="55" t="n">
        <f aca="false">MAX(0,MIN(AI155+AJ155-AK155,$D155-(H155+M155+R155+W155+AB155+AG155)))</f>
        <v>0</v>
      </c>
      <c r="AM155" s="55" t="n">
        <f aca="false">AK155+AL155</f>
        <v>0</v>
      </c>
      <c r="AN155" s="55" t="n">
        <f aca="false">ROUND(MAX(0,AN154+AO154-AR154),2)</f>
        <v>0</v>
      </c>
      <c r="AO155" s="55" t="n">
        <f aca="false">ROUND(AN155*$E$12/12,2)</f>
        <v>0</v>
      </c>
      <c r="AP155" s="55" t="n">
        <f aca="false">MIN($F$12,AN155+AO155)</f>
        <v>0</v>
      </c>
      <c r="AQ155" s="55" t="n">
        <f aca="false">MAX(0,MIN(AN155+AO155-AP155,$D155-(H155+M155+R155+W155+AB155+AG155+AL155)))</f>
        <v>0</v>
      </c>
      <c r="AR155" s="55" t="n">
        <f aca="false">AP155+AQ155</f>
        <v>0</v>
      </c>
      <c r="AS155" s="55" t="n">
        <f aca="false">ROUND(MAX(0,AS154+AT154-AW154),2)</f>
        <v>0</v>
      </c>
      <c r="AT155" s="55" t="n">
        <f aca="false">ROUND(AS155*$E$13/12,2)</f>
        <v>0</v>
      </c>
      <c r="AU155" s="55" t="n">
        <f aca="false">MIN($F$13,AS155+AT155)</f>
        <v>0</v>
      </c>
      <c r="AV155" s="55" t="n">
        <f aca="false">MAX(0,MIN(AS155+AT155-AU155,$D155-(H155+M155+R155+W155+AB155+AG155+AL155+AQ155)))</f>
        <v>0</v>
      </c>
      <c r="AW155" s="55" t="n">
        <f aca="false">AU155+AV155</f>
        <v>0</v>
      </c>
      <c r="AX155" s="55" t="n">
        <f aca="false">ROUND(MAX(0,AX154+AY154-BB154),2)</f>
        <v>0</v>
      </c>
      <c r="AY155" s="55" t="n">
        <f aca="false">ROUND(AX155*$E$14/12,2)</f>
        <v>0</v>
      </c>
      <c r="AZ155" s="55" t="n">
        <f aca="false">MIN($F$14,AX155+AY155)</f>
        <v>0</v>
      </c>
      <c r="BA155" s="55" t="n">
        <f aca="false">MAX(0,MIN(AX155+AY155-AZ155,$D155-(H155+M155+R155+W155+AB155+AG155+AL155+AQ155+AV155)))</f>
        <v>0</v>
      </c>
      <c r="BB155" s="55" t="n">
        <f aca="false">AZ155+BA155</f>
        <v>0</v>
      </c>
      <c r="BC155" s="55" t="n">
        <f aca="false">I155+N155+S155+X155+AC155+AH155+AM155+AR155+AW155+BB155</f>
        <v>0</v>
      </c>
      <c r="BD155" s="55" t="n">
        <f aca="false">ROUND((E155+F155-I155)+(J155+K155-N155)+(O155+P155-S155)+(T155+U155-X155)+(Y155+Z155-AC155)+(AD155+AE155-AH155)+(AI155+AJ155-AM155)+(AN155+AO155-AR155)+(AS155+AT155-AW155)+(AX155+AY155-BB155),2)</f>
        <v>0</v>
      </c>
      <c r="BE155" s="25" t="str">
        <f aca="false">IF(H155&gt;0.005,$C$5,IF(M155&gt;0.005,$C$6,IF(R155&gt;0.005,$C$7,IF(W155&gt;0.005,$C$8,IF(AB155&gt;0.005,$C$9,IF(AG155&gt;0.005,$C$10,IF(AL155&gt;0.005,$C$11,IF(AQ155&gt;0.005,$C$12,IF(AV155&gt;0.005,$C$13,IF(BA155&gt;0.005,$C$14,""))))))))))</f>
        <v/>
      </c>
    </row>
    <row r="156" customFormat="false" ht="15" hidden="false" customHeight="false" outlineLevel="0" collapsed="false">
      <c r="A156" s="24" t="n">
        <v>133</v>
      </c>
      <c r="B156" s="54" t="n">
        <f aca="false">EDATE($C$17,A156-1)</f>
        <v>50345</v>
      </c>
      <c r="C156" s="55" t="n">
        <f aca="false">G156+L156+Q156+V156+AA156+AF156+AK156+AP156+AU156+AZ156</f>
        <v>0</v>
      </c>
      <c r="D156" s="55" t="n">
        <f aca="false">MAX(0,$C$16-C156)</f>
        <v>5822</v>
      </c>
      <c r="E156" s="55" t="n">
        <f aca="false">ROUND(MAX(0,E155+F155-I155),2)</f>
        <v>0</v>
      </c>
      <c r="F156" s="55" t="n">
        <f aca="false">ROUND(E156*$E$5/12,2)</f>
        <v>0</v>
      </c>
      <c r="G156" s="55" t="n">
        <f aca="false">MIN($F$5,E156+F156)</f>
        <v>0</v>
      </c>
      <c r="H156" s="55" t="n">
        <f aca="false">MAX(0,MIN(E156+F156-G156,$D156))</f>
        <v>0</v>
      </c>
      <c r="I156" s="55" t="n">
        <f aca="false">G156+H156</f>
        <v>0</v>
      </c>
      <c r="J156" s="55" t="n">
        <f aca="false">ROUND(MAX(0,J155+K155-N155),2)</f>
        <v>0</v>
      </c>
      <c r="K156" s="55" t="n">
        <f aca="false">ROUND(J156*$E$6/12,2)</f>
        <v>0</v>
      </c>
      <c r="L156" s="55" t="n">
        <f aca="false">MIN($F$6,J156+K156)</f>
        <v>0</v>
      </c>
      <c r="M156" s="55" t="n">
        <f aca="false">MAX(0,MIN(J156+K156-L156,$D156-(H156)))</f>
        <v>0</v>
      </c>
      <c r="N156" s="55" t="n">
        <f aca="false">L156+M156</f>
        <v>0</v>
      </c>
      <c r="O156" s="55" t="n">
        <f aca="false">ROUND(MAX(0,O155+P155-S155),2)</f>
        <v>0</v>
      </c>
      <c r="P156" s="55" t="n">
        <f aca="false">ROUND(O156*$E$7/12,2)</f>
        <v>0</v>
      </c>
      <c r="Q156" s="55" t="n">
        <f aca="false">MIN($F$7,O156+P156)</f>
        <v>0</v>
      </c>
      <c r="R156" s="55" t="n">
        <f aca="false">MAX(0,MIN(O156+P156-Q156,$D156-(H156+M156)))</f>
        <v>0</v>
      </c>
      <c r="S156" s="55" t="n">
        <f aca="false">Q156+R156</f>
        <v>0</v>
      </c>
      <c r="T156" s="55" t="n">
        <f aca="false">ROUND(MAX(0,T155+U155-X155),2)</f>
        <v>0</v>
      </c>
      <c r="U156" s="55" t="n">
        <f aca="false">ROUND(T156*$E$8/12,2)</f>
        <v>0</v>
      </c>
      <c r="V156" s="55" t="n">
        <f aca="false">MIN($F$8,T156+U156)</f>
        <v>0</v>
      </c>
      <c r="W156" s="55" t="n">
        <f aca="false">MAX(0,MIN(T156+U156-V156,$D156-(H156+M156+R156)))</f>
        <v>0</v>
      </c>
      <c r="X156" s="55" t="n">
        <f aca="false">V156+W156</f>
        <v>0</v>
      </c>
      <c r="Y156" s="55" t="n">
        <f aca="false">ROUND(MAX(0,Y155+Z155-AC155),2)</f>
        <v>0</v>
      </c>
      <c r="Z156" s="55" t="n">
        <f aca="false">ROUND(Y156*$E$9/12,2)</f>
        <v>0</v>
      </c>
      <c r="AA156" s="55" t="n">
        <f aca="false">MIN($F$9,Y156+Z156)</f>
        <v>0</v>
      </c>
      <c r="AB156" s="55" t="n">
        <f aca="false">MAX(0,MIN(Y156+Z156-AA156,$D156-(H156+M156+R156+W156)))</f>
        <v>0</v>
      </c>
      <c r="AC156" s="55" t="n">
        <f aca="false">AA156+AB156</f>
        <v>0</v>
      </c>
      <c r="AD156" s="55" t="n">
        <f aca="false">ROUND(MAX(0,AD155+AE155-AH155),2)</f>
        <v>0</v>
      </c>
      <c r="AE156" s="55" t="n">
        <f aca="false">ROUND(AD156*$E$10/12,2)</f>
        <v>0</v>
      </c>
      <c r="AF156" s="55" t="n">
        <f aca="false">MIN($F$10,AD156+AE156)</f>
        <v>0</v>
      </c>
      <c r="AG156" s="55" t="n">
        <f aca="false">MAX(0,MIN(AD156+AE156-AF156,$D156-(H156+M156+R156+W156+AB156)))</f>
        <v>0</v>
      </c>
      <c r="AH156" s="55" t="n">
        <f aca="false">AF156+AG156</f>
        <v>0</v>
      </c>
      <c r="AI156" s="55" t="n">
        <f aca="false">ROUND(MAX(0,AI155+AJ155-AM155),2)</f>
        <v>0</v>
      </c>
      <c r="AJ156" s="55" t="n">
        <f aca="false">ROUND(AI156*$E$11/12,2)</f>
        <v>0</v>
      </c>
      <c r="AK156" s="55" t="n">
        <f aca="false">MIN($F$11,AI156+AJ156)</f>
        <v>0</v>
      </c>
      <c r="AL156" s="55" t="n">
        <f aca="false">MAX(0,MIN(AI156+AJ156-AK156,$D156-(H156+M156+R156+W156+AB156+AG156)))</f>
        <v>0</v>
      </c>
      <c r="AM156" s="55" t="n">
        <f aca="false">AK156+AL156</f>
        <v>0</v>
      </c>
      <c r="AN156" s="55" t="n">
        <f aca="false">ROUND(MAX(0,AN155+AO155-AR155),2)</f>
        <v>0</v>
      </c>
      <c r="AO156" s="55" t="n">
        <f aca="false">ROUND(AN156*$E$12/12,2)</f>
        <v>0</v>
      </c>
      <c r="AP156" s="55" t="n">
        <f aca="false">MIN($F$12,AN156+AO156)</f>
        <v>0</v>
      </c>
      <c r="AQ156" s="55" t="n">
        <f aca="false">MAX(0,MIN(AN156+AO156-AP156,$D156-(H156+M156+R156+W156+AB156+AG156+AL156)))</f>
        <v>0</v>
      </c>
      <c r="AR156" s="55" t="n">
        <f aca="false">AP156+AQ156</f>
        <v>0</v>
      </c>
      <c r="AS156" s="55" t="n">
        <f aca="false">ROUND(MAX(0,AS155+AT155-AW155),2)</f>
        <v>0</v>
      </c>
      <c r="AT156" s="55" t="n">
        <f aca="false">ROUND(AS156*$E$13/12,2)</f>
        <v>0</v>
      </c>
      <c r="AU156" s="55" t="n">
        <f aca="false">MIN($F$13,AS156+AT156)</f>
        <v>0</v>
      </c>
      <c r="AV156" s="55" t="n">
        <f aca="false">MAX(0,MIN(AS156+AT156-AU156,$D156-(H156+M156+R156+W156+AB156+AG156+AL156+AQ156)))</f>
        <v>0</v>
      </c>
      <c r="AW156" s="55" t="n">
        <f aca="false">AU156+AV156</f>
        <v>0</v>
      </c>
      <c r="AX156" s="55" t="n">
        <f aca="false">ROUND(MAX(0,AX155+AY155-BB155),2)</f>
        <v>0</v>
      </c>
      <c r="AY156" s="55" t="n">
        <f aca="false">ROUND(AX156*$E$14/12,2)</f>
        <v>0</v>
      </c>
      <c r="AZ156" s="55" t="n">
        <f aca="false">MIN($F$14,AX156+AY156)</f>
        <v>0</v>
      </c>
      <c r="BA156" s="55" t="n">
        <f aca="false">MAX(0,MIN(AX156+AY156-AZ156,$D156-(H156+M156+R156+W156+AB156+AG156+AL156+AQ156+AV156)))</f>
        <v>0</v>
      </c>
      <c r="BB156" s="55" t="n">
        <f aca="false">AZ156+BA156</f>
        <v>0</v>
      </c>
      <c r="BC156" s="55" t="n">
        <f aca="false">I156+N156+S156+X156+AC156+AH156+AM156+AR156+AW156+BB156</f>
        <v>0</v>
      </c>
      <c r="BD156" s="55" t="n">
        <f aca="false">ROUND((E156+F156-I156)+(J156+K156-N156)+(O156+P156-S156)+(T156+U156-X156)+(Y156+Z156-AC156)+(AD156+AE156-AH156)+(AI156+AJ156-AM156)+(AN156+AO156-AR156)+(AS156+AT156-AW156)+(AX156+AY156-BB156),2)</f>
        <v>0</v>
      </c>
      <c r="BE156" s="25" t="str">
        <f aca="false">IF(H156&gt;0.005,$C$5,IF(M156&gt;0.005,$C$6,IF(R156&gt;0.005,$C$7,IF(W156&gt;0.005,$C$8,IF(AB156&gt;0.005,$C$9,IF(AG156&gt;0.005,$C$10,IF(AL156&gt;0.005,$C$11,IF(AQ156&gt;0.005,$C$12,IF(AV156&gt;0.005,$C$13,IF(BA156&gt;0.005,$C$14,""))))))))))</f>
        <v/>
      </c>
    </row>
    <row r="157" customFormat="false" ht="15" hidden="false" customHeight="false" outlineLevel="0" collapsed="false">
      <c r="A157" s="24" t="n">
        <v>134</v>
      </c>
      <c r="B157" s="54" t="n">
        <f aca="false">EDATE($C$17,A157-1)</f>
        <v>50375</v>
      </c>
      <c r="C157" s="55" t="n">
        <f aca="false">G157+L157+Q157+V157+AA157+AF157+AK157+AP157+AU157+AZ157</f>
        <v>0</v>
      </c>
      <c r="D157" s="55" t="n">
        <f aca="false">MAX(0,$C$16-C157)</f>
        <v>5822</v>
      </c>
      <c r="E157" s="55" t="n">
        <f aca="false">ROUND(MAX(0,E156+F156-I156),2)</f>
        <v>0</v>
      </c>
      <c r="F157" s="55" t="n">
        <f aca="false">ROUND(E157*$E$5/12,2)</f>
        <v>0</v>
      </c>
      <c r="G157" s="55" t="n">
        <f aca="false">MIN($F$5,E157+F157)</f>
        <v>0</v>
      </c>
      <c r="H157" s="55" t="n">
        <f aca="false">MAX(0,MIN(E157+F157-G157,$D157))</f>
        <v>0</v>
      </c>
      <c r="I157" s="55" t="n">
        <f aca="false">G157+H157</f>
        <v>0</v>
      </c>
      <c r="J157" s="55" t="n">
        <f aca="false">ROUND(MAX(0,J156+K156-N156),2)</f>
        <v>0</v>
      </c>
      <c r="K157" s="55" t="n">
        <f aca="false">ROUND(J157*$E$6/12,2)</f>
        <v>0</v>
      </c>
      <c r="L157" s="55" t="n">
        <f aca="false">MIN($F$6,J157+K157)</f>
        <v>0</v>
      </c>
      <c r="M157" s="55" t="n">
        <f aca="false">MAX(0,MIN(J157+K157-L157,$D157-(H157)))</f>
        <v>0</v>
      </c>
      <c r="N157" s="55" t="n">
        <f aca="false">L157+M157</f>
        <v>0</v>
      </c>
      <c r="O157" s="55" t="n">
        <f aca="false">ROUND(MAX(0,O156+P156-S156),2)</f>
        <v>0</v>
      </c>
      <c r="P157" s="55" t="n">
        <f aca="false">ROUND(O157*$E$7/12,2)</f>
        <v>0</v>
      </c>
      <c r="Q157" s="55" t="n">
        <f aca="false">MIN($F$7,O157+P157)</f>
        <v>0</v>
      </c>
      <c r="R157" s="55" t="n">
        <f aca="false">MAX(0,MIN(O157+P157-Q157,$D157-(H157+M157)))</f>
        <v>0</v>
      </c>
      <c r="S157" s="55" t="n">
        <f aca="false">Q157+R157</f>
        <v>0</v>
      </c>
      <c r="T157" s="55" t="n">
        <f aca="false">ROUND(MAX(0,T156+U156-X156),2)</f>
        <v>0</v>
      </c>
      <c r="U157" s="55" t="n">
        <f aca="false">ROUND(T157*$E$8/12,2)</f>
        <v>0</v>
      </c>
      <c r="V157" s="55" t="n">
        <f aca="false">MIN($F$8,T157+U157)</f>
        <v>0</v>
      </c>
      <c r="W157" s="55" t="n">
        <f aca="false">MAX(0,MIN(T157+U157-V157,$D157-(H157+M157+R157)))</f>
        <v>0</v>
      </c>
      <c r="X157" s="55" t="n">
        <f aca="false">V157+W157</f>
        <v>0</v>
      </c>
      <c r="Y157" s="55" t="n">
        <f aca="false">ROUND(MAX(0,Y156+Z156-AC156),2)</f>
        <v>0</v>
      </c>
      <c r="Z157" s="55" t="n">
        <f aca="false">ROUND(Y157*$E$9/12,2)</f>
        <v>0</v>
      </c>
      <c r="AA157" s="55" t="n">
        <f aca="false">MIN($F$9,Y157+Z157)</f>
        <v>0</v>
      </c>
      <c r="AB157" s="55" t="n">
        <f aca="false">MAX(0,MIN(Y157+Z157-AA157,$D157-(H157+M157+R157+W157)))</f>
        <v>0</v>
      </c>
      <c r="AC157" s="55" t="n">
        <f aca="false">AA157+AB157</f>
        <v>0</v>
      </c>
      <c r="AD157" s="55" t="n">
        <f aca="false">ROUND(MAX(0,AD156+AE156-AH156),2)</f>
        <v>0</v>
      </c>
      <c r="AE157" s="55" t="n">
        <f aca="false">ROUND(AD157*$E$10/12,2)</f>
        <v>0</v>
      </c>
      <c r="AF157" s="55" t="n">
        <f aca="false">MIN($F$10,AD157+AE157)</f>
        <v>0</v>
      </c>
      <c r="AG157" s="55" t="n">
        <f aca="false">MAX(0,MIN(AD157+AE157-AF157,$D157-(H157+M157+R157+W157+AB157)))</f>
        <v>0</v>
      </c>
      <c r="AH157" s="55" t="n">
        <f aca="false">AF157+AG157</f>
        <v>0</v>
      </c>
      <c r="AI157" s="55" t="n">
        <f aca="false">ROUND(MAX(0,AI156+AJ156-AM156),2)</f>
        <v>0</v>
      </c>
      <c r="AJ157" s="55" t="n">
        <f aca="false">ROUND(AI157*$E$11/12,2)</f>
        <v>0</v>
      </c>
      <c r="AK157" s="55" t="n">
        <f aca="false">MIN($F$11,AI157+AJ157)</f>
        <v>0</v>
      </c>
      <c r="AL157" s="55" t="n">
        <f aca="false">MAX(0,MIN(AI157+AJ157-AK157,$D157-(H157+M157+R157+W157+AB157+AG157)))</f>
        <v>0</v>
      </c>
      <c r="AM157" s="55" t="n">
        <f aca="false">AK157+AL157</f>
        <v>0</v>
      </c>
      <c r="AN157" s="55" t="n">
        <f aca="false">ROUND(MAX(0,AN156+AO156-AR156),2)</f>
        <v>0</v>
      </c>
      <c r="AO157" s="55" t="n">
        <f aca="false">ROUND(AN157*$E$12/12,2)</f>
        <v>0</v>
      </c>
      <c r="AP157" s="55" t="n">
        <f aca="false">MIN($F$12,AN157+AO157)</f>
        <v>0</v>
      </c>
      <c r="AQ157" s="55" t="n">
        <f aca="false">MAX(0,MIN(AN157+AO157-AP157,$D157-(H157+M157+R157+W157+AB157+AG157+AL157)))</f>
        <v>0</v>
      </c>
      <c r="AR157" s="55" t="n">
        <f aca="false">AP157+AQ157</f>
        <v>0</v>
      </c>
      <c r="AS157" s="55" t="n">
        <f aca="false">ROUND(MAX(0,AS156+AT156-AW156),2)</f>
        <v>0</v>
      </c>
      <c r="AT157" s="55" t="n">
        <f aca="false">ROUND(AS157*$E$13/12,2)</f>
        <v>0</v>
      </c>
      <c r="AU157" s="55" t="n">
        <f aca="false">MIN($F$13,AS157+AT157)</f>
        <v>0</v>
      </c>
      <c r="AV157" s="55" t="n">
        <f aca="false">MAX(0,MIN(AS157+AT157-AU157,$D157-(H157+M157+R157+W157+AB157+AG157+AL157+AQ157)))</f>
        <v>0</v>
      </c>
      <c r="AW157" s="55" t="n">
        <f aca="false">AU157+AV157</f>
        <v>0</v>
      </c>
      <c r="AX157" s="55" t="n">
        <f aca="false">ROUND(MAX(0,AX156+AY156-BB156),2)</f>
        <v>0</v>
      </c>
      <c r="AY157" s="55" t="n">
        <f aca="false">ROUND(AX157*$E$14/12,2)</f>
        <v>0</v>
      </c>
      <c r="AZ157" s="55" t="n">
        <f aca="false">MIN($F$14,AX157+AY157)</f>
        <v>0</v>
      </c>
      <c r="BA157" s="55" t="n">
        <f aca="false">MAX(0,MIN(AX157+AY157-AZ157,$D157-(H157+M157+R157+W157+AB157+AG157+AL157+AQ157+AV157)))</f>
        <v>0</v>
      </c>
      <c r="BB157" s="55" t="n">
        <f aca="false">AZ157+BA157</f>
        <v>0</v>
      </c>
      <c r="BC157" s="55" t="n">
        <f aca="false">I157+N157+S157+X157+AC157+AH157+AM157+AR157+AW157+BB157</f>
        <v>0</v>
      </c>
      <c r="BD157" s="55" t="n">
        <f aca="false">ROUND((E157+F157-I157)+(J157+K157-N157)+(O157+P157-S157)+(T157+U157-X157)+(Y157+Z157-AC157)+(AD157+AE157-AH157)+(AI157+AJ157-AM157)+(AN157+AO157-AR157)+(AS157+AT157-AW157)+(AX157+AY157-BB157),2)</f>
        <v>0</v>
      </c>
      <c r="BE157" s="25" t="str">
        <f aca="false">IF(H157&gt;0.005,$C$5,IF(M157&gt;0.005,$C$6,IF(R157&gt;0.005,$C$7,IF(W157&gt;0.005,$C$8,IF(AB157&gt;0.005,$C$9,IF(AG157&gt;0.005,$C$10,IF(AL157&gt;0.005,$C$11,IF(AQ157&gt;0.005,$C$12,IF(AV157&gt;0.005,$C$13,IF(BA157&gt;0.005,$C$14,""))))))))))</f>
        <v/>
      </c>
    </row>
    <row r="158" customFormat="false" ht="15" hidden="false" customHeight="false" outlineLevel="0" collapsed="false">
      <c r="A158" s="24" t="n">
        <v>135</v>
      </c>
      <c r="B158" s="54" t="n">
        <f aca="false">EDATE($C$17,A158-1)</f>
        <v>50406</v>
      </c>
      <c r="C158" s="55" t="n">
        <f aca="false">G158+L158+Q158+V158+AA158+AF158+AK158+AP158+AU158+AZ158</f>
        <v>0</v>
      </c>
      <c r="D158" s="55" t="n">
        <f aca="false">MAX(0,$C$16-C158)</f>
        <v>5822</v>
      </c>
      <c r="E158" s="55" t="n">
        <f aca="false">ROUND(MAX(0,E157+F157-I157),2)</f>
        <v>0</v>
      </c>
      <c r="F158" s="55" t="n">
        <f aca="false">ROUND(E158*$E$5/12,2)</f>
        <v>0</v>
      </c>
      <c r="G158" s="55" t="n">
        <f aca="false">MIN($F$5,E158+F158)</f>
        <v>0</v>
      </c>
      <c r="H158" s="55" t="n">
        <f aca="false">MAX(0,MIN(E158+F158-G158,$D158))</f>
        <v>0</v>
      </c>
      <c r="I158" s="55" t="n">
        <f aca="false">G158+H158</f>
        <v>0</v>
      </c>
      <c r="J158" s="55" t="n">
        <f aca="false">ROUND(MAX(0,J157+K157-N157),2)</f>
        <v>0</v>
      </c>
      <c r="K158" s="55" t="n">
        <f aca="false">ROUND(J158*$E$6/12,2)</f>
        <v>0</v>
      </c>
      <c r="L158" s="55" t="n">
        <f aca="false">MIN($F$6,J158+K158)</f>
        <v>0</v>
      </c>
      <c r="M158" s="55" t="n">
        <f aca="false">MAX(0,MIN(J158+K158-L158,$D158-(H158)))</f>
        <v>0</v>
      </c>
      <c r="N158" s="55" t="n">
        <f aca="false">L158+M158</f>
        <v>0</v>
      </c>
      <c r="O158" s="55" t="n">
        <f aca="false">ROUND(MAX(0,O157+P157-S157),2)</f>
        <v>0</v>
      </c>
      <c r="P158" s="55" t="n">
        <f aca="false">ROUND(O158*$E$7/12,2)</f>
        <v>0</v>
      </c>
      <c r="Q158" s="55" t="n">
        <f aca="false">MIN($F$7,O158+P158)</f>
        <v>0</v>
      </c>
      <c r="R158" s="55" t="n">
        <f aca="false">MAX(0,MIN(O158+P158-Q158,$D158-(H158+M158)))</f>
        <v>0</v>
      </c>
      <c r="S158" s="55" t="n">
        <f aca="false">Q158+R158</f>
        <v>0</v>
      </c>
      <c r="T158" s="55" t="n">
        <f aca="false">ROUND(MAX(0,T157+U157-X157),2)</f>
        <v>0</v>
      </c>
      <c r="U158" s="55" t="n">
        <f aca="false">ROUND(T158*$E$8/12,2)</f>
        <v>0</v>
      </c>
      <c r="V158" s="55" t="n">
        <f aca="false">MIN($F$8,T158+U158)</f>
        <v>0</v>
      </c>
      <c r="W158" s="55" t="n">
        <f aca="false">MAX(0,MIN(T158+U158-V158,$D158-(H158+M158+R158)))</f>
        <v>0</v>
      </c>
      <c r="X158" s="55" t="n">
        <f aca="false">V158+W158</f>
        <v>0</v>
      </c>
      <c r="Y158" s="55" t="n">
        <f aca="false">ROUND(MAX(0,Y157+Z157-AC157),2)</f>
        <v>0</v>
      </c>
      <c r="Z158" s="55" t="n">
        <f aca="false">ROUND(Y158*$E$9/12,2)</f>
        <v>0</v>
      </c>
      <c r="AA158" s="55" t="n">
        <f aca="false">MIN($F$9,Y158+Z158)</f>
        <v>0</v>
      </c>
      <c r="AB158" s="55" t="n">
        <f aca="false">MAX(0,MIN(Y158+Z158-AA158,$D158-(H158+M158+R158+W158)))</f>
        <v>0</v>
      </c>
      <c r="AC158" s="55" t="n">
        <f aca="false">AA158+AB158</f>
        <v>0</v>
      </c>
      <c r="AD158" s="55" t="n">
        <f aca="false">ROUND(MAX(0,AD157+AE157-AH157),2)</f>
        <v>0</v>
      </c>
      <c r="AE158" s="55" t="n">
        <f aca="false">ROUND(AD158*$E$10/12,2)</f>
        <v>0</v>
      </c>
      <c r="AF158" s="55" t="n">
        <f aca="false">MIN($F$10,AD158+AE158)</f>
        <v>0</v>
      </c>
      <c r="AG158" s="55" t="n">
        <f aca="false">MAX(0,MIN(AD158+AE158-AF158,$D158-(H158+M158+R158+W158+AB158)))</f>
        <v>0</v>
      </c>
      <c r="AH158" s="55" t="n">
        <f aca="false">AF158+AG158</f>
        <v>0</v>
      </c>
      <c r="AI158" s="55" t="n">
        <f aca="false">ROUND(MAX(0,AI157+AJ157-AM157),2)</f>
        <v>0</v>
      </c>
      <c r="AJ158" s="55" t="n">
        <f aca="false">ROUND(AI158*$E$11/12,2)</f>
        <v>0</v>
      </c>
      <c r="AK158" s="55" t="n">
        <f aca="false">MIN($F$11,AI158+AJ158)</f>
        <v>0</v>
      </c>
      <c r="AL158" s="55" t="n">
        <f aca="false">MAX(0,MIN(AI158+AJ158-AK158,$D158-(H158+M158+R158+W158+AB158+AG158)))</f>
        <v>0</v>
      </c>
      <c r="AM158" s="55" t="n">
        <f aca="false">AK158+AL158</f>
        <v>0</v>
      </c>
      <c r="AN158" s="55" t="n">
        <f aca="false">ROUND(MAX(0,AN157+AO157-AR157),2)</f>
        <v>0</v>
      </c>
      <c r="AO158" s="55" t="n">
        <f aca="false">ROUND(AN158*$E$12/12,2)</f>
        <v>0</v>
      </c>
      <c r="AP158" s="55" t="n">
        <f aca="false">MIN($F$12,AN158+AO158)</f>
        <v>0</v>
      </c>
      <c r="AQ158" s="55" t="n">
        <f aca="false">MAX(0,MIN(AN158+AO158-AP158,$D158-(H158+M158+R158+W158+AB158+AG158+AL158)))</f>
        <v>0</v>
      </c>
      <c r="AR158" s="55" t="n">
        <f aca="false">AP158+AQ158</f>
        <v>0</v>
      </c>
      <c r="AS158" s="55" t="n">
        <f aca="false">ROUND(MAX(0,AS157+AT157-AW157),2)</f>
        <v>0</v>
      </c>
      <c r="AT158" s="55" t="n">
        <f aca="false">ROUND(AS158*$E$13/12,2)</f>
        <v>0</v>
      </c>
      <c r="AU158" s="55" t="n">
        <f aca="false">MIN($F$13,AS158+AT158)</f>
        <v>0</v>
      </c>
      <c r="AV158" s="55" t="n">
        <f aca="false">MAX(0,MIN(AS158+AT158-AU158,$D158-(H158+M158+R158+W158+AB158+AG158+AL158+AQ158)))</f>
        <v>0</v>
      </c>
      <c r="AW158" s="55" t="n">
        <f aca="false">AU158+AV158</f>
        <v>0</v>
      </c>
      <c r="AX158" s="55" t="n">
        <f aca="false">ROUND(MAX(0,AX157+AY157-BB157),2)</f>
        <v>0</v>
      </c>
      <c r="AY158" s="55" t="n">
        <f aca="false">ROUND(AX158*$E$14/12,2)</f>
        <v>0</v>
      </c>
      <c r="AZ158" s="55" t="n">
        <f aca="false">MIN($F$14,AX158+AY158)</f>
        <v>0</v>
      </c>
      <c r="BA158" s="55" t="n">
        <f aca="false">MAX(0,MIN(AX158+AY158-AZ158,$D158-(H158+M158+R158+W158+AB158+AG158+AL158+AQ158+AV158)))</f>
        <v>0</v>
      </c>
      <c r="BB158" s="55" t="n">
        <f aca="false">AZ158+BA158</f>
        <v>0</v>
      </c>
      <c r="BC158" s="55" t="n">
        <f aca="false">I158+N158+S158+X158+AC158+AH158+AM158+AR158+AW158+BB158</f>
        <v>0</v>
      </c>
      <c r="BD158" s="55" t="n">
        <f aca="false">ROUND((E158+F158-I158)+(J158+K158-N158)+(O158+P158-S158)+(T158+U158-X158)+(Y158+Z158-AC158)+(AD158+AE158-AH158)+(AI158+AJ158-AM158)+(AN158+AO158-AR158)+(AS158+AT158-AW158)+(AX158+AY158-BB158),2)</f>
        <v>0</v>
      </c>
      <c r="BE158" s="25" t="str">
        <f aca="false">IF(H158&gt;0.005,$C$5,IF(M158&gt;0.005,$C$6,IF(R158&gt;0.005,$C$7,IF(W158&gt;0.005,$C$8,IF(AB158&gt;0.005,$C$9,IF(AG158&gt;0.005,$C$10,IF(AL158&gt;0.005,$C$11,IF(AQ158&gt;0.005,$C$12,IF(AV158&gt;0.005,$C$13,IF(BA158&gt;0.005,$C$14,""))))))))))</f>
        <v/>
      </c>
    </row>
    <row r="159" customFormat="false" ht="15" hidden="false" customHeight="false" outlineLevel="0" collapsed="false">
      <c r="A159" s="24" t="n">
        <v>136</v>
      </c>
      <c r="B159" s="54" t="n">
        <f aca="false">EDATE($C$17,A159-1)</f>
        <v>50437</v>
      </c>
      <c r="C159" s="55" t="n">
        <f aca="false">G159+L159+Q159+V159+AA159+AF159+AK159+AP159+AU159+AZ159</f>
        <v>0</v>
      </c>
      <c r="D159" s="55" t="n">
        <f aca="false">MAX(0,$C$16-C159)</f>
        <v>5822</v>
      </c>
      <c r="E159" s="55" t="n">
        <f aca="false">ROUND(MAX(0,E158+F158-I158),2)</f>
        <v>0</v>
      </c>
      <c r="F159" s="55" t="n">
        <f aca="false">ROUND(E159*$E$5/12,2)</f>
        <v>0</v>
      </c>
      <c r="G159" s="55" t="n">
        <f aca="false">MIN($F$5,E159+F159)</f>
        <v>0</v>
      </c>
      <c r="H159" s="55" t="n">
        <f aca="false">MAX(0,MIN(E159+F159-G159,$D159))</f>
        <v>0</v>
      </c>
      <c r="I159" s="55" t="n">
        <f aca="false">G159+H159</f>
        <v>0</v>
      </c>
      <c r="J159" s="55" t="n">
        <f aca="false">ROUND(MAX(0,J158+K158-N158),2)</f>
        <v>0</v>
      </c>
      <c r="K159" s="55" t="n">
        <f aca="false">ROUND(J159*$E$6/12,2)</f>
        <v>0</v>
      </c>
      <c r="L159" s="55" t="n">
        <f aca="false">MIN($F$6,J159+K159)</f>
        <v>0</v>
      </c>
      <c r="M159" s="55" t="n">
        <f aca="false">MAX(0,MIN(J159+K159-L159,$D159-(H159)))</f>
        <v>0</v>
      </c>
      <c r="N159" s="55" t="n">
        <f aca="false">L159+M159</f>
        <v>0</v>
      </c>
      <c r="O159" s="55" t="n">
        <f aca="false">ROUND(MAX(0,O158+P158-S158),2)</f>
        <v>0</v>
      </c>
      <c r="P159" s="55" t="n">
        <f aca="false">ROUND(O159*$E$7/12,2)</f>
        <v>0</v>
      </c>
      <c r="Q159" s="55" t="n">
        <f aca="false">MIN($F$7,O159+P159)</f>
        <v>0</v>
      </c>
      <c r="R159" s="55" t="n">
        <f aca="false">MAX(0,MIN(O159+P159-Q159,$D159-(H159+M159)))</f>
        <v>0</v>
      </c>
      <c r="S159" s="55" t="n">
        <f aca="false">Q159+R159</f>
        <v>0</v>
      </c>
      <c r="T159" s="55" t="n">
        <f aca="false">ROUND(MAX(0,T158+U158-X158),2)</f>
        <v>0</v>
      </c>
      <c r="U159" s="55" t="n">
        <f aca="false">ROUND(T159*$E$8/12,2)</f>
        <v>0</v>
      </c>
      <c r="V159" s="55" t="n">
        <f aca="false">MIN($F$8,T159+U159)</f>
        <v>0</v>
      </c>
      <c r="W159" s="55" t="n">
        <f aca="false">MAX(0,MIN(T159+U159-V159,$D159-(H159+M159+R159)))</f>
        <v>0</v>
      </c>
      <c r="X159" s="55" t="n">
        <f aca="false">V159+W159</f>
        <v>0</v>
      </c>
      <c r="Y159" s="55" t="n">
        <f aca="false">ROUND(MAX(0,Y158+Z158-AC158),2)</f>
        <v>0</v>
      </c>
      <c r="Z159" s="55" t="n">
        <f aca="false">ROUND(Y159*$E$9/12,2)</f>
        <v>0</v>
      </c>
      <c r="AA159" s="55" t="n">
        <f aca="false">MIN($F$9,Y159+Z159)</f>
        <v>0</v>
      </c>
      <c r="AB159" s="55" t="n">
        <f aca="false">MAX(0,MIN(Y159+Z159-AA159,$D159-(H159+M159+R159+W159)))</f>
        <v>0</v>
      </c>
      <c r="AC159" s="55" t="n">
        <f aca="false">AA159+AB159</f>
        <v>0</v>
      </c>
      <c r="AD159" s="55" t="n">
        <f aca="false">ROUND(MAX(0,AD158+AE158-AH158),2)</f>
        <v>0</v>
      </c>
      <c r="AE159" s="55" t="n">
        <f aca="false">ROUND(AD159*$E$10/12,2)</f>
        <v>0</v>
      </c>
      <c r="AF159" s="55" t="n">
        <f aca="false">MIN($F$10,AD159+AE159)</f>
        <v>0</v>
      </c>
      <c r="AG159" s="55" t="n">
        <f aca="false">MAX(0,MIN(AD159+AE159-AF159,$D159-(H159+M159+R159+W159+AB159)))</f>
        <v>0</v>
      </c>
      <c r="AH159" s="55" t="n">
        <f aca="false">AF159+AG159</f>
        <v>0</v>
      </c>
      <c r="AI159" s="55" t="n">
        <f aca="false">ROUND(MAX(0,AI158+AJ158-AM158),2)</f>
        <v>0</v>
      </c>
      <c r="AJ159" s="55" t="n">
        <f aca="false">ROUND(AI159*$E$11/12,2)</f>
        <v>0</v>
      </c>
      <c r="AK159" s="55" t="n">
        <f aca="false">MIN($F$11,AI159+AJ159)</f>
        <v>0</v>
      </c>
      <c r="AL159" s="55" t="n">
        <f aca="false">MAX(0,MIN(AI159+AJ159-AK159,$D159-(H159+M159+R159+W159+AB159+AG159)))</f>
        <v>0</v>
      </c>
      <c r="AM159" s="55" t="n">
        <f aca="false">AK159+AL159</f>
        <v>0</v>
      </c>
      <c r="AN159" s="55" t="n">
        <f aca="false">ROUND(MAX(0,AN158+AO158-AR158),2)</f>
        <v>0</v>
      </c>
      <c r="AO159" s="55" t="n">
        <f aca="false">ROUND(AN159*$E$12/12,2)</f>
        <v>0</v>
      </c>
      <c r="AP159" s="55" t="n">
        <f aca="false">MIN($F$12,AN159+AO159)</f>
        <v>0</v>
      </c>
      <c r="AQ159" s="55" t="n">
        <f aca="false">MAX(0,MIN(AN159+AO159-AP159,$D159-(H159+M159+R159+W159+AB159+AG159+AL159)))</f>
        <v>0</v>
      </c>
      <c r="AR159" s="55" t="n">
        <f aca="false">AP159+AQ159</f>
        <v>0</v>
      </c>
      <c r="AS159" s="55" t="n">
        <f aca="false">ROUND(MAX(0,AS158+AT158-AW158),2)</f>
        <v>0</v>
      </c>
      <c r="AT159" s="55" t="n">
        <f aca="false">ROUND(AS159*$E$13/12,2)</f>
        <v>0</v>
      </c>
      <c r="AU159" s="55" t="n">
        <f aca="false">MIN($F$13,AS159+AT159)</f>
        <v>0</v>
      </c>
      <c r="AV159" s="55" t="n">
        <f aca="false">MAX(0,MIN(AS159+AT159-AU159,$D159-(H159+M159+R159+W159+AB159+AG159+AL159+AQ159)))</f>
        <v>0</v>
      </c>
      <c r="AW159" s="55" t="n">
        <f aca="false">AU159+AV159</f>
        <v>0</v>
      </c>
      <c r="AX159" s="55" t="n">
        <f aca="false">ROUND(MAX(0,AX158+AY158-BB158),2)</f>
        <v>0</v>
      </c>
      <c r="AY159" s="55" t="n">
        <f aca="false">ROUND(AX159*$E$14/12,2)</f>
        <v>0</v>
      </c>
      <c r="AZ159" s="55" t="n">
        <f aca="false">MIN($F$14,AX159+AY159)</f>
        <v>0</v>
      </c>
      <c r="BA159" s="55" t="n">
        <f aca="false">MAX(0,MIN(AX159+AY159-AZ159,$D159-(H159+M159+R159+W159+AB159+AG159+AL159+AQ159+AV159)))</f>
        <v>0</v>
      </c>
      <c r="BB159" s="55" t="n">
        <f aca="false">AZ159+BA159</f>
        <v>0</v>
      </c>
      <c r="BC159" s="55" t="n">
        <f aca="false">I159+N159+S159+X159+AC159+AH159+AM159+AR159+AW159+BB159</f>
        <v>0</v>
      </c>
      <c r="BD159" s="55" t="n">
        <f aca="false">ROUND((E159+F159-I159)+(J159+K159-N159)+(O159+P159-S159)+(T159+U159-X159)+(Y159+Z159-AC159)+(AD159+AE159-AH159)+(AI159+AJ159-AM159)+(AN159+AO159-AR159)+(AS159+AT159-AW159)+(AX159+AY159-BB159),2)</f>
        <v>0</v>
      </c>
      <c r="BE159" s="25" t="str">
        <f aca="false">IF(H159&gt;0.005,$C$5,IF(M159&gt;0.005,$C$6,IF(R159&gt;0.005,$C$7,IF(W159&gt;0.005,$C$8,IF(AB159&gt;0.005,$C$9,IF(AG159&gt;0.005,$C$10,IF(AL159&gt;0.005,$C$11,IF(AQ159&gt;0.005,$C$12,IF(AV159&gt;0.005,$C$13,IF(BA159&gt;0.005,$C$14,""))))))))))</f>
        <v/>
      </c>
    </row>
    <row r="160" customFormat="false" ht="15" hidden="false" customHeight="false" outlineLevel="0" collapsed="false">
      <c r="A160" s="24" t="n">
        <v>137</v>
      </c>
      <c r="B160" s="54" t="n">
        <f aca="false">EDATE($C$17,A160-1)</f>
        <v>50465</v>
      </c>
      <c r="C160" s="55" t="n">
        <f aca="false">G160+L160+Q160+V160+AA160+AF160+AK160+AP160+AU160+AZ160</f>
        <v>0</v>
      </c>
      <c r="D160" s="55" t="n">
        <f aca="false">MAX(0,$C$16-C160)</f>
        <v>5822</v>
      </c>
      <c r="E160" s="55" t="n">
        <f aca="false">ROUND(MAX(0,E159+F159-I159),2)</f>
        <v>0</v>
      </c>
      <c r="F160" s="55" t="n">
        <f aca="false">ROUND(E160*$E$5/12,2)</f>
        <v>0</v>
      </c>
      <c r="G160" s="55" t="n">
        <f aca="false">MIN($F$5,E160+F160)</f>
        <v>0</v>
      </c>
      <c r="H160" s="55" t="n">
        <f aca="false">MAX(0,MIN(E160+F160-G160,$D160))</f>
        <v>0</v>
      </c>
      <c r="I160" s="55" t="n">
        <f aca="false">G160+H160</f>
        <v>0</v>
      </c>
      <c r="J160" s="55" t="n">
        <f aca="false">ROUND(MAX(0,J159+K159-N159),2)</f>
        <v>0</v>
      </c>
      <c r="K160" s="55" t="n">
        <f aca="false">ROUND(J160*$E$6/12,2)</f>
        <v>0</v>
      </c>
      <c r="L160" s="55" t="n">
        <f aca="false">MIN($F$6,J160+K160)</f>
        <v>0</v>
      </c>
      <c r="M160" s="55" t="n">
        <f aca="false">MAX(0,MIN(J160+K160-L160,$D160-(H160)))</f>
        <v>0</v>
      </c>
      <c r="N160" s="55" t="n">
        <f aca="false">L160+M160</f>
        <v>0</v>
      </c>
      <c r="O160" s="55" t="n">
        <f aca="false">ROUND(MAX(0,O159+P159-S159),2)</f>
        <v>0</v>
      </c>
      <c r="P160" s="55" t="n">
        <f aca="false">ROUND(O160*$E$7/12,2)</f>
        <v>0</v>
      </c>
      <c r="Q160" s="55" t="n">
        <f aca="false">MIN($F$7,O160+P160)</f>
        <v>0</v>
      </c>
      <c r="R160" s="55" t="n">
        <f aca="false">MAX(0,MIN(O160+P160-Q160,$D160-(H160+M160)))</f>
        <v>0</v>
      </c>
      <c r="S160" s="55" t="n">
        <f aca="false">Q160+R160</f>
        <v>0</v>
      </c>
      <c r="T160" s="55" t="n">
        <f aca="false">ROUND(MAX(0,T159+U159-X159),2)</f>
        <v>0</v>
      </c>
      <c r="U160" s="55" t="n">
        <f aca="false">ROUND(T160*$E$8/12,2)</f>
        <v>0</v>
      </c>
      <c r="V160" s="55" t="n">
        <f aca="false">MIN($F$8,T160+U160)</f>
        <v>0</v>
      </c>
      <c r="W160" s="55" t="n">
        <f aca="false">MAX(0,MIN(T160+U160-V160,$D160-(H160+M160+R160)))</f>
        <v>0</v>
      </c>
      <c r="X160" s="55" t="n">
        <f aca="false">V160+W160</f>
        <v>0</v>
      </c>
      <c r="Y160" s="55" t="n">
        <f aca="false">ROUND(MAX(0,Y159+Z159-AC159),2)</f>
        <v>0</v>
      </c>
      <c r="Z160" s="55" t="n">
        <f aca="false">ROUND(Y160*$E$9/12,2)</f>
        <v>0</v>
      </c>
      <c r="AA160" s="55" t="n">
        <f aca="false">MIN($F$9,Y160+Z160)</f>
        <v>0</v>
      </c>
      <c r="AB160" s="55" t="n">
        <f aca="false">MAX(0,MIN(Y160+Z160-AA160,$D160-(H160+M160+R160+W160)))</f>
        <v>0</v>
      </c>
      <c r="AC160" s="55" t="n">
        <f aca="false">AA160+AB160</f>
        <v>0</v>
      </c>
      <c r="AD160" s="55" t="n">
        <f aca="false">ROUND(MAX(0,AD159+AE159-AH159),2)</f>
        <v>0</v>
      </c>
      <c r="AE160" s="55" t="n">
        <f aca="false">ROUND(AD160*$E$10/12,2)</f>
        <v>0</v>
      </c>
      <c r="AF160" s="55" t="n">
        <f aca="false">MIN($F$10,AD160+AE160)</f>
        <v>0</v>
      </c>
      <c r="AG160" s="55" t="n">
        <f aca="false">MAX(0,MIN(AD160+AE160-AF160,$D160-(H160+M160+R160+W160+AB160)))</f>
        <v>0</v>
      </c>
      <c r="AH160" s="55" t="n">
        <f aca="false">AF160+AG160</f>
        <v>0</v>
      </c>
      <c r="AI160" s="55" t="n">
        <f aca="false">ROUND(MAX(0,AI159+AJ159-AM159),2)</f>
        <v>0</v>
      </c>
      <c r="AJ160" s="55" t="n">
        <f aca="false">ROUND(AI160*$E$11/12,2)</f>
        <v>0</v>
      </c>
      <c r="AK160" s="55" t="n">
        <f aca="false">MIN($F$11,AI160+AJ160)</f>
        <v>0</v>
      </c>
      <c r="AL160" s="55" t="n">
        <f aca="false">MAX(0,MIN(AI160+AJ160-AK160,$D160-(H160+M160+R160+W160+AB160+AG160)))</f>
        <v>0</v>
      </c>
      <c r="AM160" s="55" t="n">
        <f aca="false">AK160+AL160</f>
        <v>0</v>
      </c>
      <c r="AN160" s="55" t="n">
        <f aca="false">ROUND(MAX(0,AN159+AO159-AR159),2)</f>
        <v>0</v>
      </c>
      <c r="AO160" s="55" t="n">
        <f aca="false">ROUND(AN160*$E$12/12,2)</f>
        <v>0</v>
      </c>
      <c r="AP160" s="55" t="n">
        <f aca="false">MIN($F$12,AN160+AO160)</f>
        <v>0</v>
      </c>
      <c r="AQ160" s="55" t="n">
        <f aca="false">MAX(0,MIN(AN160+AO160-AP160,$D160-(H160+M160+R160+W160+AB160+AG160+AL160)))</f>
        <v>0</v>
      </c>
      <c r="AR160" s="55" t="n">
        <f aca="false">AP160+AQ160</f>
        <v>0</v>
      </c>
      <c r="AS160" s="55" t="n">
        <f aca="false">ROUND(MAX(0,AS159+AT159-AW159),2)</f>
        <v>0</v>
      </c>
      <c r="AT160" s="55" t="n">
        <f aca="false">ROUND(AS160*$E$13/12,2)</f>
        <v>0</v>
      </c>
      <c r="AU160" s="55" t="n">
        <f aca="false">MIN($F$13,AS160+AT160)</f>
        <v>0</v>
      </c>
      <c r="AV160" s="55" t="n">
        <f aca="false">MAX(0,MIN(AS160+AT160-AU160,$D160-(H160+M160+R160+W160+AB160+AG160+AL160+AQ160)))</f>
        <v>0</v>
      </c>
      <c r="AW160" s="55" t="n">
        <f aca="false">AU160+AV160</f>
        <v>0</v>
      </c>
      <c r="AX160" s="55" t="n">
        <f aca="false">ROUND(MAX(0,AX159+AY159-BB159),2)</f>
        <v>0</v>
      </c>
      <c r="AY160" s="55" t="n">
        <f aca="false">ROUND(AX160*$E$14/12,2)</f>
        <v>0</v>
      </c>
      <c r="AZ160" s="55" t="n">
        <f aca="false">MIN($F$14,AX160+AY160)</f>
        <v>0</v>
      </c>
      <c r="BA160" s="55" t="n">
        <f aca="false">MAX(0,MIN(AX160+AY160-AZ160,$D160-(H160+M160+R160+W160+AB160+AG160+AL160+AQ160+AV160)))</f>
        <v>0</v>
      </c>
      <c r="BB160" s="55" t="n">
        <f aca="false">AZ160+BA160</f>
        <v>0</v>
      </c>
      <c r="BC160" s="55" t="n">
        <f aca="false">I160+N160+S160+X160+AC160+AH160+AM160+AR160+AW160+BB160</f>
        <v>0</v>
      </c>
      <c r="BD160" s="55" t="n">
        <f aca="false">ROUND((E160+F160-I160)+(J160+K160-N160)+(O160+P160-S160)+(T160+U160-X160)+(Y160+Z160-AC160)+(AD160+AE160-AH160)+(AI160+AJ160-AM160)+(AN160+AO160-AR160)+(AS160+AT160-AW160)+(AX160+AY160-BB160),2)</f>
        <v>0</v>
      </c>
      <c r="BE160" s="25" t="str">
        <f aca="false">IF(H160&gt;0.005,$C$5,IF(M160&gt;0.005,$C$6,IF(R160&gt;0.005,$C$7,IF(W160&gt;0.005,$C$8,IF(AB160&gt;0.005,$C$9,IF(AG160&gt;0.005,$C$10,IF(AL160&gt;0.005,$C$11,IF(AQ160&gt;0.005,$C$12,IF(AV160&gt;0.005,$C$13,IF(BA160&gt;0.005,$C$14,""))))))))))</f>
        <v/>
      </c>
    </row>
    <row r="161" customFormat="false" ht="15" hidden="false" customHeight="false" outlineLevel="0" collapsed="false">
      <c r="A161" s="24" t="n">
        <v>138</v>
      </c>
      <c r="B161" s="54" t="n">
        <f aca="false">EDATE($C$17,A161-1)</f>
        <v>50496</v>
      </c>
      <c r="C161" s="55" t="n">
        <f aca="false">G161+L161+Q161+V161+AA161+AF161+AK161+AP161+AU161+AZ161</f>
        <v>0</v>
      </c>
      <c r="D161" s="55" t="n">
        <f aca="false">MAX(0,$C$16-C161)</f>
        <v>5822</v>
      </c>
      <c r="E161" s="55" t="n">
        <f aca="false">ROUND(MAX(0,E160+F160-I160),2)</f>
        <v>0</v>
      </c>
      <c r="F161" s="55" t="n">
        <f aca="false">ROUND(E161*$E$5/12,2)</f>
        <v>0</v>
      </c>
      <c r="G161" s="55" t="n">
        <f aca="false">MIN($F$5,E161+F161)</f>
        <v>0</v>
      </c>
      <c r="H161" s="55" t="n">
        <f aca="false">MAX(0,MIN(E161+F161-G161,$D161))</f>
        <v>0</v>
      </c>
      <c r="I161" s="55" t="n">
        <f aca="false">G161+H161</f>
        <v>0</v>
      </c>
      <c r="J161" s="55" t="n">
        <f aca="false">ROUND(MAX(0,J160+K160-N160),2)</f>
        <v>0</v>
      </c>
      <c r="K161" s="55" t="n">
        <f aca="false">ROUND(J161*$E$6/12,2)</f>
        <v>0</v>
      </c>
      <c r="L161" s="55" t="n">
        <f aca="false">MIN($F$6,J161+K161)</f>
        <v>0</v>
      </c>
      <c r="M161" s="55" t="n">
        <f aca="false">MAX(0,MIN(J161+K161-L161,$D161-(H161)))</f>
        <v>0</v>
      </c>
      <c r="N161" s="55" t="n">
        <f aca="false">L161+M161</f>
        <v>0</v>
      </c>
      <c r="O161" s="55" t="n">
        <f aca="false">ROUND(MAX(0,O160+P160-S160),2)</f>
        <v>0</v>
      </c>
      <c r="P161" s="55" t="n">
        <f aca="false">ROUND(O161*$E$7/12,2)</f>
        <v>0</v>
      </c>
      <c r="Q161" s="55" t="n">
        <f aca="false">MIN($F$7,O161+P161)</f>
        <v>0</v>
      </c>
      <c r="R161" s="55" t="n">
        <f aca="false">MAX(0,MIN(O161+P161-Q161,$D161-(H161+M161)))</f>
        <v>0</v>
      </c>
      <c r="S161" s="55" t="n">
        <f aca="false">Q161+R161</f>
        <v>0</v>
      </c>
      <c r="T161" s="55" t="n">
        <f aca="false">ROUND(MAX(0,T160+U160-X160),2)</f>
        <v>0</v>
      </c>
      <c r="U161" s="55" t="n">
        <f aca="false">ROUND(T161*$E$8/12,2)</f>
        <v>0</v>
      </c>
      <c r="V161" s="55" t="n">
        <f aca="false">MIN($F$8,T161+U161)</f>
        <v>0</v>
      </c>
      <c r="W161" s="55" t="n">
        <f aca="false">MAX(0,MIN(T161+U161-V161,$D161-(H161+M161+R161)))</f>
        <v>0</v>
      </c>
      <c r="X161" s="55" t="n">
        <f aca="false">V161+W161</f>
        <v>0</v>
      </c>
      <c r="Y161" s="55" t="n">
        <f aca="false">ROUND(MAX(0,Y160+Z160-AC160),2)</f>
        <v>0</v>
      </c>
      <c r="Z161" s="55" t="n">
        <f aca="false">ROUND(Y161*$E$9/12,2)</f>
        <v>0</v>
      </c>
      <c r="AA161" s="55" t="n">
        <f aca="false">MIN($F$9,Y161+Z161)</f>
        <v>0</v>
      </c>
      <c r="AB161" s="55" t="n">
        <f aca="false">MAX(0,MIN(Y161+Z161-AA161,$D161-(H161+M161+R161+W161)))</f>
        <v>0</v>
      </c>
      <c r="AC161" s="55" t="n">
        <f aca="false">AA161+AB161</f>
        <v>0</v>
      </c>
      <c r="AD161" s="55" t="n">
        <f aca="false">ROUND(MAX(0,AD160+AE160-AH160),2)</f>
        <v>0</v>
      </c>
      <c r="AE161" s="55" t="n">
        <f aca="false">ROUND(AD161*$E$10/12,2)</f>
        <v>0</v>
      </c>
      <c r="AF161" s="55" t="n">
        <f aca="false">MIN($F$10,AD161+AE161)</f>
        <v>0</v>
      </c>
      <c r="AG161" s="55" t="n">
        <f aca="false">MAX(0,MIN(AD161+AE161-AF161,$D161-(H161+M161+R161+W161+AB161)))</f>
        <v>0</v>
      </c>
      <c r="AH161" s="55" t="n">
        <f aca="false">AF161+AG161</f>
        <v>0</v>
      </c>
      <c r="AI161" s="55" t="n">
        <f aca="false">ROUND(MAX(0,AI160+AJ160-AM160),2)</f>
        <v>0</v>
      </c>
      <c r="AJ161" s="55" t="n">
        <f aca="false">ROUND(AI161*$E$11/12,2)</f>
        <v>0</v>
      </c>
      <c r="AK161" s="55" t="n">
        <f aca="false">MIN($F$11,AI161+AJ161)</f>
        <v>0</v>
      </c>
      <c r="AL161" s="55" t="n">
        <f aca="false">MAX(0,MIN(AI161+AJ161-AK161,$D161-(H161+M161+R161+W161+AB161+AG161)))</f>
        <v>0</v>
      </c>
      <c r="AM161" s="55" t="n">
        <f aca="false">AK161+AL161</f>
        <v>0</v>
      </c>
      <c r="AN161" s="55" t="n">
        <f aca="false">ROUND(MAX(0,AN160+AO160-AR160),2)</f>
        <v>0</v>
      </c>
      <c r="AO161" s="55" t="n">
        <f aca="false">ROUND(AN161*$E$12/12,2)</f>
        <v>0</v>
      </c>
      <c r="AP161" s="55" t="n">
        <f aca="false">MIN($F$12,AN161+AO161)</f>
        <v>0</v>
      </c>
      <c r="AQ161" s="55" t="n">
        <f aca="false">MAX(0,MIN(AN161+AO161-AP161,$D161-(H161+M161+R161+W161+AB161+AG161+AL161)))</f>
        <v>0</v>
      </c>
      <c r="AR161" s="55" t="n">
        <f aca="false">AP161+AQ161</f>
        <v>0</v>
      </c>
      <c r="AS161" s="55" t="n">
        <f aca="false">ROUND(MAX(0,AS160+AT160-AW160),2)</f>
        <v>0</v>
      </c>
      <c r="AT161" s="55" t="n">
        <f aca="false">ROUND(AS161*$E$13/12,2)</f>
        <v>0</v>
      </c>
      <c r="AU161" s="55" t="n">
        <f aca="false">MIN($F$13,AS161+AT161)</f>
        <v>0</v>
      </c>
      <c r="AV161" s="55" t="n">
        <f aca="false">MAX(0,MIN(AS161+AT161-AU161,$D161-(H161+M161+R161+W161+AB161+AG161+AL161+AQ161)))</f>
        <v>0</v>
      </c>
      <c r="AW161" s="55" t="n">
        <f aca="false">AU161+AV161</f>
        <v>0</v>
      </c>
      <c r="AX161" s="55" t="n">
        <f aca="false">ROUND(MAX(0,AX160+AY160-BB160),2)</f>
        <v>0</v>
      </c>
      <c r="AY161" s="55" t="n">
        <f aca="false">ROUND(AX161*$E$14/12,2)</f>
        <v>0</v>
      </c>
      <c r="AZ161" s="55" t="n">
        <f aca="false">MIN($F$14,AX161+AY161)</f>
        <v>0</v>
      </c>
      <c r="BA161" s="55" t="n">
        <f aca="false">MAX(0,MIN(AX161+AY161-AZ161,$D161-(H161+M161+R161+W161+AB161+AG161+AL161+AQ161+AV161)))</f>
        <v>0</v>
      </c>
      <c r="BB161" s="55" t="n">
        <f aca="false">AZ161+BA161</f>
        <v>0</v>
      </c>
      <c r="BC161" s="55" t="n">
        <f aca="false">I161+N161+S161+X161+AC161+AH161+AM161+AR161+AW161+BB161</f>
        <v>0</v>
      </c>
      <c r="BD161" s="55" t="n">
        <f aca="false">ROUND((E161+F161-I161)+(J161+K161-N161)+(O161+P161-S161)+(T161+U161-X161)+(Y161+Z161-AC161)+(AD161+AE161-AH161)+(AI161+AJ161-AM161)+(AN161+AO161-AR161)+(AS161+AT161-AW161)+(AX161+AY161-BB161),2)</f>
        <v>0</v>
      </c>
      <c r="BE161" s="25" t="str">
        <f aca="false">IF(H161&gt;0.005,$C$5,IF(M161&gt;0.005,$C$6,IF(R161&gt;0.005,$C$7,IF(W161&gt;0.005,$C$8,IF(AB161&gt;0.005,$C$9,IF(AG161&gt;0.005,$C$10,IF(AL161&gt;0.005,$C$11,IF(AQ161&gt;0.005,$C$12,IF(AV161&gt;0.005,$C$13,IF(BA161&gt;0.005,$C$14,""))))))))))</f>
        <v/>
      </c>
    </row>
    <row r="162" customFormat="false" ht="15" hidden="false" customHeight="false" outlineLevel="0" collapsed="false">
      <c r="A162" s="24" t="n">
        <v>139</v>
      </c>
      <c r="B162" s="54" t="n">
        <f aca="false">EDATE($C$17,A162-1)</f>
        <v>50526</v>
      </c>
      <c r="C162" s="55" t="n">
        <f aca="false">G162+L162+Q162+V162+AA162+AF162+AK162+AP162+AU162+AZ162</f>
        <v>0</v>
      </c>
      <c r="D162" s="55" t="n">
        <f aca="false">MAX(0,$C$16-C162)</f>
        <v>5822</v>
      </c>
      <c r="E162" s="55" t="n">
        <f aca="false">ROUND(MAX(0,E161+F161-I161),2)</f>
        <v>0</v>
      </c>
      <c r="F162" s="55" t="n">
        <f aca="false">ROUND(E162*$E$5/12,2)</f>
        <v>0</v>
      </c>
      <c r="G162" s="55" t="n">
        <f aca="false">MIN($F$5,E162+F162)</f>
        <v>0</v>
      </c>
      <c r="H162" s="55" t="n">
        <f aca="false">MAX(0,MIN(E162+F162-G162,$D162))</f>
        <v>0</v>
      </c>
      <c r="I162" s="55" t="n">
        <f aca="false">G162+H162</f>
        <v>0</v>
      </c>
      <c r="J162" s="55" t="n">
        <f aca="false">ROUND(MAX(0,J161+K161-N161),2)</f>
        <v>0</v>
      </c>
      <c r="K162" s="55" t="n">
        <f aca="false">ROUND(J162*$E$6/12,2)</f>
        <v>0</v>
      </c>
      <c r="L162" s="55" t="n">
        <f aca="false">MIN($F$6,J162+K162)</f>
        <v>0</v>
      </c>
      <c r="M162" s="55" t="n">
        <f aca="false">MAX(0,MIN(J162+K162-L162,$D162-(H162)))</f>
        <v>0</v>
      </c>
      <c r="N162" s="55" t="n">
        <f aca="false">L162+M162</f>
        <v>0</v>
      </c>
      <c r="O162" s="55" t="n">
        <f aca="false">ROUND(MAX(0,O161+P161-S161),2)</f>
        <v>0</v>
      </c>
      <c r="P162" s="55" t="n">
        <f aca="false">ROUND(O162*$E$7/12,2)</f>
        <v>0</v>
      </c>
      <c r="Q162" s="55" t="n">
        <f aca="false">MIN($F$7,O162+P162)</f>
        <v>0</v>
      </c>
      <c r="R162" s="55" t="n">
        <f aca="false">MAX(0,MIN(O162+P162-Q162,$D162-(H162+M162)))</f>
        <v>0</v>
      </c>
      <c r="S162" s="55" t="n">
        <f aca="false">Q162+R162</f>
        <v>0</v>
      </c>
      <c r="T162" s="55" t="n">
        <f aca="false">ROUND(MAX(0,T161+U161-X161),2)</f>
        <v>0</v>
      </c>
      <c r="U162" s="55" t="n">
        <f aca="false">ROUND(T162*$E$8/12,2)</f>
        <v>0</v>
      </c>
      <c r="V162" s="55" t="n">
        <f aca="false">MIN($F$8,T162+U162)</f>
        <v>0</v>
      </c>
      <c r="W162" s="55" t="n">
        <f aca="false">MAX(0,MIN(T162+U162-V162,$D162-(H162+M162+R162)))</f>
        <v>0</v>
      </c>
      <c r="X162" s="55" t="n">
        <f aca="false">V162+W162</f>
        <v>0</v>
      </c>
      <c r="Y162" s="55" t="n">
        <f aca="false">ROUND(MAX(0,Y161+Z161-AC161),2)</f>
        <v>0</v>
      </c>
      <c r="Z162" s="55" t="n">
        <f aca="false">ROUND(Y162*$E$9/12,2)</f>
        <v>0</v>
      </c>
      <c r="AA162" s="55" t="n">
        <f aca="false">MIN($F$9,Y162+Z162)</f>
        <v>0</v>
      </c>
      <c r="AB162" s="55" t="n">
        <f aca="false">MAX(0,MIN(Y162+Z162-AA162,$D162-(H162+M162+R162+W162)))</f>
        <v>0</v>
      </c>
      <c r="AC162" s="55" t="n">
        <f aca="false">AA162+AB162</f>
        <v>0</v>
      </c>
      <c r="AD162" s="55" t="n">
        <f aca="false">ROUND(MAX(0,AD161+AE161-AH161),2)</f>
        <v>0</v>
      </c>
      <c r="AE162" s="55" t="n">
        <f aca="false">ROUND(AD162*$E$10/12,2)</f>
        <v>0</v>
      </c>
      <c r="AF162" s="55" t="n">
        <f aca="false">MIN($F$10,AD162+AE162)</f>
        <v>0</v>
      </c>
      <c r="AG162" s="55" t="n">
        <f aca="false">MAX(0,MIN(AD162+AE162-AF162,$D162-(H162+M162+R162+W162+AB162)))</f>
        <v>0</v>
      </c>
      <c r="AH162" s="55" t="n">
        <f aca="false">AF162+AG162</f>
        <v>0</v>
      </c>
      <c r="AI162" s="55" t="n">
        <f aca="false">ROUND(MAX(0,AI161+AJ161-AM161),2)</f>
        <v>0</v>
      </c>
      <c r="AJ162" s="55" t="n">
        <f aca="false">ROUND(AI162*$E$11/12,2)</f>
        <v>0</v>
      </c>
      <c r="AK162" s="55" t="n">
        <f aca="false">MIN($F$11,AI162+AJ162)</f>
        <v>0</v>
      </c>
      <c r="AL162" s="55" t="n">
        <f aca="false">MAX(0,MIN(AI162+AJ162-AK162,$D162-(H162+M162+R162+W162+AB162+AG162)))</f>
        <v>0</v>
      </c>
      <c r="AM162" s="55" t="n">
        <f aca="false">AK162+AL162</f>
        <v>0</v>
      </c>
      <c r="AN162" s="55" t="n">
        <f aca="false">ROUND(MAX(0,AN161+AO161-AR161),2)</f>
        <v>0</v>
      </c>
      <c r="AO162" s="55" t="n">
        <f aca="false">ROUND(AN162*$E$12/12,2)</f>
        <v>0</v>
      </c>
      <c r="AP162" s="55" t="n">
        <f aca="false">MIN($F$12,AN162+AO162)</f>
        <v>0</v>
      </c>
      <c r="AQ162" s="55" t="n">
        <f aca="false">MAX(0,MIN(AN162+AO162-AP162,$D162-(H162+M162+R162+W162+AB162+AG162+AL162)))</f>
        <v>0</v>
      </c>
      <c r="AR162" s="55" t="n">
        <f aca="false">AP162+AQ162</f>
        <v>0</v>
      </c>
      <c r="AS162" s="55" t="n">
        <f aca="false">ROUND(MAX(0,AS161+AT161-AW161),2)</f>
        <v>0</v>
      </c>
      <c r="AT162" s="55" t="n">
        <f aca="false">ROUND(AS162*$E$13/12,2)</f>
        <v>0</v>
      </c>
      <c r="AU162" s="55" t="n">
        <f aca="false">MIN($F$13,AS162+AT162)</f>
        <v>0</v>
      </c>
      <c r="AV162" s="55" t="n">
        <f aca="false">MAX(0,MIN(AS162+AT162-AU162,$D162-(H162+M162+R162+W162+AB162+AG162+AL162+AQ162)))</f>
        <v>0</v>
      </c>
      <c r="AW162" s="55" t="n">
        <f aca="false">AU162+AV162</f>
        <v>0</v>
      </c>
      <c r="AX162" s="55" t="n">
        <f aca="false">ROUND(MAX(0,AX161+AY161-BB161),2)</f>
        <v>0</v>
      </c>
      <c r="AY162" s="55" t="n">
        <f aca="false">ROUND(AX162*$E$14/12,2)</f>
        <v>0</v>
      </c>
      <c r="AZ162" s="55" t="n">
        <f aca="false">MIN($F$14,AX162+AY162)</f>
        <v>0</v>
      </c>
      <c r="BA162" s="55" t="n">
        <f aca="false">MAX(0,MIN(AX162+AY162-AZ162,$D162-(H162+M162+R162+W162+AB162+AG162+AL162+AQ162+AV162)))</f>
        <v>0</v>
      </c>
      <c r="BB162" s="55" t="n">
        <f aca="false">AZ162+BA162</f>
        <v>0</v>
      </c>
      <c r="BC162" s="55" t="n">
        <f aca="false">I162+N162+S162+X162+AC162+AH162+AM162+AR162+AW162+BB162</f>
        <v>0</v>
      </c>
      <c r="BD162" s="55" t="n">
        <f aca="false">ROUND((E162+F162-I162)+(J162+K162-N162)+(O162+P162-S162)+(T162+U162-X162)+(Y162+Z162-AC162)+(AD162+AE162-AH162)+(AI162+AJ162-AM162)+(AN162+AO162-AR162)+(AS162+AT162-AW162)+(AX162+AY162-BB162),2)</f>
        <v>0</v>
      </c>
      <c r="BE162" s="25" t="str">
        <f aca="false">IF(H162&gt;0.005,$C$5,IF(M162&gt;0.005,$C$6,IF(R162&gt;0.005,$C$7,IF(W162&gt;0.005,$C$8,IF(AB162&gt;0.005,$C$9,IF(AG162&gt;0.005,$C$10,IF(AL162&gt;0.005,$C$11,IF(AQ162&gt;0.005,$C$12,IF(AV162&gt;0.005,$C$13,IF(BA162&gt;0.005,$C$14,""))))))))))</f>
        <v/>
      </c>
    </row>
    <row r="163" customFormat="false" ht="15" hidden="false" customHeight="false" outlineLevel="0" collapsed="false">
      <c r="A163" s="24" t="n">
        <v>140</v>
      </c>
      <c r="B163" s="54" t="n">
        <f aca="false">EDATE($C$17,A163-1)</f>
        <v>50557</v>
      </c>
      <c r="C163" s="55" t="n">
        <f aca="false">G163+L163+Q163+V163+AA163+AF163+AK163+AP163+AU163+AZ163</f>
        <v>0</v>
      </c>
      <c r="D163" s="55" t="n">
        <f aca="false">MAX(0,$C$16-C163)</f>
        <v>5822</v>
      </c>
      <c r="E163" s="55" t="n">
        <f aca="false">ROUND(MAX(0,E162+F162-I162),2)</f>
        <v>0</v>
      </c>
      <c r="F163" s="55" t="n">
        <f aca="false">ROUND(E163*$E$5/12,2)</f>
        <v>0</v>
      </c>
      <c r="G163" s="55" t="n">
        <f aca="false">MIN($F$5,E163+F163)</f>
        <v>0</v>
      </c>
      <c r="H163" s="55" t="n">
        <f aca="false">MAX(0,MIN(E163+F163-G163,$D163))</f>
        <v>0</v>
      </c>
      <c r="I163" s="55" t="n">
        <f aca="false">G163+H163</f>
        <v>0</v>
      </c>
      <c r="J163" s="55" t="n">
        <f aca="false">ROUND(MAX(0,J162+K162-N162),2)</f>
        <v>0</v>
      </c>
      <c r="K163" s="55" t="n">
        <f aca="false">ROUND(J163*$E$6/12,2)</f>
        <v>0</v>
      </c>
      <c r="L163" s="55" t="n">
        <f aca="false">MIN($F$6,J163+K163)</f>
        <v>0</v>
      </c>
      <c r="M163" s="55" t="n">
        <f aca="false">MAX(0,MIN(J163+K163-L163,$D163-(H163)))</f>
        <v>0</v>
      </c>
      <c r="N163" s="55" t="n">
        <f aca="false">L163+M163</f>
        <v>0</v>
      </c>
      <c r="O163" s="55" t="n">
        <f aca="false">ROUND(MAX(0,O162+P162-S162),2)</f>
        <v>0</v>
      </c>
      <c r="P163" s="55" t="n">
        <f aca="false">ROUND(O163*$E$7/12,2)</f>
        <v>0</v>
      </c>
      <c r="Q163" s="55" t="n">
        <f aca="false">MIN($F$7,O163+P163)</f>
        <v>0</v>
      </c>
      <c r="R163" s="55" t="n">
        <f aca="false">MAX(0,MIN(O163+P163-Q163,$D163-(H163+M163)))</f>
        <v>0</v>
      </c>
      <c r="S163" s="55" t="n">
        <f aca="false">Q163+R163</f>
        <v>0</v>
      </c>
      <c r="T163" s="55" t="n">
        <f aca="false">ROUND(MAX(0,T162+U162-X162),2)</f>
        <v>0</v>
      </c>
      <c r="U163" s="55" t="n">
        <f aca="false">ROUND(T163*$E$8/12,2)</f>
        <v>0</v>
      </c>
      <c r="V163" s="55" t="n">
        <f aca="false">MIN($F$8,T163+U163)</f>
        <v>0</v>
      </c>
      <c r="W163" s="55" t="n">
        <f aca="false">MAX(0,MIN(T163+U163-V163,$D163-(H163+M163+R163)))</f>
        <v>0</v>
      </c>
      <c r="X163" s="55" t="n">
        <f aca="false">V163+W163</f>
        <v>0</v>
      </c>
      <c r="Y163" s="55" t="n">
        <f aca="false">ROUND(MAX(0,Y162+Z162-AC162),2)</f>
        <v>0</v>
      </c>
      <c r="Z163" s="55" t="n">
        <f aca="false">ROUND(Y163*$E$9/12,2)</f>
        <v>0</v>
      </c>
      <c r="AA163" s="55" t="n">
        <f aca="false">MIN($F$9,Y163+Z163)</f>
        <v>0</v>
      </c>
      <c r="AB163" s="55" t="n">
        <f aca="false">MAX(0,MIN(Y163+Z163-AA163,$D163-(H163+M163+R163+W163)))</f>
        <v>0</v>
      </c>
      <c r="AC163" s="55" t="n">
        <f aca="false">AA163+AB163</f>
        <v>0</v>
      </c>
      <c r="AD163" s="55" t="n">
        <f aca="false">ROUND(MAX(0,AD162+AE162-AH162),2)</f>
        <v>0</v>
      </c>
      <c r="AE163" s="55" t="n">
        <f aca="false">ROUND(AD163*$E$10/12,2)</f>
        <v>0</v>
      </c>
      <c r="AF163" s="55" t="n">
        <f aca="false">MIN($F$10,AD163+AE163)</f>
        <v>0</v>
      </c>
      <c r="AG163" s="55" t="n">
        <f aca="false">MAX(0,MIN(AD163+AE163-AF163,$D163-(H163+M163+R163+W163+AB163)))</f>
        <v>0</v>
      </c>
      <c r="AH163" s="55" t="n">
        <f aca="false">AF163+AG163</f>
        <v>0</v>
      </c>
      <c r="AI163" s="55" t="n">
        <f aca="false">ROUND(MAX(0,AI162+AJ162-AM162),2)</f>
        <v>0</v>
      </c>
      <c r="AJ163" s="55" t="n">
        <f aca="false">ROUND(AI163*$E$11/12,2)</f>
        <v>0</v>
      </c>
      <c r="AK163" s="55" t="n">
        <f aca="false">MIN($F$11,AI163+AJ163)</f>
        <v>0</v>
      </c>
      <c r="AL163" s="55" t="n">
        <f aca="false">MAX(0,MIN(AI163+AJ163-AK163,$D163-(H163+M163+R163+W163+AB163+AG163)))</f>
        <v>0</v>
      </c>
      <c r="AM163" s="55" t="n">
        <f aca="false">AK163+AL163</f>
        <v>0</v>
      </c>
      <c r="AN163" s="55" t="n">
        <f aca="false">ROUND(MAX(0,AN162+AO162-AR162),2)</f>
        <v>0</v>
      </c>
      <c r="AO163" s="55" t="n">
        <f aca="false">ROUND(AN163*$E$12/12,2)</f>
        <v>0</v>
      </c>
      <c r="AP163" s="55" t="n">
        <f aca="false">MIN($F$12,AN163+AO163)</f>
        <v>0</v>
      </c>
      <c r="AQ163" s="55" t="n">
        <f aca="false">MAX(0,MIN(AN163+AO163-AP163,$D163-(H163+M163+R163+W163+AB163+AG163+AL163)))</f>
        <v>0</v>
      </c>
      <c r="AR163" s="55" t="n">
        <f aca="false">AP163+AQ163</f>
        <v>0</v>
      </c>
      <c r="AS163" s="55" t="n">
        <f aca="false">ROUND(MAX(0,AS162+AT162-AW162),2)</f>
        <v>0</v>
      </c>
      <c r="AT163" s="55" t="n">
        <f aca="false">ROUND(AS163*$E$13/12,2)</f>
        <v>0</v>
      </c>
      <c r="AU163" s="55" t="n">
        <f aca="false">MIN($F$13,AS163+AT163)</f>
        <v>0</v>
      </c>
      <c r="AV163" s="55" t="n">
        <f aca="false">MAX(0,MIN(AS163+AT163-AU163,$D163-(H163+M163+R163+W163+AB163+AG163+AL163+AQ163)))</f>
        <v>0</v>
      </c>
      <c r="AW163" s="55" t="n">
        <f aca="false">AU163+AV163</f>
        <v>0</v>
      </c>
      <c r="AX163" s="55" t="n">
        <f aca="false">ROUND(MAX(0,AX162+AY162-BB162),2)</f>
        <v>0</v>
      </c>
      <c r="AY163" s="55" t="n">
        <f aca="false">ROUND(AX163*$E$14/12,2)</f>
        <v>0</v>
      </c>
      <c r="AZ163" s="55" t="n">
        <f aca="false">MIN($F$14,AX163+AY163)</f>
        <v>0</v>
      </c>
      <c r="BA163" s="55" t="n">
        <f aca="false">MAX(0,MIN(AX163+AY163-AZ163,$D163-(H163+M163+R163+W163+AB163+AG163+AL163+AQ163+AV163)))</f>
        <v>0</v>
      </c>
      <c r="BB163" s="55" t="n">
        <f aca="false">AZ163+BA163</f>
        <v>0</v>
      </c>
      <c r="BC163" s="55" t="n">
        <f aca="false">I163+N163+S163+X163+AC163+AH163+AM163+AR163+AW163+BB163</f>
        <v>0</v>
      </c>
      <c r="BD163" s="55" t="n">
        <f aca="false">ROUND((E163+F163-I163)+(J163+K163-N163)+(O163+P163-S163)+(T163+U163-X163)+(Y163+Z163-AC163)+(AD163+AE163-AH163)+(AI163+AJ163-AM163)+(AN163+AO163-AR163)+(AS163+AT163-AW163)+(AX163+AY163-BB163),2)</f>
        <v>0</v>
      </c>
      <c r="BE163" s="25" t="str">
        <f aca="false">IF(H163&gt;0.005,$C$5,IF(M163&gt;0.005,$C$6,IF(R163&gt;0.005,$C$7,IF(W163&gt;0.005,$C$8,IF(AB163&gt;0.005,$C$9,IF(AG163&gt;0.005,$C$10,IF(AL163&gt;0.005,$C$11,IF(AQ163&gt;0.005,$C$12,IF(AV163&gt;0.005,$C$13,IF(BA163&gt;0.005,$C$14,""))))))))))</f>
        <v/>
      </c>
    </row>
    <row r="164" customFormat="false" ht="15" hidden="false" customHeight="false" outlineLevel="0" collapsed="false">
      <c r="A164" s="24" t="n">
        <v>141</v>
      </c>
      <c r="B164" s="54" t="n">
        <f aca="false">EDATE($C$17,A164-1)</f>
        <v>50587</v>
      </c>
      <c r="C164" s="55" t="n">
        <f aca="false">G164+L164+Q164+V164+AA164+AF164+AK164+AP164+AU164+AZ164</f>
        <v>0</v>
      </c>
      <c r="D164" s="55" t="n">
        <f aca="false">MAX(0,$C$16-C164)</f>
        <v>5822</v>
      </c>
      <c r="E164" s="55" t="n">
        <f aca="false">ROUND(MAX(0,E163+F163-I163),2)</f>
        <v>0</v>
      </c>
      <c r="F164" s="55" t="n">
        <f aca="false">ROUND(E164*$E$5/12,2)</f>
        <v>0</v>
      </c>
      <c r="G164" s="55" t="n">
        <f aca="false">MIN($F$5,E164+F164)</f>
        <v>0</v>
      </c>
      <c r="H164" s="55" t="n">
        <f aca="false">MAX(0,MIN(E164+F164-G164,$D164))</f>
        <v>0</v>
      </c>
      <c r="I164" s="55" t="n">
        <f aca="false">G164+H164</f>
        <v>0</v>
      </c>
      <c r="J164" s="55" t="n">
        <f aca="false">ROUND(MAX(0,J163+K163-N163),2)</f>
        <v>0</v>
      </c>
      <c r="K164" s="55" t="n">
        <f aca="false">ROUND(J164*$E$6/12,2)</f>
        <v>0</v>
      </c>
      <c r="L164" s="55" t="n">
        <f aca="false">MIN($F$6,J164+K164)</f>
        <v>0</v>
      </c>
      <c r="M164" s="55" t="n">
        <f aca="false">MAX(0,MIN(J164+K164-L164,$D164-(H164)))</f>
        <v>0</v>
      </c>
      <c r="N164" s="55" t="n">
        <f aca="false">L164+M164</f>
        <v>0</v>
      </c>
      <c r="O164" s="55" t="n">
        <f aca="false">ROUND(MAX(0,O163+P163-S163),2)</f>
        <v>0</v>
      </c>
      <c r="P164" s="55" t="n">
        <f aca="false">ROUND(O164*$E$7/12,2)</f>
        <v>0</v>
      </c>
      <c r="Q164" s="55" t="n">
        <f aca="false">MIN($F$7,O164+P164)</f>
        <v>0</v>
      </c>
      <c r="R164" s="55" t="n">
        <f aca="false">MAX(0,MIN(O164+P164-Q164,$D164-(H164+M164)))</f>
        <v>0</v>
      </c>
      <c r="S164" s="55" t="n">
        <f aca="false">Q164+R164</f>
        <v>0</v>
      </c>
      <c r="T164" s="55" t="n">
        <f aca="false">ROUND(MAX(0,T163+U163-X163),2)</f>
        <v>0</v>
      </c>
      <c r="U164" s="55" t="n">
        <f aca="false">ROUND(T164*$E$8/12,2)</f>
        <v>0</v>
      </c>
      <c r="V164" s="55" t="n">
        <f aca="false">MIN($F$8,T164+U164)</f>
        <v>0</v>
      </c>
      <c r="W164" s="55" t="n">
        <f aca="false">MAX(0,MIN(T164+U164-V164,$D164-(H164+M164+R164)))</f>
        <v>0</v>
      </c>
      <c r="X164" s="55" t="n">
        <f aca="false">V164+W164</f>
        <v>0</v>
      </c>
      <c r="Y164" s="55" t="n">
        <f aca="false">ROUND(MAX(0,Y163+Z163-AC163),2)</f>
        <v>0</v>
      </c>
      <c r="Z164" s="55" t="n">
        <f aca="false">ROUND(Y164*$E$9/12,2)</f>
        <v>0</v>
      </c>
      <c r="AA164" s="55" t="n">
        <f aca="false">MIN($F$9,Y164+Z164)</f>
        <v>0</v>
      </c>
      <c r="AB164" s="55" t="n">
        <f aca="false">MAX(0,MIN(Y164+Z164-AA164,$D164-(H164+M164+R164+W164)))</f>
        <v>0</v>
      </c>
      <c r="AC164" s="55" t="n">
        <f aca="false">AA164+AB164</f>
        <v>0</v>
      </c>
      <c r="AD164" s="55" t="n">
        <f aca="false">ROUND(MAX(0,AD163+AE163-AH163),2)</f>
        <v>0</v>
      </c>
      <c r="AE164" s="55" t="n">
        <f aca="false">ROUND(AD164*$E$10/12,2)</f>
        <v>0</v>
      </c>
      <c r="AF164" s="55" t="n">
        <f aca="false">MIN($F$10,AD164+AE164)</f>
        <v>0</v>
      </c>
      <c r="AG164" s="55" t="n">
        <f aca="false">MAX(0,MIN(AD164+AE164-AF164,$D164-(H164+M164+R164+W164+AB164)))</f>
        <v>0</v>
      </c>
      <c r="AH164" s="55" t="n">
        <f aca="false">AF164+AG164</f>
        <v>0</v>
      </c>
      <c r="AI164" s="55" t="n">
        <f aca="false">ROUND(MAX(0,AI163+AJ163-AM163),2)</f>
        <v>0</v>
      </c>
      <c r="AJ164" s="55" t="n">
        <f aca="false">ROUND(AI164*$E$11/12,2)</f>
        <v>0</v>
      </c>
      <c r="AK164" s="55" t="n">
        <f aca="false">MIN($F$11,AI164+AJ164)</f>
        <v>0</v>
      </c>
      <c r="AL164" s="55" t="n">
        <f aca="false">MAX(0,MIN(AI164+AJ164-AK164,$D164-(H164+M164+R164+W164+AB164+AG164)))</f>
        <v>0</v>
      </c>
      <c r="AM164" s="55" t="n">
        <f aca="false">AK164+AL164</f>
        <v>0</v>
      </c>
      <c r="AN164" s="55" t="n">
        <f aca="false">ROUND(MAX(0,AN163+AO163-AR163),2)</f>
        <v>0</v>
      </c>
      <c r="AO164" s="55" t="n">
        <f aca="false">ROUND(AN164*$E$12/12,2)</f>
        <v>0</v>
      </c>
      <c r="AP164" s="55" t="n">
        <f aca="false">MIN($F$12,AN164+AO164)</f>
        <v>0</v>
      </c>
      <c r="AQ164" s="55" t="n">
        <f aca="false">MAX(0,MIN(AN164+AO164-AP164,$D164-(H164+M164+R164+W164+AB164+AG164+AL164)))</f>
        <v>0</v>
      </c>
      <c r="AR164" s="55" t="n">
        <f aca="false">AP164+AQ164</f>
        <v>0</v>
      </c>
      <c r="AS164" s="55" t="n">
        <f aca="false">ROUND(MAX(0,AS163+AT163-AW163),2)</f>
        <v>0</v>
      </c>
      <c r="AT164" s="55" t="n">
        <f aca="false">ROUND(AS164*$E$13/12,2)</f>
        <v>0</v>
      </c>
      <c r="AU164" s="55" t="n">
        <f aca="false">MIN($F$13,AS164+AT164)</f>
        <v>0</v>
      </c>
      <c r="AV164" s="55" t="n">
        <f aca="false">MAX(0,MIN(AS164+AT164-AU164,$D164-(H164+M164+R164+W164+AB164+AG164+AL164+AQ164)))</f>
        <v>0</v>
      </c>
      <c r="AW164" s="55" t="n">
        <f aca="false">AU164+AV164</f>
        <v>0</v>
      </c>
      <c r="AX164" s="55" t="n">
        <f aca="false">ROUND(MAX(0,AX163+AY163-BB163),2)</f>
        <v>0</v>
      </c>
      <c r="AY164" s="55" t="n">
        <f aca="false">ROUND(AX164*$E$14/12,2)</f>
        <v>0</v>
      </c>
      <c r="AZ164" s="55" t="n">
        <f aca="false">MIN($F$14,AX164+AY164)</f>
        <v>0</v>
      </c>
      <c r="BA164" s="55" t="n">
        <f aca="false">MAX(0,MIN(AX164+AY164-AZ164,$D164-(H164+M164+R164+W164+AB164+AG164+AL164+AQ164+AV164)))</f>
        <v>0</v>
      </c>
      <c r="BB164" s="55" t="n">
        <f aca="false">AZ164+BA164</f>
        <v>0</v>
      </c>
      <c r="BC164" s="55" t="n">
        <f aca="false">I164+N164+S164+X164+AC164+AH164+AM164+AR164+AW164+BB164</f>
        <v>0</v>
      </c>
      <c r="BD164" s="55" t="n">
        <f aca="false">ROUND((E164+F164-I164)+(J164+K164-N164)+(O164+P164-S164)+(T164+U164-X164)+(Y164+Z164-AC164)+(AD164+AE164-AH164)+(AI164+AJ164-AM164)+(AN164+AO164-AR164)+(AS164+AT164-AW164)+(AX164+AY164-BB164),2)</f>
        <v>0</v>
      </c>
      <c r="BE164" s="25" t="str">
        <f aca="false">IF(H164&gt;0.005,$C$5,IF(M164&gt;0.005,$C$6,IF(R164&gt;0.005,$C$7,IF(W164&gt;0.005,$C$8,IF(AB164&gt;0.005,$C$9,IF(AG164&gt;0.005,$C$10,IF(AL164&gt;0.005,$C$11,IF(AQ164&gt;0.005,$C$12,IF(AV164&gt;0.005,$C$13,IF(BA164&gt;0.005,$C$14,""))))))))))</f>
        <v/>
      </c>
    </row>
    <row r="165" customFormat="false" ht="15" hidden="false" customHeight="false" outlineLevel="0" collapsed="false">
      <c r="A165" s="24" t="n">
        <v>142</v>
      </c>
      <c r="B165" s="54" t="n">
        <f aca="false">EDATE($C$17,A165-1)</f>
        <v>50618</v>
      </c>
      <c r="C165" s="55" t="n">
        <f aca="false">G165+L165+Q165+V165+AA165+AF165+AK165+AP165+AU165+AZ165</f>
        <v>0</v>
      </c>
      <c r="D165" s="55" t="n">
        <f aca="false">MAX(0,$C$16-C165)</f>
        <v>5822</v>
      </c>
      <c r="E165" s="55" t="n">
        <f aca="false">ROUND(MAX(0,E164+F164-I164),2)</f>
        <v>0</v>
      </c>
      <c r="F165" s="55" t="n">
        <f aca="false">ROUND(E165*$E$5/12,2)</f>
        <v>0</v>
      </c>
      <c r="G165" s="55" t="n">
        <f aca="false">MIN($F$5,E165+F165)</f>
        <v>0</v>
      </c>
      <c r="H165" s="55" t="n">
        <f aca="false">MAX(0,MIN(E165+F165-G165,$D165))</f>
        <v>0</v>
      </c>
      <c r="I165" s="55" t="n">
        <f aca="false">G165+H165</f>
        <v>0</v>
      </c>
      <c r="J165" s="55" t="n">
        <f aca="false">ROUND(MAX(0,J164+K164-N164),2)</f>
        <v>0</v>
      </c>
      <c r="K165" s="55" t="n">
        <f aca="false">ROUND(J165*$E$6/12,2)</f>
        <v>0</v>
      </c>
      <c r="L165" s="55" t="n">
        <f aca="false">MIN($F$6,J165+K165)</f>
        <v>0</v>
      </c>
      <c r="M165" s="55" t="n">
        <f aca="false">MAX(0,MIN(J165+K165-L165,$D165-(H165)))</f>
        <v>0</v>
      </c>
      <c r="N165" s="55" t="n">
        <f aca="false">L165+M165</f>
        <v>0</v>
      </c>
      <c r="O165" s="55" t="n">
        <f aca="false">ROUND(MAX(0,O164+P164-S164),2)</f>
        <v>0</v>
      </c>
      <c r="P165" s="55" t="n">
        <f aca="false">ROUND(O165*$E$7/12,2)</f>
        <v>0</v>
      </c>
      <c r="Q165" s="55" t="n">
        <f aca="false">MIN($F$7,O165+P165)</f>
        <v>0</v>
      </c>
      <c r="R165" s="55" t="n">
        <f aca="false">MAX(0,MIN(O165+P165-Q165,$D165-(H165+M165)))</f>
        <v>0</v>
      </c>
      <c r="S165" s="55" t="n">
        <f aca="false">Q165+R165</f>
        <v>0</v>
      </c>
      <c r="T165" s="55" t="n">
        <f aca="false">ROUND(MAX(0,T164+U164-X164),2)</f>
        <v>0</v>
      </c>
      <c r="U165" s="55" t="n">
        <f aca="false">ROUND(T165*$E$8/12,2)</f>
        <v>0</v>
      </c>
      <c r="V165" s="55" t="n">
        <f aca="false">MIN($F$8,T165+U165)</f>
        <v>0</v>
      </c>
      <c r="W165" s="55" t="n">
        <f aca="false">MAX(0,MIN(T165+U165-V165,$D165-(H165+M165+R165)))</f>
        <v>0</v>
      </c>
      <c r="X165" s="55" t="n">
        <f aca="false">V165+W165</f>
        <v>0</v>
      </c>
      <c r="Y165" s="55" t="n">
        <f aca="false">ROUND(MAX(0,Y164+Z164-AC164),2)</f>
        <v>0</v>
      </c>
      <c r="Z165" s="55" t="n">
        <f aca="false">ROUND(Y165*$E$9/12,2)</f>
        <v>0</v>
      </c>
      <c r="AA165" s="55" t="n">
        <f aca="false">MIN($F$9,Y165+Z165)</f>
        <v>0</v>
      </c>
      <c r="AB165" s="55" t="n">
        <f aca="false">MAX(0,MIN(Y165+Z165-AA165,$D165-(H165+M165+R165+W165)))</f>
        <v>0</v>
      </c>
      <c r="AC165" s="55" t="n">
        <f aca="false">AA165+AB165</f>
        <v>0</v>
      </c>
      <c r="AD165" s="55" t="n">
        <f aca="false">ROUND(MAX(0,AD164+AE164-AH164),2)</f>
        <v>0</v>
      </c>
      <c r="AE165" s="55" t="n">
        <f aca="false">ROUND(AD165*$E$10/12,2)</f>
        <v>0</v>
      </c>
      <c r="AF165" s="55" t="n">
        <f aca="false">MIN($F$10,AD165+AE165)</f>
        <v>0</v>
      </c>
      <c r="AG165" s="55" t="n">
        <f aca="false">MAX(0,MIN(AD165+AE165-AF165,$D165-(H165+M165+R165+W165+AB165)))</f>
        <v>0</v>
      </c>
      <c r="AH165" s="55" t="n">
        <f aca="false">AF165+AG165</f>
        <v>0</v>
      </c>
      <c r="AI165" s="55" t="n">
        <f aca="false">ROUND(MAX(0,AI164+AJ164-AM164),2)</f>
        <v>0</v>
      </c>
      <c r="AJ165" s="55" t="n">
        <f aca="false">ROUND(AI165*$E$11/12,2)</f>
        <v>0</v>
      </c>
      <c r="AK165" s="55" t="n">
        <f aca="false">MIN($F$11,AI165+AJ165)</f>
        <v>0</v>
      </c>
      <c r="AL165" s="55" t="n">
        <f aca="false">MAX(0,MIN(AI165+AJ165-AK165,$D165-(H165+M165+R165+W165+AB165+AG165)))</f>
        <v>0</v>
      </c>
      <c r="AM165" s="55" t="n">
        <f aca="false">AK165+AL165</f>
        <v>0</v>
      </c>
      <c r="AN165" s="55" t="n">
        <f aca="false">ROUND(MAX(0,AN164+AO164-AR164),2)</f>
        <v>0</v>
      </c>
      <c r="AO165" s="55" t="n">
        <f aca="false">ROUND(AN165*$E$12/12,2)</f>
        <v>0</v>
      </c>
      <c r="AP165" s="55" t="n">
        <f aca="false">MIN($F$12,AN165+AO165)</f>
        <v>0</v>
      </c>
      <c r="AQ165" s="55" t="n">
        <f aca="false">MAX(0,MIN(AN165+AO165-AP165,$D165-(H165+M165+R165+W165+AB165+AG165+AL165)))</f>
        <v>0</v>
      </c>
      <c r="AR165" s="55" t="n">
        <f aca="false">AP165+AQ165</f>
        <v>0</v>
      </c>
      <c r="AS165" s="55" t="n">
        <f aca="false">ROUND(MAX(0,AS164+AT164-AW164),2)</f>
        <v>0</v>
      </c>
      <c r="AT165" s="55" t="n">
        <f aca="false">ROUND(AS165*$E$13/12,2)</f>
        <v>0</v>
      </c>
      <c r="AU165" s="55" t="n">
        <f aca="false">MIN($F$13,AS165+AT165)</f>
        <v>0</v>
      </c>
      <c r="AV165" s="55" t="n">
        <f aca="false">MAX(0,MIN(AS165+AT165-AU165,$D165-(H165+M165+R165+W165+AB165+AG165+AL165+AQ165)))</f>
        <v>0</v>
      </c>
      <c r="AW165" s="55" t="n">
        <f aca="false">AU165+AV165</f>
        <v>0</v>
      </c>
      <c r="AX165" s="55" t="n">
        <f aca="false">ROUND(MAX(0,AX164+AY164-BB164),2)</f>
        <v>0</v>
      </c>
      <c r="AY165" s="55" t="n">
        <f aca="false">ROUND(AX165*$E$14/12,2)</f>
        <v>0</v>
      </c>
      <c r="AZ165" s="55" t="n">
        <f aca="false">MIN($F$14,AX165+AY165)</f>
        <v>0</v>
      </c>
      <c r="BA165" s="55" t="n">
        <f aca="false">MAX(0,MIN(AX165+AY165-AZ165,$D165-(H165+M165+R165+W165+AB165+AG165+AL165+AQ165+AV165)))</f>
        <v>0</v>
      </c>
      <c r="BB165" s="55" t="n">
        <f aca="false">AZ165+BA165</f>
        <v>0</v>
      </c>
      <c r="BC165" s="55" t="n">
        <f aca="false">I165+N165+S165+X165+AC165+AH165+AM165+AR165+AW165+BB165</f>
        <v>0</v>
      </c>
      <c r="BD165" s="55" t="n">
        <f aca="false">ROUND((E165+F165-I165)+(J165+K165-N165)+(O165+P165-S165)+(T165+U165-X165)+(Y165+Z165-AC165)+(AD165+AE165-AH165)+(AI165+AJ165-AM165)+(AN165+AO165-AR165)+(AS165+AT165-AW165)+(AX165+AY165-BB165),2)</f>
        <v>0</v>
      </c>
      <c r="BE165" s="25" t="str">
        <f aca="false">IF(H165&gt;0.005,$C$5,IF(M165&gt;0.005,$C$6,IF(R165&gt;0.005,$C$7,IF(W165&gt;0.005,$C$8,IF(AB165&gt;0.005,$C$9,IF(AG165&gt;0.005,$C$10,IF(AL165&gt;0.005,$C$11,IF(AQ165&gt;0.005,$C$12,IF(AV165&gt;0.005,$C$13,IF(BA165&gt;0.005,$C$14,""))))))))))</f>
        <v/>
      </c>
    </row>
    <row r="166" customFormat="false" ht="15" hidden="false" customHeight="false" outlineLevel="0" collapsed="false">
      <c r="A166" s="24" t="n">
        <v>143</v>
      </c>
      <c r="B166" s="54" t="n">
        <f aca="false">EDATE($C$17,A166-1)</f>
        <v>50649</v>
      </c>
      <c r="C166" s="55" t="n">
        <f aca="false">G166+L166+Q166+V166+AA166+AF166+AK166+AP166+AU166+AZ166</f>
        <v>0</v>
      </c>
      <c r="D166" s="55" t="n">
        <f aca="false">MAX(0,$C$16-C166)</f>
        <v>5822</v>
      </c>
      <c r="E166" s="55" t="n">
        <f aca="false">ROUND(MAX(0,E165+F165-I165),2)</f>
        <v>0</v>
      </c>
      <c r="F166" s="55" t="n">
        <f aca="false">ROUND(E166*$E$5/12,2)</f>
        <v>0</v>
      </c>
      <c r="G166" s="55" t="n">
        <f aca="false">MIN($F$5,E166+F166)</f>
        <v>0</v>
      </c>
      <c r="H166" s="55" t="n">
        <f aca="false">MAX(0,MIN(E166+F166-G166,$D166))</f>
        <v>0</v>
      </c>
      <c r="I166" s="55" t="n">
        <f aca="false">G166+H166</f>
        <v>0</v>
      </c>
      <c r="J166" s="55" t="n">
        <f aca="false">ROUND(MAX(0,J165+K165-N165),2)</f>
        <v>0</v>
      </c>
      <c r="K166" s="55" t="n">
        <f aca="false">ROUND(J166*$E$6/12,2)</f>
        <v>0</v>
      </c>
      <c r="L166" s="55" t="n">
        <f aca="false">MIN($F$6,J166+K166)</f>
        <v>0</v>
      </c>
      <c r="M166" s="55" t="n">
        <f aca="false">MAX(0,MIN(J166+K166-L166,$D166-(H166)))</f>
        <v>0</v>
      </c>
      <c r="N166" s="55" t="n">
        <f aca="false">L166+M166</f>
        <v>0</v>
      </c>
      <c r="O166" s="55" t="n">
        <f aca="false">ROUND(MAX(0,O165+P165-S165),2)</f>
        <v>0</v>
      </c>
      <c r="P166" s="55" t="n">
        <f aca="false">ROUND(O166*$E$7/12,2)</f>
        <v>0</v>
      </c>
      <c r="Q166" s="55" t="n">
        <f aca="false">MIN($F$7,O166+P166)</f>
        <v>0</v>
      </c>
      <c r="R166" s="55" t="n">
        <f aca="false">MAX(0,MIN(O166+P166-Q166,$D166-(H166+M166)))</f>
        <v>0</v>
      </c>
      <c r="S166" s="55" t="n">
        <f aca="false">Q166+R166</f>
        <v>0</v>
      </c>
      <c r="T166" s="55" t="n">
        <f aca="false">ROUND(MAX(0,T165+U165-X165),2)</f>
        <v>0</v>
      </c>
      <c r="U166" s="55" t="n">
        <f aca="false">ROUND(T166*$E$8/12,2)</f>
        <v>0</v>
      </c>
      <c r="V166" s="55" t="n">
        <f aca="false">MIN($F$8,T166+U166)</f>
        <v>0</v>
      </c>
      <c r="W166" s="55" t="n">
        <f aca="false">MAX(0,MIN(T166+U166-V166,$D166-(H166+M166+R166)))</f>
        <v>0</v>
      </c>
      <c r="X166" s="55" t="n">
        <f aca="false">V166+W166</f>
        <v>0</v>
      </c>
      <c r="Y166" s="55" t="n">
        <f aca="false">ROUND(MAX(0,Y165+Z165-AC165),2)</f>
        <v>0</v>
      </c>
      <c r="Z166" s="55" t="n">
        <f aca="false">ROUND(Y166*$E$9/12,2)</f>
        <v>0</v>
      </c>
      <c r="AA166" s="55" t="n">
        <f aca="false">MIN($F$9,Y166+Z166)</f>
        <v>0</v>
      </c>
      <c r="AB166" s="55" t="n">
        <f aca="false">MAX(0,MIN(Y166+Z166-AA166,$D166-(H166+M166+R166+W166)))</f>
        <v>0</v>
      </c>
      <c r="AC166" s="55" t="n">
        <f aca="false">AA166+AB166</f>
        <v>0</v>
      </c>
      <c r="AD166" s="55" t="n">
        <f aca="false">ROUND(MAX(0,AD165+AE165-AH165),2)</f>
        <v>0</v>
      </c>
      <c r="AE166" s="55" t="n">
        <f aca="false">ROUND(AD166*$E$10/12,2)</f>
        <v>0</v>
      </c>
      <c r="AF166" s="55" t="n">
        <f aca="false">MIN($F$10,AD166+AE166)</f>
        <v>0</v>
      </c>
      <c r="AG166" s="55" t="n">
        <f aca="false">MAX(0,MIN(AD166+AE166-AF166,$D166-(H166+M166+R166+W166+AB166)))</f>
        <v>0</v>
      </c>
      <c r="AH166" s="55" t="n">
        <f aca="false">AF166+AG166</f>
        <v>0</v>
      </c>
      <c r="AI166" s="55" t="n">
        <f aca="false">ROUND(MAX(0,AI165+AJ165-AM165),2)</f>
        <v>0</v>
      </c>
      <c r="AJ166" s="55" t="n">
        <f aca="false">ROUND(AI166*$E$11/12,2)</f>
        <v>0</v>
      </c>
      <c r="AK166" s="55" t="n">
        <f aca="false">MIN($F$11,AI166+AJ166)</f>
        <v>0</v>
      </c>
      <c r="AL166" s="55" t="n">
        <f aca="false">MAX(0,MIN(AI166+AJ166-AK166,$D166-(H166+M166+R166+W166+AB166+AG166)))</f>
        <v>0</v>
      </c>
      <c r="AM166" s="55" t="n">
        <f aca="false">AK166+AL166</f>
        <v>0</v>
      </c>
      <c r="AN166" s="55" t="n">
        <f aca="false">ROUND(MAX(0,AN165+AO165-AR165),2)</f>
        <v>0</v>
      </c>
      <c r="AO166" s="55" t="n">
        <f aca="false">ROUND(AN166*$E$12/12,2)</f>
        <v>0</v>
      </c>
      <c r="AP166" s="55" t="n">
        <f aca="false">MIN($F$12,AN166+AO166)</f>
        <v>0</v>
      </c>
      <c r="AQ166" s="55" t="n">
        <f aca="false">MAX(0,MIN(AN166+AO166-AP166,$D166-(H166+M166+R166+W166+AB166+AG166+AL166)))</f>
        <v>0</v>
      </c>
      <c r="AR166" s="55" t="n">
        <f aca="false">AP166+AQ166</f>
        <v>0</v>
      </c>
      <c r="AS166" s="55" t="n">
        <f aca="false">ROUND(MAX(0,AS165+AT165-AW165),2)</f>
        <v>0</v>
      </c>
      <c r="AT166" s="55" t="n">
        <f aca="false">ROUND(AS166*$E$13/12,2)</f>
        <v>0</v>
      </c>
      <c r="AU166" s="55" t="n">
        <f aca="false">MIN($F$13,AS166+AT166)</f>
        <v>0</v>
      </c>
      <c r="AV166" s="55" t="n">
        <f aca="false">MAX(0,MIN(AS166+AT166-AU166,$D166-(H166+M166+R166+W166+AB166+AG166+AL166+AQ166)))</f>
        <v>0</v>
      </c>
      <c r="AW166" s="55" t="n">
        <f aca="false">AU166+AV166</f>
        <v>0</v>
      </c>
      <c r="AX166" s="55" t="n">
        <f aca="false">ROUND(MAX(0,AX165+AY165-BB165),2)</f>
        <v>0</v>
      </c>
      <c r="AY166" s="55" t="n">
        <f aca="false">ROUND(AX166*$E$14/12,2)</f>
        <v>0</v>
      </c>
      <c r="AZ166" s="55" t="n">
        <f aca="false">MIN($F$14,AX166+AY166)</f>
        <v>0</v>
      </c>
      <c r="BA166" s="55" t="n">
        <f aca="false">MAX(0,MIN(AX166+AY166-AZ166,$D166-(H166+M166+R166+W166+AB166+AG166+AL166+AQ166+AV166)))</f>
        <v>0</v>
      </c>
      <c r="BB166" s="55" t="n">
        <f aca="false">AZ166+BA166</f>
        <v>0</v>
      </c>
      <c r="BC166" s="55" t="n">
        <f aca="false">I166+N166+S166+X166+AC166+AH166+AM166+AR166+AW166+BB166</f>
        <v>0</v>
      </c>
      <c r="BD166" s="55" t="n">
        <f aca="false">ROUND((E166+F166-I166)+(J166+K166-N166)+(O166+P166-S166)+(T166+U166-X166)+(Y166+Z166-AC166)+(AD166+AE166-AH166)+(AI166+AJ166-AM166)+(AN166+AO166-AR166)+(AS166+AT166-AW166)+(AX166+AY166-BB166),2)</f>
        <v>0</v>
      </c>
      <c r="BE166" s="25" t="str">
        <f aca="false">IF(H166&gt;0.005,$C$5,IF(M166&gt;0.005,$C$6,IF(R166&gt;0.005,$C$7,IF(W166&gt;0.005,$C$8,IF(AB166&gt;0.005,$C$9,IF(AG166&gt;0.005,$C$10,IF(AL166&gt;0.005,$C$11,IF(AQ166&gt;0.005,$C$12,IF(AV166&gt;0.005,$C$13,IF(BA166&gt;0.005,$C$14,""))))))))))</f>
        <v/>
      </c>
    </row>
    <row r="167" customFormat="false" ht="15" hidden="false" customHeight="false" outlineLevel="0" collapsed="false">
      <c r="A167" s="24" t="n">
        <v>144</v>
      </c>
      <c r="B167" s="54" t="n">
        <f aca="false">EDATE($C$17,A167-1)</f>
        <v>50679</v>
      </c>
      <c r="C167" s="55" t="n">
        <f aca="false">G167+L167+Q167+V167+AA167+AF167+AK167+AP167+AU167+AZ167</f>
        <v>0</v>
      </c>
      <c r="D167" s="55" t="n">
        <f aca="false">MAX(0,$C$16-C167)</f>
        <v>5822</v>
      </c>
      <c r="E167" s="55" t="n">
        <f aca="false">ROUND(MAX(0,E166+F166-I166),2)</f>
        <v>0</v>
      </c>
      <c r="F167" s="55" t="n">
        <f aca="false">ROUND(E167*$E$5/12,2)</f>
        <v>0</v>
      </c>
      <c r="G167" s="55" t="n">
        <f aca="false">MIN($F$5,E167+F167)</f>
        <v>0</v>
      </c>
      <c r="H167" s="55" t="n">
        <f aca="false">MAX(0,MIN(E167+F167-G167,$D167))</f>
        <v>0</v>
      </c>
      <c r="I167" s="55" t="n">
        <f aca="false">G167+H167</f>
        <v>0</v>
      </c>
      <c r="J167" s="55" t="n">
        <f aca="false">ROUND(MAX(0,J166+K166-N166),2)</f>
        <v>0</v>
      </c>
      <c r="K167" s="55" t="n">
        <f aca="false">ROUND(J167*$E$6/12,2)</f>
        <v>0</v>
      </c>
      <c r="L167" s="55" t="n">
        <f aca="false">MIN($F$6,J167+K167)</f>
        <v>0</v>
      </c>
      <c r="M167" s="55" t="n">
        <f aca="false">MAX(0,MIN(J167+K167-L167,$D167-(H167)))</f>
        <v>0</v>
      </c>
      <c r="N167" s="55" t="n">
        <f aca="false">L167+M167</f>
        <v>0</v>
      </c>
      <c r="O167" s="55" t="n">
        <f aca="false">ROUND(MAX(0,O166+P166-S166),2)</f>
        <v>0</v>
      </c>
      <c r="P167" s="55" t="n">
        <f aca="false">ROUND(O167*$E$7/12,2)</f>
        <v>0</v>
      </c>
      <c r="Q167" s="55" t="n">
        <f aca="false">MIN($F$7,O167+P167)</f>
        <v>0</v>
      </c>
      <c r="R167" s="55" t="n">
        <f aca="false">MAX(0,MIN(O167+P167-Q167,$D167-(H167+M167)))</f>
        <v>0</v>
      </c>
      <c r="S167" s="55" t="n">
        <f aca="false">Q167+R167</f>
        <v>0</v>
      </c>
      <c r="T167" s="55" t="n">
        <f aca="false">ROUND(MAX(0,T166+U166-X166),2)</f>
        <v>0</v>
      </c>
      <c r="U167" s="55" t="n">
        <f aca="false">ROUND(T167*$E$8/12,2)</f>
        <v>0</v>
      </c>
      <c r="V167" s="55" t="n">
        <f aca="false">MIN($F$8,T167+U167)</f>
        <v>0</v>
      </c>
      <c r="W167" s="55" t="n">
        <f aca="false">MAX(0,MIN(T167+U167-V167,$D167-(H167+M167+R167)))</f>
        <v>0</v>
      </c>
      <c r="X167" s="55" t="n">
        <f aca="false">V167+W167</f>
        <v>0</v>
      </c>
      <c r="Y167" s="55" t="n">
        <f aca="false">ROUND(MAX(0,Y166+Z166-AC166),2)</f>
        <v>0</v>
      </c>
      <c r="Z167" s="55" t="n">
        <f aca="false">ROUND(Y167*$E$9/12,2)</f>
        <v>0</v>
      </c>
      <c r="AA167" s="55" t="n">
        <f aca="false">MIN($F$9,Y167+Z167)</f>
        <v>0</v>
      </c>
      <c r="AB167" s="55" t="n">
        <f aca="false">MAX(0,MIN(Y167+Z167-AA167,$D167-(H167+M167+R167+W167)))</f>
        <v>0</v>
      </c>
      <c r="AC167" s="55" t="n">
        <f aca="false">AA167+AB167</f>
        <v>0</v>
      </c>
      <c r="AD167" s="55" t="n">
        <f aca="false">ROUND(MAX(0,AD166+AE166-AH166),2)</f>
        <v>0</v>
      </c>
      <c r="AE167" s="55" t="n">
        <f aca="false">ROUND(AD167*$E$10/12,2)</f>
        <v>0</v>
      </c>
      <c r="AF167" s="55" t="n">
        <f aca="false">MIN($F$10,AD167+AE167)</f>
        <v>0</v>
      </c>
      <c r="AG167" s="55" t="n">
        <f aca="false">MAX(0,MIN(AD167+AE167-AF167,$D167-(H167+M167+R167+W167+AB167)))</f>
        <v>0</v>
      </c>
      <c r="AH167" s="55" t="n">
        <f aca="false">AF167+AG167</f>
        <v>0</v>
      </c>
      <c r="AI167" s="55" t="n">
        <f aca="false">ROUND(MAX(0,AI166+AJ166-AM166),2)</f>
        <v>0</v>
      </c>
      <c r="AJ167" s="55" t="n">
        <f aca="false">ROUND(AI167*$E$11/12,2)</f>
        <v>0</v>
      </c>
      <c r="AK167" s="55" t="n">
        <f aca="false">MIN($F$11,AI167+AJ167)</f>
        <v>0</v>
      </c>
      <c r="AL167" s="55" t="n">
        <f aca="false">MAX(0,MIN(AI167+AJ167-AK167,$D167-(H167+M167+R167+W167+AB167+AG167)))</f>
        <v>0</v>
      </c>
      <c r="AM167" s="55" t="n">
        <f aca="false">AK167+AL167</f>
        <v>0</v>
      </c>
      <c r="AN167" s="55" t="n">
        <f aca="false">ROUND(MAX(0,AN166+AO166-AR166),2)</f>
        <v>0</v>
      </c>
      <c r="AO167" s="55" t="n">
        <f aca="false">ROUND(AN167*$E$12/12,2)</f>
        <v>0</v>
      </c>
      <c r="AP167" s="55" t="n">
        <f aca="false">MIN($F$12,AN167+AO167)</f>
        <v>0</v>
      </c>
      <c r="AQ167" s="55" t="n">
        <f aca="false">MAX(0,MIN(AN167+AO167-AP167,$D167-(H167+M167+R167+W167+AB167+AG167+AL167)))</f>
        <v>0</v>
      </c>
      <c r="AR167" s="55" t="n">
        <f aca="false">AP167+AQ167</f>
        <v>0</v>
      </c>
      <c r="AS167" s="55" t="n">
        <f aca="false">ROUND(MAX(0,AS166+AT166-AW166),2)</f>
        <v>0</v>
      </c>
      <c r="AT167" s="55" t="n">
        <f aca="false">ROUND(AS167*$E$13/12,2)</f>
        <v>0</v>
      </c>
      <c r="AU167" s="55" t="n">
        <f aca="false">MIN($F$13,AS167+AT167)</f>
        <v>0</v>
      </c>
      <c r="AV167" s="55" t="n">
        <f aca="false">MAX(0,MIN(AS167+AT167-AU167,$D167-(H167+M167+R167+W167+AB167+AG167+AL167+AQ167)))</f>
        <v>0</v>
      </c>
      <c r="AW167" s="55" t="n">
        <f aca="false">AU167+AV167</f>
        <v>0</v>
      </c>
      <c r="AX167" s="55" t="n">
        <f aca="false">ROUND(MAX(0,AX166+AY166-BB166),2)</f>
        <v>0</v>
      </c>
      <c r="AY167" s="55" t="n">
        <f aca="false">ROUND(AX167*$E$14/12,2)</f>
        <v>0</v>
      </c>
      <c r="AZ167" s="55" t="n">
        <f aca="false">MIN($F$14,AX167+AY167)</f>
        <v>0</v>
      </c>
      <c r="BA167" s="55" t="n">
        <f aca="false">MAX(0,MIN(AX167+AY167-AZ167,$D167-(H167+M167+R167+W167+AB167+AG167+AL167+AQ167+AV167)))</f>
        <v>0</v>
      </c>
      <c r="BB167" s="55" t="n">
        <f aca="false">AZ167+BA167</f>
        <v>0</v>
      </c>
      <c r="BC167" s="55" t="n">
        <f aca="false">I167+N167+S167+X167+AC167+AH167+AM167+AR167+AW167+BB167</f>
        <v>0</v>
      </c>
      <c r="BD167" s="55" t="n">
        <f aca="false">ROUND((E167+F167-I167)+(J167+K167-N167)+(O167+P167-S167)+(T167+U167-X167)+(Y167+Z167-AC167)+(AD167+AE167-AH167)+(AI167+AJ167-AM167)+(AN167+AO167-AR167)+(AS167+AT167-AW167)+(AX167+AY167-BB167),2)</f>
        <v>0</v>
      </c>
      <c r="BE167" s="25" t="str">
        <f aca="false">IF(H167&gt;0.005,$C$5,IF(M167&gt;0.005,$C$6,IF(R167&gt;0.005,$C$7,IF(W167&gt;0.005,$C$8,IF(AB167&gt;0.005,$C$9,IF(AG167&gt;0.005,$C$10,IF(AL167&gt;0.005,$C$11,IF(AQ167&gt;0.005,$C$12,IF(AV167&gt;0.005,$C$13,IF(BA167&gt;0.005,$C$14,""))))))))))</f>
        <v/>
      </c>
    </row>
    <row r="168" customFormat="false" ht="15" hidden="false" customHeight="false" outlineLevel="0" collapsed="false">
      <c r="A168" s="24" t="n">
        <v>145</v>
      </c>
      <c r="B168" s="54" t="n">
        <f aca="false">EDATE($C$17,A168-1)</f>
        <v>50710</v>
      </c>
      <c r="C168" s="55" t="n">
        <f aca="false">G168+L168+Q168+V168+AA168+AF168+AK168+AP168+AU168+AZ168</f>
        <v>0</v>
      </c>
      <c r="D168" s="55" t="n">
        <f aca="false">MAX(0,$C$16-C168)</f>
        <v>5822</v>
      </c>
      <c r="E168" s="55" t="n">
        <f aca="false">ROUND(MAX(0,E167+F167-I167),2)</f>
        <v>0</v>
      </c>
      <c r="F168" s="55" t="n">
        <f aca="false">ROUND(E168*$E$5/12,2)</f>
        <v>0</v>
      </c>
      <c r="G168" s="55" t="n">
        <f aca="false">MIN($F$5,E168+F168)</f>
        <v>0</v>
      </c>
      <c r="H168" s="55" t="n">
        <f aca="false">MAX(0,MIN(E168+F168-G168,$D168))</f>
        <v>0</v>
      </c>
      <c r="I168" s="55" t="n">
        <f aca="false">G168+H168</f>
        <v>0</v>
      </c>
      <c r="J168" s="55" t="n">
        <f aca="false">ROUND(MAX(0,J167+K167-N167),2)</f>
        <v>0</v>
      </c>
      <c r="K168" s="55" t="n">
        <f aca="false">ROUND(J168*$E$6/12,2)</f>
        <v>0</v>
      </c>
      <c r="L168" s="55" t="n">
        <f aca="false">MIN($F$6,J168+K168)</f>
        <v>0</v>
      </c>
      <c r="M168" s="55" t="n">
        <f aca="false">MAX(0,MIN(J168+K168-L168,$D168-(H168)))</f>
        <v>0</v>
      </c>
      <c r="N168" s="55" t="n">
        <f aca="false">L168+M168</f>
        <v>0</v>
      </c>
      <c r="O168" s="55" t="n">
        <f aca="false">ROUND(MAX(0,O167+P167-S167),2)</f>
        <v>0</v>
      </c>
      <c r="P168" s="55" t="n">
        <f aca="false">ROUND(O168*$E$7/12,2)</f>
        <v>0</v>
      </c>
      <c r="Q168" s="55" t="n">
        <f aca="false">MIN($F$7,O168+P168)</f>
        <v>0</v>
      </c>
      <c r="R168" s="55" t="n">
        <f aca="false">MAX(0,MIN(O168+P168-Q168,$D168-(H168+M168)))</f>
        <v>0</v>
      </c>
      <c r="S168" s="55" t="n">
        <f aca="false">Q168+R168</f>
        <v>0</v>
      </c>
      <c r="T168" s="55" t="n">
        <f aca="false">ROUND(MAX(0,T167+U167-X167),2)</f>
        <v>0</v>
      </c>
      <c r="U168" s="55" t="n">
        <f aca="false">ROUND(T168*$E$8/12,2)</f>
        <v>0</v>
      </c>
      <c r="V168" s="55" t="n">
        <f aca="false">MIN($F$8,T168+U168)</f>
        <v>0</v>
      </c>
      <c r="W168" s="55" t="n">
        <f aca="false">MAX(0,MIN(T168+U168-V168,$D168-(H168+M168+R168)))</f>
        <v>0</v>
      </c>
      <c r="X168" s="55" t="n">
        <f aca="false">V168+W168</f>
        <v>0</v>
      </c>
      <c r="Y168" s="55" t="n">
        <f aca="false">ROUND(MAX(0,Y167+Z167-AC167),2)</f>
        <v>0</v>
      </c>
      <c r="Z168" s="55" t="n">
        <f aca="false">ROUND(Y168*$E$9/12,2)</f>
        <v>0</v>
      </c>
      <c r="AA168" s="55" t="n">
        <f aca="false">MIN($F$9,Y168+Z168)</f>
        <v>0</v>
      </c>
      <c r="AB168" s="55" t="n">
        <f aca="false">MAX(0,MIN(Y168+Z168-AA168,$D168-(H168+M168+R168+W168)))</f>
        <v>0</v>
      </c>
      <c r="AC168" s="55" t="n">
        <f aca="false">AA168+AB168</f>
        <v>0</v>
      </c>
      <c r="AD168" s="55" t="n">
        <f aca="false">ROUND(MAX(0,AD167+AE167-AH167),2)</f>
        <v>0</v>
      </c>
      <c r="AE168" s="55" t="n">
        <f aca="false">ROUND(AD168*$E$10/12,2)</f>
        <v>0</v>
      </c>
      <c r="AF168" s="55" t="n">
        <f aca="false">MIN($F$10,AD168+AE168)</f>
        <v>0</v>
      </c>
      <c r="AG168" s="55" t="n">
        <f aca="false">MAX(0,MIN(AD168+AE168-AF168,$D168-(H168+M168+R168+W168+AB168)))</f>
        <v>0</v>
      </c>
      <c r="AH168" s="55" t="n">
        <f aca="false">AF168+AG168</f>
        <v>0</v>
      </c>
      <c r="AI168" s="55" t="n">
        <f aca="false">ROUND(MAX(0,AI167+AJ167-AM167),2)</f>
        <v>0</v>
      </c>
      <c r="AJ168" s="55" t="n">
        <f aca="false">ROUND(AI168*$E$11/12,2)</f>
        <v>0</v>
      </c>
      <c r="AK168" s="55" t="n">
        <f aca="false">MIN($F$11,AI168+AJ168)</f>
        <v>0</v>
      </c>
      <c r="AL168" s="55" t="n">
        <f aca="false">MAX(0,MIN(AI168+AJ168-AK168,$D168-(H168+M168+R168+W168+AB168+AG168)))</f>
        <v>0</v>
      </c>
      <c r="AM168" s="55" t="n">
        <f aca="false">AK168+AL168</f>
        <v>0</v>
      </c>
      <c r="AN168" s="55" t="n">
        <f aca="false">ROUND(MAX(0,AN167+AO167-AR167),2)</f>
        <v>0</v>
      </c>
      <c r="AO168" s="55" t="n">
        <f aca="false">ROUND(AN168*$E$12/12,2)</f>
        <v>0</v>
      </c>
      <c r="AP168" s="55" t="n">
        <f aca="false">MIN($F$12,AN168+AO168)</f>
        <v>0</v>
      </c>
      <c r="AQ168" s="55" t="n">
        <f aca="false">MAX(0,MIN(AN168+AO168-AP168,$D168-(H168+M168+R168+W168+AB168+AG168+AL168)))</f>
        <v>0</v>
      </c>
      <c r="AR168" s="55" t="n">
        <f aca="false">AP168+AQ168</f>
        <v>0</v>
      </c>
      <c r="AS168" s="55" t="n">
        <f aca="false">ROUND(MAX(0,AS167+AT167-AW167),2)</f>
        <v>0</v>
      </c>
      <c r="AT168" s="55" t="n">
        <f aca="false">ROUND(AS168*$E$13/12,2)</f>
        <v>0</v>
      </c>
      <c r="AU168" s="55" t="n">
        <f aca="false">MIN($F$13,AS168+AT168)</f>
        <v>0</v>
      </c>
      <c r="AV168" s="55" t="n">
        <f aca="false">MAX(0,MIN(AS168+AT168-AU168,$D168-(H168+M168+R168+W168+AB168+AG168+AL168+AQ168)))</f>
        <v>0</v>
      </c>
      <c r="AW168" s="55" t="n">
        <f aca="false">AU168+AV168</f>
        <v>0</v>
      </c>
      <c r="AX168" s="55" t="n">
        <f aca="false">ROUND(MAX(0,AX167+AY167-BB167),2)</f>
        <v>0</v>
      </c>
      <c r="AY168" s="55" t="n">
        <f aca="false">ROUND(AX168*$E$14/12,2)</f>
        <v>0</v>
      </c>
      <c r="AZ168" s="55" t="n">
        <f aca="false">MIN($F$14,AX168+AY168)</f>
        <v>0</v>
      </c>
      <c r="BA168" s="55" t="n">
        <f aca="false">MAX(0,MIN(AX168+AY168-AZ168,$D168-(H168+M168+R168+W168+AB168+AG168+AL168+AQ168+AV168)))</f>
        <v>0</v>
      </c>
      <c r="BB168" s="55" t="n">
        <f aca="false">AZ168+BA168</f>
        <v>0</v>
      </c>
      <c r="BC168" s="55" t="n">
        <f aca="false">I168+N168+S168+X168+AC168+AH168+AM168+AR168+AW168+BB168</f>
        <v>0</v>
      </c>
      <c r="BD168" s="55" t="n">
        <f aca="false">ROUND((E168+F168-I168)+(J168+K168-N168)+(O168+P168-S168)+(T168+U168-X168)+(Y168+Z168-AC168)+(AD168+AE168-AH168)+(AI168+AJ168-AM168)+(AN168+AO168-AR168)+(AS168+AT168-AW168)+(AX168+AY168-BB168),2)</f>
        <v>0</v>
      </c>
      <c r="BE168" s="25" t="str">
        <f aca="false">IF(H168&gt;0.005,$C$5,IF(M168&gt;0.005,$C$6,IF(R168&gt;0.005,$C$7,IF(W168&gt;0.005,$C$8,IF(AB168&gt;0.005,$C$9,IF(AG168&gt;0.005,$C$10,IF(AL168&gt;0.005,$C$11,IF(AQ168&gt;0.005,$C$12,IF(AV168&gt;0.005,$C$13,IF(BA168&gt;0.005,$C$14,""))))))))))</f>
        <v/>
      </c>
    </row>
    <row r="169" customFormat="false" ht="15" hidden="false" customHeight="false" outlineLevel="0" collapsed="false">
      <c r="A169" s="24" t="n">
        <v>146</v>
      </c>
      <c r="B169" s="54" t="n">
        <f aca="false">EDATE($C$17,A169-1)</f>
        <v>50740</v>
      </c>
      <c r="C169" s="55" t="n">
        <f aca="false">G169+L169+Q169+V169+AA169+AF169+AK169+AP169+AU169+AZ169</f>
        <v>0</v>
      </c>
      <c r="D169" s="55" t="n">
        <f aca="false">MAX(0,$C$16-C169)</f>
        <v>5822</v>
      </c>
      <c r="E169" s="55" t="n">
        <f aca="false">ROUND(MAX(0,E168+F168-I168),2)</f>
        <v>0</v>
      </c>
      <c r="F169" s="55" t="n">
        <f aca="false">ROUND(E169*$E$5/12,2)</f>
        <v>0</v>
      </c>
      <c r="G169" s="55" t="n">
        <f aca="false">MIN($F$5,E169+F169)</f>
        <v>0</v>
      </c>
      <c r="H169" s="55" t="n">
        <f aca="false">MAX(0,MIN(E169+F169-G169,$D169))</f>
        <v>0</v>
      </c>
      <c r="I169" s="55" t="n">
        <f aca="false">G169+H169</f>
        <v>0</v>
      </c>
      <c r="J169" s="55" t="n">
        <f aca="false">ROUND(MAX(0,J168+K168-N168),2)</f>
        <v>0</v>
      </c>
      <c r="K169" s="55" t="n">
        <f aca="false">ROUND(J169*$E$6/12,2)</f>
        <v>0</v>
      </c>
      <c r="L169" s="55" t="n">
        <f aca="false">MIN($F$6,J169+K169)</f>
        <v>0</v>
      </c>
      <c r="M169" s="55" t="n">
        <f aca="false">MAX(0,MIN(J169+K169-L169,$D169-(H169)))</f>
        <v>0</v>
      </c>
      <c r="N169" s="55" t="n">
        <f aca="false">L169+M169</f>
        <v>0</v>
      </c>
      <c r="O169" s="55" t="n">
        <f aca="false">ROUND(MAX(0,O168+P168-S168),2)</f>
        <v>0</v>
      </c>
      <c r="P169" s="55" t="n">
        <f aca="false">ROUND(O169*$E$7/12,2)</f>
        <v>0</v>
      </c>
      <c r="Q169" s="55" t="n">
        <f aca="false">MIN($F$7,O169+P169)</f>
        <v>0</v>
      </c>
      <c r="R169" s="55" t="n">
        <f aca="false">MAX(0,MIN(O169+P169-Q169,$D169-(H169+M169)))</f>
        <v>0</v>
      </c>
      <c r="S169" s="55" t="n">
        <f aca="false">Q169+R169</f>
        <v>0</v>
      </c>
      <c r="T169" s="55" t="n">
        <f aca="false">ROUND(MAX(0,T168+U168-X168),2)</f>
        <v>0</v>
      </c>
      <c r="U169" s="55" t="n">
        <f aca="false">ROUND(T169*$E$8/12,2)</f>
        <v>0</v>
      </c>
      <c r="V169" s="55" t="n">
        <f aca="false">MIN($F$8,T169+U169)</f>
        <v>0</v>
      </c>
      <c r="W169" s="55" t="n">
        <f aca="false">MAX(0,MIN(T169+U169-V169,$D169-(H169+M169+R169)))</f>
        <v>0</v>
      </c>
      <c r="X169" s="55" t="n">
        <f aca="false">V169+W169</f>
        <v>0</v>
      </c>
      <c r="Y169" s="55" t="n">
        <f aca="false">ROUND(MAX(0,Y168+Z168-AC168),2)</f>
        <v>0</v>
      </c>
      <c r="Z169" s="55" t="n">
        <f aca="false">ROUND(Y169*$E$9/12,2)</f>
        <v>0</v>
      </c>
      <c r="AA169" s="55" t="n">
        <f aca="false">MIN($F$9,Y169+Z169)</f>
        <v>0</v>
      </c>
      <c r="AB169" s="55" t="n">
        <f aca="false">MAX(0,MIN(Y169+Z169-AA169,$D169-(H169+M169+R169+W169)))</f>
        <v>0</v>
      </c>
      <c r="AC169" s="55" t="n">
        <f aca="false">AA169+AB169</f>
        <v>0</v>
      </c>
      <c r="AD169" s="55" t="n">
        <f aca="false">ROUND(MAX(0,AD168+AE168-AH168),2)</f>
        <v>0</v>
      </c>
      <c r="AE169" s="55" t="n">
        <f aca="false">ROUND(AD169*$E$10/12,2)</f>
        <v>0</v>
      </c>
      <c r="AF169" s="55" t="n">
        <f aca="false">MIN($F$10,AD169+AE169)</f>
        <v>0</v>
      </c>
      <c r="AG169" s="55" t="n">
        <f aca="false">MAX(0,MIN(AD169+AE169-AF169,$D169-(H169+M169+R169+W169+AB169)))</f>
        <v>0</v>
      </c>
      <c r="AH169" s="55" t="n">
        <f aca="false">AF169+AG169</f>
        <v>0</v>
      </c>
      <c r="AI169" s="55" t="n">
        <f aca="false">ROUND(MAX(0,AI168+AJ168-AM168),2)</f>
        <v>0</v>
      </c>
      <c r="AJ169" s="55" t="n">
        <f aca="false">ROUND(AI169*$E$11/12,2)</f>
        <v>0</v>
      </c>
      <c r="AK169" s="55" t="n">
        <f aca="false">MIN($F$11,AI169+AJ169)</f>
        <v>0</v>
      </c>
      <c r="AL169" s="55" t="n">
        <f aca="false">MAX(0,MIN(AI169+AJ169-AK169,$D169-(H169+M169+R169+W169+AB169+AG169)))</f>
        <v>0</v>
      </c>
      <c r="AM169" s="55" t="n">
        <f aca="false">AK169+AL169</f>
        <v>0</v>
      </c>
      <c r="AN169" s="55" t="n">
        <f aca="false">ROUND(MAX(0,AN168+AO168-AR168),2)</f>
        <v>0</v>
      </c>
      <c r="AO169" s="55" t="n">
        <f aca="false">ROUND(AN169*$E$12/12,2)</f>
        <v>0</v>
      </c>
      <c r="AP169" s="55" t="n">
        <f aca="false">MIN($F$12,AN169+AO169)</f>
        <v>0</v>
      </c>
      <c r="AQ169" s="55" t="n">
        <f aca="false">MAX(0,MIN(AN169+AO169-AP169,$D169-(H169+M169+R169+W169+AB169+AG169+AL169)))</f>
        <v>0</v>
      </c>
      <c r="AR169" s="55" t="n">
        <f aca="false">AP169+AQ169</f>
        <v>0</v>
      </c>
      <c r="AS169" s="55" t="n">
        <f aca="false">ROUND(MAX(0,AS168+AT168-AW168),2)</f>
        <v>0</v>
      </c>
      <c r="AT169" s="55" t="n">
        <f aca="false">ROUND(AS169*$E$13/12,2)</f>
        <v>0</v>
      </c>
      <c r="AU169" s="55" t="n">
        <f aca="false">MIN($F$13,AS169+AT169)</f>
        <v>0</v>
      </c>
      <c r="AV169" s="55" t="n">
        <f aca="false">MAX(0,MIN(AS169+AT169-AU169,$D169-(H169+M169+R169+W169+AB169+AG169+AL169+AQ169)))</f>
        <v>0</v>
      </c>
      <c r="AW169" s="55" t="n">
        <f aca="false">AU169+AV169</f>
        <v>0</v>
      </c>
      <c r="AX169" s="55" t="n">
        <f aca="false">ROUND(MAX(0,AX168+AY168-BB168),2)</f>
        <v>0</v>
      </c>
      <c r="AY169" s="55" t="n">
        <f aca="false">ROUND(AX169*$E$14/12,2)</f>
        <v>0</v>
      </c>
      <c r="AZ169" s="55" t="n">
        <f aca="false">MIN($F$14,AX169+AY169)</f>
        <v>0</v>
      </c>
      <c r="BA169" s="55" t="n">
        <f aca="false">MAX(0,MIN(AX169+AY169-AZ169,$D169-(H169+M169+R169+W169+AB169+AG169+AL169+AQ169+AV169)))</f>
        <v>0</v>
      </c>
      <c r="BB169" s="55" t="n">
        <f aca="false">AZ169+BA169</f>
        <v>0</v>
      </c>
      <c r="BC169" s="55" t="n">
        <f aca="false">I169+N169+S169+X169+AC169+AH169+AM169+AR169+AW169+BB169</f>
        <v>0</v>
      </c>
      <c r="BD169" s="55" t="n">
        <f aca="false">ROUND((E169+F169-I169)+(J169+K169-N169)+(O169+P169-S169)+(T169+U169-X169)+(Y169+Z169-AC169)+(AD169+AE169-AH169)+(AI169+AJ169-AM169)+(AN169+AO169-AR169)+(AS169+AT169-AW169)+(AX169+AY169-BB169),2)</f>
        <v>0</v>
      </c>
      <c r="BE169" s="25" t="str">
        <f aca="false">IF(H169&gt;0.005,$C$5,IF(M169&gt;0.005,$C$6,IF(R169&gt;0.005,$C$7,IF(W169&gt;0.005,$C$8,IF(AB169&gt;0.005,$C$9,IF(AG169&gt;0.005,$C$10,IF(AL169&gt;0.005,$C$11,IF(AQ169&gt;0.005,$C$12,IF(AV169&gt;0.005,$C$13,IF(BA169&gt;0.005,$C$14,""))))))))))</f>
        <v/>
      </c>
    </row>
    <row r="170" customFormat="false" ht="15" hidden="false" customHeight="false" outlineLevel="0" collapsed="false">
      <c r="A170" s="24" t="n">
        <v>147</v>
      </c>
      <c r="B170" s="54" t="n">
        <f aca="false">EDATE($C$17,A170-1)</f>
        <v>50771</v>
      </c>
      <c r="C170" s="55" t="n">
        <f aca="false">G170+L170+Q170+V170+AA170+AF170+AK170+AP170+AU170+AZ170</f>
        <v>0</v>
      </c>
      <c r="D170" s="55" t="n">
        <f aca="false">MAX(0,$C$16-C170)</f>
        <v>5822</v>
      </c>
      <c r="E170" s="55" t="n">
        <f aca="false">ROUND(MAX(0,E169+F169-I169),2)</f>
        <v>0</v>
      </c>
      <c r="F170" s="55" t="n">
        <f aca="false">ROUND(E170*$E$5/12,2)</f>
        <v>0</v>
      </c>
      <c r="G170" s="55" t="n">
        <f aca="false">MIN($F$5,E170+F170)</f>
        <v>0</v>
      </c>
      <c r="H170" s="55" t="n">
        <f aca="false">MAX(0,MIN(E170+F170-G170,$D170))</f>
        <v>0</v>
      </c>
      <c r="I170" s="55" t="n">
        <f aca="false">G170+H170</f>
        <v>0</v>
      </c>
      <c r="J170" s="55" t="n">
        <f aca="false">ROUND(MAX(0,J169+K169-N169),2)</f>
        <v>0</v>
      </c>
      <c r="K170" s="55" t="n">
        <f aca="false">ROUND(J170*$E$6/12,2)</f>
        <v>0</v>
      </c>
      <c r="L170" s="55" t="n">
        <f aca="false">MIN($F$6,J170+K170)</f>
        <v>0</v>
      </c>
      <c r="M170" s="55" t="n">
        <f aca="false">MAX(0,MIN(J170+K170-L170,$D170-(H170)))</f>
        <v>0</v>
      </c>
      <c r="N170" s="55" t="n">
        <f aca="false">L170+M170</f>
        <v>0</v>
      </c>
      <c r="O170" s="55" t="n">
        <f aca="false">ROUND(MAX(0,O169+P169-S169),2)</f>
        <v>0</v>
      </c>
      <c r="P170" s="55" t="n">
        <f aca="false">ROUND(O170*$E$7/12,2)</f>
        <v>0</v>
      </c>
      <c r="Q170" s="55" t="n">
        <f aca="false">MIN($F$7,O170+P170)</f>
        <v>0</v>
      </c>
      <c r="R170" s="55" t="n">
        <f aca="false">MAX(0,MIN(O170+P170-Q170,$D170-(H170+M170)))</f>
        <v>0</v>
      </c>
      <c r="S170" s="55" t="n">
        <f aca="false">Q170+R170</f>
        <v>0</v>
      </c>
      <c r="T170" s="55" t="n">
        <f aca="false">ROUND(MAX(0,T169+U169-X169),2)</f>
        <v>0</v>
      </c>
      <c r="U170" s="55" t="n">
        <f aca="false">ROUND(T170*$E$8/12,2)</f>
        <v>0</v>
      </c>
      <c r="V170" s="55" t="n">
        <f aca="false">MIN($F$8,T170+U170)</f>
        <v>0</v>
      </c>
      <c r="W170" s="55" t="n">
        <f aca="false">MAX(0,MIN(T170+U170-V170,$D170-(H170+M170+R170)))</f>
        <v>0</v>
      </c>
      <c r="X170" s="55" t="n">
        <f aca="false">V170+W170</f>
        <v>0</v>
      </c>
      <c r="Y170" s="55" t="n">
        <f aca="false">ROUND(MAX(0,Y169+Z169-AC169),2)</f>
        <v>0</v>
      </c>
      <c r="Z170" s="55" t="n">
        <f aca="false">ROUND(Y170*$E$9/12,2)</f>
        <v>0</v>
      </c>
      <c r="AA170" s="55" t="n">
        <f aca="false">MIN($F$9,Y170+Z170)</f>
        <v>0</v>
      </c>
      <c r="AB170" s="55" t="n">
        <f aca="false">MAX(0,MIN(Y170+Z170-AA170,$D170-(H170+M170+R170+W170)))</f>
        <v>0</v>
      </c>
      <c r="AC170" s="55" t="n">
        <f aca="false">AA170+AB170</f>
        <v>0</v>
      </c>
      <c r="AD170" s="55" t="n">
        <f aca="false">ROUND(MAX(0,AD169+AE169-AH169),2)</f>
        <v>0</v>
      </c>
      <c r="AE170" s="55" t="n">
        <f aca="false">ROUND(AD170*$E$10/12,2)</f>
        <v>0</v>
      </c>
      <c r="AF170" s="55" t="n">
        <f aca="false">MIN($F$10,AD170+AE170)</f>
        <v>0</v>
      </c>
      <c r="AG170" s="55" t="n">
        <f aca="false">MAX(0,MIN(AD170+AE170-AF170,$D170-(H170+M170+R170+W170+AB170)))</f>
        <v>0</v>
      </c>
      <c r="AH170" s="55" t="n">
        <f aca="false">AF170+AG170</f>
        <v>0</v>
      </c>
      <c r="AI170" s="55" t="n">
        <f aca="false">ROUND(MAX(0,AI169+AJ169-AM169),2)</f>
        <v>0</v>
      </c>
      <c r="AJ170" s="55" t="n">
        <f aca="false">ROUND(AI170*$E$11/12,2)</f>
        <v>0</v>
      </c>
      <c r="AK170" s="55" t="n">
        <f aca="false">MIN($F$11,AI170+AJ170)</f>
        <v>0</v>
      </c>
      <c r="AL170" s="55" t="n">
        <f aca="false">MAX(0,MIN(AI170+AJ170-AK170,$D170-(H170+M170+R170+W170+AB170+AG170)))</f>
        <v>0</v>
      </c>
      <c r="AM170" s="55" t="n">
        <f aca="false">AK170+AL170</f>
        <v>0</v>
      </c>
      <c r="AN170" s="55" t="n">
        <f aca="false">ROUND(MAX(0,AN169+AO169-AR169),2)</f>
        <v>0</v>
      </c>
      <c r="AO170" s="55" t="n">
        <f aca="false">ROUND(AN170*$E$12/12,2)</f>
        <v>0</v>
      </c>
      <c r="AP170" s="55" t="n">
        <f aca="false">MIN($F$12,AN170+AO170)</f>
        <v>0</v>
      </c>
      <c r="AQ170" s="55" t="n">
        <f aca="false">MAX(0,MIN(AN170+AO170-AP170,$D170-(H170+M170+R170+W170+AB170+AG170+AL170)))</f>
        <v>0</v>
      </c>
      <c r="AR170" s="55" t="n">
        <f aca="false">AP170+AQ170</f>
        <v>0</v>
      </c>
      <c r="AS170" s="55" t="n">
        <f aca="false">ROUND(MAX(0,AS169+AT169-AW169),2)</f>
        <v>0</v>
      </c>
      <c r="AT170" s="55" t="n">
        <f aca="false">ROUND(AS170*$E$13/12,2)</f>
        <v>0</v>
      </c>
      <c r="AU170" s="55" t="n">
        <f aca="false">MIN($F$13,AS170+AT170)</f>
        <v>0</v>
      </c>
      <c r="AV170" s="55" t="n">
        <f aca="false">MAX(0,MIN(AS170+AT170-AU170,$D170-(H170+M170+R170+W170+AB170+AG170+AL170+AQ170)))</f>
        <v>0</v>
      </c>
      <c r="AW170" s="55" t="n">
        <f aca="false">AU170+AV170</f>
        <v>0</v>
      </c>
      <c r="AX170" s="55" t="n">
        <f aca="false">ROUND(MAX(0,AX169+AY169-BB169),2)</f>
        <v>0</v>
      </c>
      <c r="AY170" s="55" t="n">
        <f aca="false">ROUND(AX170*$E$14/12,2)</f>
        <v>0</v>
      </c>
      <c r="AZ170" s="55" t="n">
        <f aca="false">MIN($F$14,AX170+AY170)</f>
        <v>0</v>
      </c>
      <c r="BA170" s="55" t="n">
        <f aca="false">MAX(0,MIN(AX170+AY170-AZ170,$D170-(H170+M170+R170+W170+AB170+AG170+AL170+AQ170+AV170)))</f>
        <v>0</v>
      </c>
      <c r="BB170" s="55" t="n">
        <f aca="false">AZ170+BA170</f>
        <v>0</v>
      </c>
      <c r="BC170" s="55" t="n">
        <f aca="false">I170+N170+S170+X170+AC170+AH170+AM170+AR170+AW170+BB170</f>
        <v>0</v>
      </c>
      <c r="BD170" s="55" t="n">
        <f aca="false">ROUND((E170+F170-I170)+(J170+K170-N170)+(O170+P170-S170)+(T170+U170-X170)+(Y170+Z170-AC170)+(AD170+AE170-AH170)+(AI170+AJ170-AM170)+(AN170+AO170-AR170)+(AS170+AT170-AW170)+(AX170+AY170-BB170),2)</f>
        <v>0</v>
      </c>
      <c r="BE170" s="25" t="str">
        <f aca="false">IF(H170&gt;0.005,$C$5,IF(M170&gt;0.005,$C$6,IF(R170&gt;0.005,$C$7,IF(W170&gt;0.005,$C$8,IF(AB170&gt;0.005,$C$9,IF(AG170&gt;0.005,$C$10,IF(AL170&gt;0.005,$C$11,IF(AQ170&gt;0.005,$C$12,IF(AV170&gt;0.005,$C$13,IF(BA170&gt;0.005,$C$14,""))))))))))</f>
        <v/>
      </c>
    </row>
    <row r="171" customFormat="false" ht="15" hidden="false" customHeight="false" outlineLevel="0" collapsed="false">
      <c r="A171" s="24" t="n">
        <v>148</v>
      </c>
      <c r="B171" s="54" t="n">
        <f aca="false">EDATE($C$17,A171-1)</f>
        <v>50802</v>
      </c>
      <c r="C171" s="55" t="n">
        <f aca="false">G171+L171+Q171+V171+AA171+AF171+AK171+AP171+AU171+AZ171</f>
        <v>0</v>
      </c>
      <c r="D171" s="55" t="n">
        <f aca="false">MAX(0,$C$16-C171)</f>
        <v>5822</v>
      </c>
      <c r="E171" s="55" t="n">
        <f aca="false">ROUND(MAX(0,E170+F170-I170),2)</f>
        <v>0</v>
      </c>
      <c r="F171" s="55" t="n">
        <f aca="false">ROUND(E171*$E$5/12,2)</f>
        <v>0</v>
      </c>
      <c r="G171" s="55" t="n">
        <f aca="false">MIN($F$5,E171+F171)</f>
        <v>0</v>
      </c>
      <c r="H171" s="55" t="n">
        <f aca="false">MAX(0,MIN(E171+F171-G171,$D171))</f>
        <v>0</v>
      </c>
      <c r="I171" s="55" t="n">
        <f aca="false">G171+H171</f>
        <v>0</v>
      </c>
      <c r="J171" s="55" t="n">
        <f aca="false">ROUND(MAX(0,J170+K170-N170),2)</f>
        <v>0</v>
      </c>
      <c r="K171" s="55" t="n">
        <f aca="false">ROUND(J171*$E$6/12,2)</f>
        <v>0</v>
      </c>
      <c r="L171" s="55" t="n">
        <f aca="false">MIN($F$6,J171+K171)</f>
        <v>0</v>
      </c>
      <c r="M171" s="55" t="n">
        <f aca="false">MAX(0,MIN(J171+K171-L171,$D171-(H171)))</f>
        <v>0</v>
      </c>
      <c r="N171" s="55" t="n">
        <f aca="false">L171+M171</f>
        <v>0</v>
      </c>
      <c r="O171" s="55" t="n">
        <f aca="false">ROUND(MAX(0,O170+P170-S170),2)</f>
        <v>0</v>
      </c>
      <c r="P171" s="55" t="n">
        <f aca="false">ROUND(O171*$E$7/12,2)</f>
        <v>0</v>
      </c>
      <c r="Q171" s="55" t="n">
        <f aca="false">MIN($F$7,O171+P171)</f>
        <v>0</v>
      </c>
      <c r="R171" s="55" t="n">
        <f aca="false">MAX(0,MIN(O171+P171-Q171,$D171-(H171+M171)))</f>
        <v>0</v>
      </c>
      <c r="S171" s="55" t="n">
        <f aca="false">Q171+R171</f>
        <v>0</v>
      </c>
      <c r="T171" s="55" t="n">
        <f aca="false">ROUND(MAX(0,T170+U170-X170),2)</f>
        <v>0</v>
      </c>
      <c r="U171" s="55" t="n">
        <f aca="false">ROUND(T171*$E$8/12,2)</f>
        <v>0</v>
      </c>
      <c r="V171" s="55" t="n">
        <f aca="false">MIN($F$8,T171+U171)</f>
        <v>0</v>
      </c>
      <c r="W171" s="55" t="n">
        <f aca="false">MAX(0,MIN(T171+U171-V171,$D171-(H171+M171+R171)))</f>
        <v>0</v>
      </c>
      <c r="X171" s="55" t="n">
        <f aca="false">V171+W171</f>
        <v>0</v>
      </c>
      <c r="Y171" s="55" t="n">
        <f aca="false">ROUND(MAX(0,Y170+Z170-AC170),2)</f>
        <v>0</v>
      </c>
      <c r="Z171" s="55" t="n">
        <f aca="false">ROUND(Y171*$E$9/12,2)</f>
        <v>0</v>
      </c>
      <c r="AA171" s="55" t="n">
        <f aca="false">MIN($F$9,Y171+Z171)</f>
        <v>0</v>
      </c>
      <c r="AB171" s="55" t="n">
        <f aca="false">MAX(0,MIN(Y171+Z171-AA171,$D171-(H171+M171+R171+W171)))</f>
        <v>0</v>
      </c>
      <c r="AC171" s="55" t="n">
        <f aca="false">AA171+AB171</f>
        <v>0</v>
      </c>
      <c r="AD171" s="55" t="n">
        <f aca="false">ROUND(MAX(0,AD170+AE170-AH170),2)</f>
        <v>0</v>
      </c>
      <c r="AE171" s="55" t="n">
        <f aca="false">ROUND(AD171*$E$10/12,2)</f>
        <v>0</v>
      </c>
      <c r="AF171" s="55" t="n">
        <f aca="false">MIN($F$10,AD171+AE171)</f>
        <v>0</v>
      </c>
      <c r="AG171" s="55" t="n">
        <f aca="false">MAX(0,MIN(AD171+AE171-AF171,$D171-(H171+M171+R171+W171+AB171)))</f>
        <v>0</v>
      </c>
      <c r="AH171" s="55" t="n">
        <f aca="false">AF171+AG171</f>
        <v>0</v>
      </c>
      <c r="AI171" s="55" t="n">
        <f aca="false">ROUND(MAX(0,AI170+AJ170-AM170),2)</f>
        <v>0</v>
      </c>
      <c r="AJ171" s="55" t="n">
        <f aca="false">ROUND(AI171*$E$11/12,2)</f>
        <v>0</v>
      </c>
      <c r="AK171" s="55" t="n">
        <f aca="false">MIN($F$11,AI171+AJ171)</f>
        <v>0</v>
      </c>
      <c r="AL171" s="55" t="n">
        <f aca="false">MAX(0,MIN(AI171+AJ171-AK171,$D171-(H171+M171+R171+W171+AB171+AG171)))</f>
        <v>0</v>
      </c>
      <c r="AM171" s="55" t="n">
        <f aca="false">AK171+AL171</f>
        <v>0</v>
      </c>
      <c r="AN171" s="55" t="n">
        <f aca="false">ROUND(MAX(0,AN170+AO170-AR170),2)</f>
        <v>0</v>
      </c>
      <c r="AO171" s="55" t="n">
        <f aca="false">ROUND(AN171*$E$12/12,2)</f>
        <v>0</v>
      </c>
      <c r="AP171" s="55" t="n">
        <f aca="false">MIN($F$12,AN171+AO171)</f>
        <v>0</v>
      </c>
      <c r="AQ171" s="55" t="n">
        <f aca="false">MAX(0,MIN(AN171+AO171-AP171,$D171-(H171+M171+R171+W171+AB171+AG171+AL171)))</f>
        <v>0</v>
      </c>
      <c r="AR171" s="55" t="n">
        <f aca="false">AP171+AQ171</f>
        <v>0</v>
      </c>
      <c r="AS171" s="55" t="n">
        <f aca="false">ROUND(MAX(0,AS170+AT170-AW170),2)</f>
        <v>0</v>
      </c>
      <c r="AT171" s="55" t="n">
        <f aca="false">ROUND(AS171*$E$13/12,2)</f>
        <v>0</v>
      </c>
      <c r="AU171" s="55" t="n">
        <f aca="false">MIN($F$13,AS171+AT171)</f>
        <v>0</v>
      </c>
      <c r="AV171" s="55" t="n">
        <f aca="false">MAX(0,MIN(AS171+AT171-AU171,$D171-(H171+M171+R171+W171+AB171+AG171+AL171+AQ171)))</f>
        <v>0</v>
      </c>
      <c r="AW171" s="55" t="n">
        <f aca="false">AU171+AV171</f>
        <v>0</v>
      </c>
      <c r="AX171" s="55" t="n">
        <f aca="false">ROUND(MAX(0,AX170+AY170-BB170),2)</f>
        <v>0</v>
      </c>
      <c r="AY171" s="55" t="n">
        <f aca="false">ROUND(AX171*$E$14/12,2)</f>
        <v>0</v>
      </c>
      <c r="AZ171" s="55" t="n">
        <f aca="false">MIN($F$14,AX171+AY171)</f>
        <v>0</v>
      </c>
      <c r="BA171" s="55" t="n">
        <f aca="false">MAX(0,MIN(AX171+AY171-AZ171,$D171-(H171+M171+R171+W171+AB171+AG171+AL171+AQ171+AV171)))</f>
        <v>0</v>
      </c>
      <c r="BB171" s="55" t="n">
        <f aca="false">AZ171+BA171</f>
        <v>0</v>
      </c>
      <c r="BC171" s="55" t="n">
        <f aca="false">I171+N171+S171+X171+AC171+AH171+AM171+AR171+AW171+BB171</f>
        <v>0</v>
      </c>
      <c r="BD171" s="55" t="n">
        <f aca="false">ROUND((E171+F171-I171)+(J171+K171-N171)+(O171+P171-S171)+(T171+U171-X171)+(Y171+Z171-AC171)+(AD171+AE171-AH171)+(AI171+AJ171-AM171)+(AN171+AO171-AR171)+(AS171+AT171-AW171)+(AX171+AY171-BB171),2)</f>
        <v>0</v>
      </c>
      <c r="BE171" s="25" t="str">
        <f aca="false">IF(H171&gt;0.005,$C$5,IF(M171&gt;0.005,$C$6,IF(R171&gt;0.005,$C$7,IF(W171&gt;0.005,$C$8,IF(AB171&gt;0.005,$C$9,IF(AG171&gt;0.005,$C$10,IF(AL171&gt;0.005,$C$11,IF(AQ171&gt;0.005,$C$12,IF(AV171&gt;0.005,$C$13,IF(BA171&gt;0.005,$C$14,""))))))))))</f>
        <v/>
      </c>
    </row>
    <row r="172" customFormat="false" ht="15" hidden="false" customHeight="false" outlineLevel="0" collapsed="false">
      <c r="A172" s="24" t="n">
        <v>149</v>
      </c>
      <c r="B172" s="54" t="n">
        <f aca="false">EDATE($C$17,A172-1)</f>
        <v>50830</v>
      </c>
      <c r="C172" s="55" t="n">
        <f aca="false">G172+L172+Q172+V172+AA172+AF172+AK172+AP172+AU172+AZ172</f>
        <v>0</v>
      </c>
      <c r="D172" s="55" t="n">
        <f aca="false">MAX(0,$C$16-C172)</f>
        <v>5822</v>
      </c>
      <c r="E172" s="55" t="n">
        <f aca="false">ROUND(MAX(0,E171+F171-I171),2)</f>
        <v>0</v>
      </c>
      <c r="F172" s="55" t="n">
        <f aca="false">ROUND(E172*$E$5/12,2)</f>
        <v>0</v>
      </c>
      <c r="G172" s="55" t="n">
        <f aca="false">MIN($F$5,E172+F172)</f>
        <v>0</v>
      </c>
      <c r="H172" s="55" t="n">
        <f aca="false">MAX(0,MIN(E172+F172-G172,$D172))</f>
        <v>0</v>
      </c>
      <c r="I172" s="55" t="n">
        <f aca="false">G172+H172</f>
        <v>0</v>
      </c>
      <c r="J172" s="55" t="n">
        <f aca="false">ROUND(MAX(0,J171+K171-N171),2)</f>
        <v>0</v>
      </c>
      <c r="K172" s="55" t="n">
        <f aca="false">ROUND(J172*$E$6/12,2)</f>
        <v>0</v>
      </c>
      <c r="L172" s="55" t="n">
        <f aca="false">MIN($F$6,J172+K172)</f>
        <v>0</v>
      </c>
      <c r="M172" s="55" t="n">
        <f aca="false">MAX(0,MIN(J172+K172-L172,$D172-(H172)))</f>
        <v>0</v>
      </c>
      <c r="N172" s="55" t="n">
        <f aca="false">L172+M172</f>
        <v>0</v>
      </c>
      <c r="O172" s="55" t="n">
        <f aca="false">ROUND(MAX(0,O171+P171-S171),2)</f>
        <v>0</v>
      </c>
      <c r="P172" s="55" t="n">
        <f aca="false">ROUND(O172*$E$7/12,2)</f>
        <v>0</v>
      </c>
      <c r="Q172" s="55" t="n">
        <f aca="false">MIN($F$7,O172+P172)</f>
        <v>0</v>
      </c>
      <c r="R172" s="55" t="n">
        <f aca="false">MAX(0,MIN(O172+P172-Q172,$D172-(H172+M172)))</f>
        <v>0</v>
      </c>
      <c r="S172" s="55" t="n">
        <f aca="false">Q172+R172</f>
        <v>0</v>
      </c>
      <c r="T172" s="55" t="n">
        <f aca="false">ROUND(MAX(0,T171+U171-X171),2)</f>
        <v>0</v>
      </c>
      <c r="U172" s="55" t="n">
        <f aca="false">ROUND(T172*$E$8/12,2)</f>
        <v>0</v>
      </c>
      <c r="V172" s="55" t="n">
        <f aca="false">MIN($F$8,T172+U172)</f>
        <v>0</v>
      </c>
      <c r="W172" s="55" t="n">
        <f aca="false">MAX(0,MIN(T172+U172-V172,$D172-(H172+M172+R172)))</f>
        <v>0</v>
      </c>
      <c r="X172" s="55" t="n">
        <f aca="false">V172+W172</f>
        <v>0</v>
      </c>
      <c r="Y172" s="55" t="n">
        <f aca="false">ROUND(MAX(0,Y171+Z171-AC171),2)</f>
        <v>0</v>
      </c>
      <c r="Z172" s="55" t="n">
        <f aca="false">ROUND(Y172*$E$9/12,2)</f>
        <v>0</v>
      </c>
      <c r="AA172" s="55" t="n">
        <f aca="false">MIN($F$9,Y172+Z172)</f>
        <v>0</v>
      </c>
      <c r="AB172" s="55" t="n">
        <f aca="false">MAX(0,MIN(Y172+Z172-AA172,$D172-(H172+M172+R172+W172)))</f>
        <v>0</v>
      </c>
      <c r="AC172" s="55" t="n">
        <f aca="false">AA172+AB172</f>
        <v>0</v>
      </c>
      <c r="AD172" s="55" t="n">
        <f aca="false">ROUND(MAX(0,AD171+AE171-AH171),2)</f>
        <v>0</v>
      </c>
      <c r="AE172" s="55" t="n">
        <f aca="false">ROUND(AD172*$E$10/12,2)</f>
        <v>0</v>
      </c>
      <c r="AF172" s="55" t="n">
        <f aca="false">MIN($F$10,AD172+AE172)</f>
        <v>0</v>
      </c>
      <c r="AG172" s="55" t="n">
        <f aca="false">MAX(0,MIN(AD172+AE172-AF172,$D172-(H172+M172+R172+W172+AB172)))</f>
        <v>0</v>
      </c>
      <c r="AH172" s="55" t="n">
        <f aca="false">AF172+AG172</f>
        <v>0</v>
      </c>
      <c r="AI172" s="55" t="n">
        <f aca="false">ROUND(MAX(0,AI171+AJ171-AM171),2)</f>
        <v>0</v>
      </c>
      <c r="AJ172" s="55" t="n">
        <f aca="false">ROUND(AI172*$E$11/12,2)</f>
        <v>0</v>
      </c>
      <c r="AK172" s="55" t="n">
        <f aca="false">MIN($F$11,AI172+AJ172)</f>
        <v>0</v>
      </c>
      <c r="AL172" s="55" t="n">
        <f aca="false">MAX(0,MIN(AI172+AJ172-AK172,$D172-(H172+M172+R172+W172+AB172+AG172)))</f>
        <v>0</v>
      </c>
      <c r="AM172" s="55" t="n">
        <f aca="false">AK172+AL172</f>
        <v>0</v>
      </c>
      <c r="AN172" s="55" t="n">
        <f aca="false">ROUND(MAX(0,AN171+AO171-AR171),2)</f>
        <v>0</v>
      </c>
      <c r="AO172" s="55" t="n">
        <f aca="false">ROUND(AN172*$E$12/12,2)</f>
        <v>0</v>
      </c>
      <c r="AP172" s="55" t="n">
        <f aca="false">MIN($F$12,AN172+AO172)</f>
        <v>0</v>
      </c>
      <c r="AQ172" s="55" t="n">
        <f aca="false">MAX(0,MIN(AN172+AO172-AP172,$D172-(H172+M172+R172+W172+AB172+AG172+AL172)))</f>
        <v>0</v>
      </c>
      <c r="AR172" s="55" t="n">
        <f aca="false">AP172+AQ172</f>
        <v>0</v>
      </c>
      <c r="AS172" s="55" t="n">
        <f aca="false">ROUND(MAX(0,AS171+AT171-AW171),2)</f>
        <v>0</v>
      </c>
      <c r="AT172" s="55" t="n">
        <f aca="false">ROUND(AS172*$E$13/12,2)</f>
        <v>0</v>
      </c>
      <c r="AU172" s="55" t="n">
        <f aca="false">MIN($F$13,AS172+AT172)</f>
        <v>0</v>
      </c>
      <c r="AV172" s="55" t="n">
        <f aca="false">MAX(0,MIN(AS172+AT172-AU172,$D172-(H172+M172+R172+W172+AB172+AG172+AL172+AQ172)))</f>
        <v>0</v>
      </c>
      <c r="AW172" s="55" t="n">
        <f aca="false">AU172+AV172</f>
        <v>0</v>
      </c>
      <c r="AX172" s="55" t="n">
        <f aca="false">ROUND(MAX(0,AX171+AY171-BB171),2)</f>
        <v>0</v>
      </c>
      <c r="AY172" s="55" t="n">
        <f aca="false">ROUND(AX172*$E$14/12,2)</f>
        <v>0</v>
      </c>
      <c r="AZ172" s="55" t="n">
        <f aca="false">MIN($F$14,AX172+AY172)</f>
        <v>0</v>
      </c>
      <c r="BA172" s="55" t="n">
        <f aca="false">MAX(0,MIN(AX172+AY172-AZ172,$D172-(H172+M172+R172+W172+AB172+AG172+AL172+AQ172+AV172)))</f>
        <v>0</v>
      </c>
      <c r="BB172" s="55" t="n">
        <f aca="false">AZ172+BA172</f>
        <v>0</v>
      </c>
      <c r="BC172" s="55" t="n">
        <f aca="false">I172+N172+S172+X172+AC172+AH172+AM172+AR172+AW172+BB172</f>
        <v>0</v>
      </c>
      <c r="BD172" s="55" t="n">
        <f aca="false">ROUND((E172+F172-I172)+(J172+K172-N172)+(O172+P172-S172)+(T172+U172-X172)+(Y172+Z172-AC172)+(AD172+AE172-AH172)+(AI172+AJ172-AM172)+(AN172+AO172-AR172)+(AS172+AT172-AW172)+(AX172+AY172-BB172),2)</f>
        <v>0</v>
      </c>
      <c r="BE172" s="25" t="str">
        <f aca="false">IF(H172&gt;0.005,$C$5,IF(M172&gt;0.005,$C$6,IF(R172&gt;0.005,$C$7,IF(W172&gt;0.005,$C$8,IF(AB172&gt;0.005,$C$9,IF(AG172&gt;0.005,$C$10,IF(AL172&gt;0.005,$C$11,IF(AQ172&gt;0.005,$C$12,IF(AV172&gt;0.005,$C$13,IF(BA172&gt;0.005,$C$14,""))))))))))</f>
        <v/>
      </c>
    </row>
    <row r="173" customFormat="false" ht="15" hidden="false" customHeight="false" outlineLevel="0" collapsed="false">
      <c r="A173" s="24" t="n">
        <v>150</v>
      </c>
      <c r="B173" s="54" t="n">
        <f aca="false">EDATE($C$17,A173-1)</f>
        <v>50861</v>
      </c>
      <c r="C173" s="55" t="n">
        <f aca="false">G173+L173+Q173+V173+AA173+AF173+AK173+AP173+AU173+AZ173</f>
        <v>0</v>
      </c>
      <c r="D173" s="55" t="n">
        <f aca="false">MAX(0,$C$16-C173)</f>
        <v>5822</v>
      </c>
      <c r="E173" s="55" t="n">
        <f aca="false">ROUND(MAX(0,E172+F172-I172),2)</f>
        <v>0</v>
      </c>
      <c r="F173" s="55" t="n">
        <f aca="false">ROUND(E173*$E$5/12,2)</f>
        <v>0</v>
      </c>
      <c r="G173" s="55" t="n">
        <f aca="false">MIN($F$5,E173+F173)</f>
        <v>0</v>
      </c>
      <c r="H173" s="55" t="n">
        <f aca="false">MAX(0,MIN(E173+F173-G173,$D173))</f>
        <v>0</v>
      </c>
      <c r="I173" s="55" t="n">
        <f aca="false">G173+H173</f>
        <v>0</v>
      </c>
      <c r="J173" s="55" t="n">
        <f aca="false">ROUND(MAX(0,J172+K172-N172),2)</f>
        <v>0</v>
      </c>
      <c r="K173" s="55" t="n">
        <f aca="false">ROUND(J173*$E$6/12,2)</f>
        <v>0</v>
      </c>
      <c r="L173" s="55" t="n">
        <f aca="false">MIN($F$6,J173+K173)</f>
        <v>0</v>
      </c>
      <c r="M173" s="55" t="n">
        <f aca="false">MAX(0,MIN(J173+K173-L173,$D173-(H173)))</f>
        <v>0</v>
      </c>
      <c r="N173" s="55" t="n">
        <f aca="false">L173+M173</f>
        <v>0</v>
      </c>
      <c r="O173" s="55" t="n">
        <f aca="false">ROUND(MAX(0,O172+P172-S172),2)</f>
        <v>0</v>
      </c>
      <c r="P173" s="55" t="n">
        <f aca="false">ROUND(O173*$E$7/12,2)</f>
        <v>0</v>
      </c>
      <c r="Q173" s="55" t="n">
        <f aca="false">MIN($F$7,O173+P173)</f>
        <v>0</v>
      </c>
      <c r="R173" s="55" t="n">
        <f aca="false">MAX(0,MIN(O173+P173-Q173,$D173-(H173+M173)))</f>
        <v>0</v>
      </c>
      <c r="S173" s="55" t="n">
        <f aca="false">Q173+R173</f>
        <v>0</v>
      </c>
      <c r="T173" s="55" t="n">
        <f aca="false">ROUND(MAX(0,T172+U172-X172),2)</f>
        <v>0</v>
      </c>
      <c r="U173" s="55" t="n">
        <f aca="false">ROUND(T173*$E$8/12,2)</f>
        <v>0</v>
      </c>
      <c r="V173" s="55" t="n">
        <f aca="false">MIN($F$8,T173+U173)</f>
        <v>0</v>
      </c>
      <c r="W173" s="55" t="n">
        <f aca="false">MAX(0,MIN(T173+U173-V173,$D173-(H173+M173+R173)))</f>
        <v>0</v>
      </c>
      <c r="X173" s="55" t="n">
        <f aca="false">V173+W173</f>
        <v>0</v>
      </c>
      <c r="Y173" s="55" t="n">
        <f aca="false">ROUND(MAX(0,Y172+Z172-AC172),2)</f>
        <v>0</v>
      </c>
      <c r="Z173" s="55" t="n">
        <f aca="false">ROUND(Y173*$E$9/12,2)</f>
        <v>0</v>
      </c>
      <c r="AA173" s="55" t="n">
        <f aca="false">MIN($F$9,Y173+Z173)</f>
        <v>0</v>
      </c>
      <c r="AB173" s="55" t="n">
        <f aca="false">MAX(0,MIN(Y173+Z173-AA173,$D173-(H173+M173+R173+W173)))</f>
        <v>0</v>
      </c>
      <c r="AC173" s="55" t="n">
        <f aca="false">AA173+AB173</f>
        <v>0</v>
      </c>
      <c r="AD173" s="55" t="n">
        <f aca="false">ROUND(MAX(0,AD172+AE172-AH172),2)</f>
        <v>0</v>
      </c>
      <c r="AE173" s="55" t="n">
        <f aca="false">ROUND(AD173*$E$10/12,2)</f>
        <v>0</v>
      </c>
      <c r="AF173" s="55" t="n">
        <f aca="false">MIN($F$10,AD173+AE173)</f>
        <v>0</v>
      </c>
      <c r="AG173" s="55" t="n">
        <f aca="false">MAX(0,MIN(AD173+AE173-AF173,$D173-(H173+M173+R173+W173+AB173)))</f>
        <v>0</v>
      </c>
      <c r="AH173" s="55" t="n">
        <f aca="false">AF173+AG173</f>
        <v>0</v>
      </c>
      <c r="AI173" s="55" t="n">
        <f aca="false">ROUND(MAX(0,AI172+AJ172-AM172),2)</f>
        <v>0</v>
      </c>
      <c r="AJ173" s="55" t="n">
        <f aca="false">ROUND(AI173*$E$11/12,2)</f>
        <v>0</v>
      </c>
      <c r="AK173" s="55" t="n">
        <f aca="false">MIN($F$11,AI173+AJ173)</f>
        <v>0</v>
      </c>
      <c r="AL173" s="55" t="n">
        <f aca="false">MAX(0,MIN(AI173+AJ173-AK173,$D173-(H173+M173+R173+W173+AB173+AG173)))</f>
        <v>0</v>
      </c>
      <c r="AM173" s="55" t="n">
        <f aca="false">AK173+AL173</f>
        <v>0</v>
      </c>
      <c r="AN173" s="55" t="n">
        <f aca="false">ROUND(MAX(0,AN172+AO172-AR172),2)</f>
        <v>0</v>
      </c>
      <c r="AO173" s="55" t="n">
        <f aca="false">ROUND(AN173*$E$12/12,2)</f>
        <v>0</v>
      </c>
      <c r="AP173" s="55" t="n">
        <f aca="false">MIN($F$12,AN173+AO173)</f>
        <v>0</v>
      </c>
      <c r="AQ173" s="55" t="n">
        <f aca="false">MAX(0,MIN(AN173+AO173-AP173,$D173-(H173+M173+R173+W173+AB173+AG173+AL173)))</f>
        <v>0</v>
      </c>
      <c r="AR173" s="55" t="n">
        <f aca="false">AP173+AQ173</f>
        <v>0</v>
      </c>
      <c r="AS173" s="55" t="n">
        <f aca="false">ROUND(MAX(0,AS172+AT172-AW172),2)</f>
        <v>0</v>
      </c>
      <c r="AT173" s="55" t="n">
        <f aca="false">ROUND(AS173*$E$13/12,2)</f>
        <v>0</v>
      </c>
      <c r="AU173" s="55" t="n">
        <f aca="false">MIN($F$13,AS173+AT173)</f>
        <v>0</v>
      </c>
      <c r="AV173" s="55" t="n">
        <f aca="false">MAX(0,MIN(AS173+AT173-AU173,$D173-(H173+M173+R173+W173+AB173+AG173+AL173+AQ173)))</f>
        <v>0</v>
      </c>
      <c r="AW173" s="55" t="n">
        <f aca="false">AU173+AV173</f>
        <v>0</v>
      </c>
      <c r="AX173" s="55" t="n">
        <f aca="false">ROUND(MAX(0,AX172+AY172-BB172),2)</f>
        <v>0</v>
      </c>
      <c r="AY173" s="55" t="n">
        <f aca="false">ROUND(AX173*$E$14/12,2)</f>
        <v>0</v>
      </c>
      <c r="AZ173" s="55" t="n">
        <f aca="false">MIN($F$14,AX173+AY173)</f>
        <v>0</v>
      </c>
      <c r="BA173" s="55" t="n">
        <f aca="false">MAX(0,MIN(AX173+AY173-AZ173,$D173-(H173+M173+R173+W173+AB173+AG173+AL173+AQ173+AV173)))</f>
        <v>0</v>
      </c>
      <c r="BB173" s="55" t="n">
        <f aca="false">AZ173+BA173</f>
        <v>0</v>
      </c>
      <c r="BC173" s="55" t="n">
        <f aca="false">I173+N173+S173+X173+AC173+AH173+AM173+AR173+AW173+BB173</f>
        <v>0</v>
      </c>
      <c r="BD173" s="55" t="n">
        <f aca="false">ROUND((E173+F173-I173)+(J173+K173-N173)+(O173+P173-S173)+(T173+U173-X173)+(Y173+Z173-AC173)+(AD173+AE173-AH173)+(AI173+AJ173-AM173)+(AN173+AO173-AR173)+(AS173+AT173-AW173)+(AX173+AY173-BB173),2)</f>
        <v>0</v>
      </c>
      <c r="BE173" s="25" t="str">
        <f aca="false">IF(H173&gt;0.005,$C$5,IF(M173&gt;0.005,$C$6,IF(R173&gt;0.005,$C$7,IF(W173&gt;0.005,$C$8,IF(AB173&gt;0.005,$C$9,IF(AG173&gt;0.005,$C$10,IF(AL173&gt;0.005,$C$11,IF(AQ173&gt;0.005,$C$12,IF(AV173&gt;0.005,$C$13,IF(BA173&gt;0.005,$C$14,""))))))))))</f>
        <v/>
      </c>
    </row>
    <row r="174" customFormat="false" ht="15" hidden="false" customHeight="false" outlineLevel="0" collapsed="false">
      <c r="A174" s="24" t="n">
        <v>151</v>
      </c>
      <c r="B174" s="54" t="n">
        <f aca="false">EDATE($C$17,A174-1)</f>
        <v>50891</v>
      </c>
      <c r="C174" s="55" t="n">
        <f aca="false">G174+L174+Q174+V174+AA174+AF174+AK174+AP174+AU174+AZ174</f>
        <v>0</v>
      </c>
      <c r="D174" s="55" t="n">
        <f aca="false">MAX(0,$C$16-C174)</f>
        <v>5822</v>
      </c>
      <c r="E174" s="55" t="n">
        <f aca="false">ROUND(MAX(0,E173+F173-I173),2)</f>
        <v>0</v>
      </c>
      <c r="F174" s="55" t="n">
        <f aca="false">ROUND(E174*$E$5/12,2)</f>
        <v>0</v>
      </c>
      <c r="G174" s="55" t="n">
        <f aca="false">MIN($F$5,E174+F174)</f>
        <v>0</v>
      </c>
      <c r="H174" s="55" t="n">
        <f aca="false">MAX(0,MIN(E174+F174-G174,$D174))</f>
        <v>0</v>
      </c>
      <c r="I174" s="55" t="n">
        <f aca="false">G174+H174</f>
        <v>0</v>
      </c>
      <c r="J174" s="55" t="n">
        <f aca="false">ROUND(MAX(0,J173+K173-N173),2)</f>
        <v>0</v>
      </c>
      <c r="K174" s="55" t="n">
        <f aca="false">ROUND(J174*$E$6/12,2)</f>
        <v>0</v>
      </c>
      <c r="L174" s="55" t="n">
        <f aca="false">MIN($F$6,J174+K174)</f>
        <v>0</v>
      </c>
      <c r="M174" s="55" t="n">
        <f aca="false">MAX(0,MIN(J174+K174-L174,$D174-(H174)))</f>
        <v>0</v>
      </c>
      <c r="N174" s="55" t="n">
        <f aca="false">L174+M174</f>
        <v>0</v>
      </c>
      <c r="O174" s="55" t="n">
        <f aca="false">ROUND(MAX(0,O173+P173-S173),2)</f>
        <v>0</v>
      </c>
      <c r="P174" s="55" t="n">
        <f aca="false">ROUND(O174*$E$7/12,2)</f>
        <v>0</v>
      </c>
      <c r="Q174" s="55" t="n">
        <f aca="false">MIN($F$7,O174+P174)</f>
        <v>0</v>
      </c>
      <c r="R174" s="55" t="n">
        <f aca="false">MAX(0,MIN(O174+P174-Q174,$D174-(H174+M174)))</f>
        <v>0</v>
      </c>
      <c r="S174" s="55" t="n">
        <f aca="false">Q174+R174</f>
        <v>0</v>
      </c>
      <c r="T174" s="55" t="n">
        <f aca="false">ROUND(MAX(0,T173+U173-X173),2)</f>
        <v>0</v>
      </c>
      <c r="U174" s="55" t="n">
        <f aca="false">ROUND(T174*$E$8/12,2)</f>
        <v>0</v>
      </c>
      <c r="V174" s="55" t="n">
        <f aca="false">MIN($F$8,T174+U174)</f>
        <v>0</v>
      </c>
      <c r="W174" s="55" t="n">
        <f aca="false">MAX(0,MIN(T174+U174-V174,$D174-(H174+M174+R174)))</f>
        <v>0</v>
      </c>
      <c r="X174" s="55" t="n">
        <f aca="false">V174+W174</f>
        <v>0</v>
      </c>
      <c r="Y174" s="55" t="n">
        <f aca="false">ROUND(MAX(0,Y173+Z173-AC173),2)</f>
        <v>0</v>
      </c>
      <c r="Z174" s="55" t="n">
        <f aca="false">ROUND(Y174*$E$9/12,2)</f>
        <v>0</v>
      </c>
      <c r="AA174" s="55" t="n">
        <f aca="false">MIN($F$9,Y174+Z174)</f>
        <v>0</v>
      </c>
      <c r="AB174" s="55" t="n">
        <f aca="false">MAX(0,MIN(Y174+Z174-AA174,$D174-(H174+M174+R174+W174)))</f>
        <v>0</v>
      </c>
      <c r="AC174" s="55" t="n">
        <f aca="false">AA174+AB174</f>
        <v>0</v>
      </c>
      <c r="AD174" s="55" t="n">
        <f aca="false">ROUND(MAX(0,AD173+AE173-AH173),2)</f>
        <v>0</v>
      </c>
      <c r="AE174" s="55" t="n">
        <f aca="false">ROUND(AD174*$E$10/12,2)</f>
        <v>0</v>
      </c>
      <c r="AF174" s="55" t="n">
        <f aca="false">MIN($F$10,AD174+AE174)</f>
        <v>0</v>
      </c>
      <c r="AG174" s="55" t="n">
        <f aca="false">MAX(0,MIN(AD174+AE174-AF174,$D174-(H174+M174+R174+W174+AB174)))</f>
        <v>0</v>
      </c>
      <c r="AH174" s="55" t="n">
        <f aca="false">AF174+AG174</f>
        <v>0</v>
      </c>
      <c r="AI174" s="55" t="n">
        <f aca="false">ROUND(MAX(0,AI173+AJ173-AM173),2)</f>
        <v>0</v>
      </c>
      <c r="AJ174" s="55" t="n">
        <f aca="false">ROUND(AI174*$E$11/12,2)</f>
        <v>0</v>
      </c>
      <c r="AK174" s="55" t="n">
        <f aca="false">MIN($F$11,AI174+AJ174)</f>
        <v>0</v>
      </c>
      <c r="AL174" s="55" t="n">
        <f aca="false">MAX(0,MIN(AI174+AJ174-AK174,$D174-(H174+M174+R174+W174+AB174+AG174)))</f>
        <v>0</v>
      </c>
      <c r="AM174" s="55" t="n">
        <f aca="false">AK174+AL174</f>
        <v>0</v>
      </c>
      <c r="AN174" s="55" t="n">
        <f aca="false">ROUND(MAX(0,AN173+AO173-AR173),2)</f>
        <v>0</v>
      </c>
      <c r="AO174" s="55" t="n">
        <f aca="false">ROUND(AN174*$E$12/12,2)</f>
        <v>0</v>
      </c>
      <c r="AP174" s="55" t="n">
        <f aca="false">MIN($F$12,AN174+AO174)</f>
        <v>0</v>
      </c>
      <c r="AQ174" s="55" t="n">
        <f aca="false">MAX(0,MIN(AN174+AO174-AP174,$D174-(H174+M174+R174+W174+AB174+AG174+AL174)))</f>
        <v>0</v>
      </c>
      <c r="AR174" s="55" t="n">
        <f aca="false">AP174+AQ174</f>
        <v>0</v>
      </c>
      <c r="AS174" s="55" t="n">
        <f aca="false">ROUND(MAX(0,AS173+AT173-AW173),2)</f>
        <v>0</v>
      </c>
      <c r="AT174" s="55" t="n">
        <f aca="false">ROUND(AS174*$E$13/12,2)</f>
        <v>0</v>
      </c>
      <c r="AU174" s="55" t="n">
        <f aca="false">MIN($F$13,AS174+AT174)</f>
        <v>0</v>
      </c>
      <c r="AV174" s="55" t="n">
        <f aca="false">MAX(0,MIN(AS174+AT174-AU174,$D174-(H174+M174+R174+W174+AB174+AG174+AL174+AQ174)))</f>
        <v>0</v>
      </c>
      <c r="AW174" s="55" t="n">
        <f aca="false">AU174+AV174</f>
        <v>0</v>
      </c>
      <c r="AX174" s="55" t="n">
        <f aca="false">ROUND(MAX(0,AX173+AY173-BB173),2)</f>
        <v>0</v>
      </c>
      <c r="AY174" s="55" t="n">
        <f aca="false">ROUND(AX174*$E$14/12,2)</f>
        <v>0</v>
      </c>
      <c r="AZ174" s="55" t="n">
        <f aca="false">MIN($F$14,AX174+AY174)</f>
        <v>0</v>
      </c>
      <c r="BA174" s="55" t="n">
        <f aca="false">MAX(0,MIN(AX174+AY174-AZ174,$D174-(H174+M174+R174+W174+AB174+AG174+AL174+AQ174+AV174)))</f>
        <v>0</v>
      </c>
      <c r="BB174" s="55" t="n">
        <f aca="false">AZ174+BA174</f>
        <v>0</v>
      </c>
      <c r="BC174" s="55" t="n">
        <f aca="false">I174+N174+S174+X174+AC174+AH174+AM174+AR174+AW174+BB174</f>
        <v>0</v>
      </c>
      <c r="BD174" s="55" t="n">
        <f aca="false">ROUND((E174+F174-I174)+(J174+K174-N174)+(O174+P174-S174)+(T174+U174-X174)+(Y174+Z174-AC174)+(AD174+AE174-AH174)+(AI174+AJ174-AM174)+(AN174+AO174-AR174)+(AS174+AT174-AW174)+(AX174+AY174-BB174),2)</f>
        <v>0</v>
      </c>
      <c r="BE174" s="25" t="str">
        <f aca="false">IF(H174&gt;0.005,$C$5,IF(M174&gt;0.005,$C$6,IF(R174&gt;0.005,$C$7,IF(W174&gt;0.005,$C$8,IF(AB174&gt;0.005,$C$9,IF(AG174&gt;0.005,$C$10,IF(AL174&gt;0.005,$C$11,IF(AQ174&gt;0.005,$C$12,IF(AV174&gt;0.005,$C$13,IF(BA174&gt;0.005,$C$14,""))))))))))</f>
        <v/>
      </c>
    </row>
    <row r="175" customFormat="false" ht="15" hidden="false" customHeight="false" outlineLevel="0" collapsed="false">
      <c r="A175" s="24" t="n">
        <v>152</v>
      </c>
      <c r="B175" s="54" t="n">
        <f aca="false">EDATE($C$17,A175-1)</f>
        <v>50922</v>
      </c>
      <c r="C175" s="55" t="n">
        <f aca="false">G175+L175+Q175+V175+AA175+AF175+AK175+AP175+AU175+AZ175</f>
        <v>0</v>
      </c>
      <c r="D175" s="55" t="n">
        <f aca="false">MAX(0,$C$16-C175)</f>
        <v>5822</v>
      </c>
      <c r="E175" s="55" t="n">
        <f aca="false">ROUND(MAX(0,E174+F174-I174),2)</f>
        <v>0</v>
      </c>
      <c r="F175" s="55" t="n">
        <f aca="false">ROUND(E175*$E$5/12,2)</f>
        <v>0</v>
      </c>
      <c r="G175" s="55" t="n">
        <f aca="false">MIN($F$5,E175+F175)</f>
        <v>0</v>
      </c>
      <c r="H175" s="55" t="n">
        <f aca="false">MAX(0,MIN(E175+F175-G175,$D175))</f>
        <v>0</v>
      </c>
      <c r="I175" s="55" t="n">
        <f aca="false">G175+H175</f>
        <v>0</v>
      </c>
      <c r="J175" s="55" t="n">
        <f aca="false">ROUND(MAX(0,J174+K174-N174),2)</f>
        <v>0</v>
      </c>
      <c r="K175" s="55" t="n">
        <f aca="false">ROUND(J175*$E$6/12,2)</f>
        <v>0</v>
      </c>
      <c r="L175" s="55" t="n">
        <f aca="false">MIN($F$6,J175+K175)</f>
        <v>0</v>
      </c>
      <c r="M175" s="55" t="n">
        <f aca="false">MAX(0,MIN(J175+K175-L175,$D175-(H175)))</f>
        <v>0</v>
      </c>
      <c r="N175" s="55" t="n">
        <f aca="false">L175+M175</f>
        <v>0</v>
      </c>
      <c r="O175" s="55" t="n">
        <f aca="false">ROUND(MAX(0,O174+P174-S174),2)</f>
        <v>0</v>
      </c>
      <c r="P175" s="55" t="n">
        <f aca="false">ROUND(O175*$E$7/12,2)</f>
        <v>0</v>
      </c>
      <c r="Q175" s="55" t="n">
        <f aca="false">MIN($F$7,O175+P175)</f>
        <v>0</v>
      </c>
      <c r="R175" s="55" t="n">
        <f aca="false">MAX(0,MIN(O175+P175-Q175,$D175-(H175+M175)))</f>
        <v>0</v>
      </c>
      <c r="S175" s="55" t="n">
        <f aca="false">Q175+R175</f>
        <v>0</v>
      </c>
      <c r="T175" s="55" t="n">
        <f aca="false">ROUND(MAX(0,T174+U174-X174),2)</f>
        <v>0</v>
      </c>
      <c r="U175" s="55" t="n">
        <f aca="false">ROUND(T175*$E$8/12,2)</f>
        <v>0</v>
      </c>
      <c r="V175" s="55" t="n">
        <f aca="false">MIN($F$8,T175+U175)</f>
        <v>0</v>
      </c>
      <c r="W175" s="55" t="n">
        <f aca="false">MAX(0,MIN(T175+U175-V175,$D175-(H175+M175+R175)))</f>
        <v>0</v>
      </c>
      <c r="X175" s="55" t="n">
        <f aca="false">V175+W175</f>
        <v>0</v>
      </c>
      <c r="Y175" s="55" t="n">
        <f aca="false">ROUND(MAX(0,Y174+Z174-AC174),2)</f>
        <v>0</v>
      </c>
      <c r="Z175" s="55" t="n">
        <f aca="false">ROUND(Y175*$E$9/12,2)</f>
        <v>0</v>
      </c>
      <c r="AA175" s="55" t="n">
        <f aca="false">MIN($F$9,Y175+Z175)</f>
        <v>0</v>
      </c>
      <c r="AB175" s="55" t="n">
        <f aca="false">MAX(0,MIN(Y175+Z175-AA175,$D175-(H175+M175+R175+W175)))</f>
        <v>0</v>
      </c>
      <c r="AC175" s="55" t="n">
        <f aca="false">AA175+AB175</f>
        <v>0</v>
      </c>
      <c r="AD175" s="55" t="n">
        <f aca="false">ROUND(MAX(0,AD174+AE174-AH174),2)</f>
        <v>0</v>
      </c>
      <c r="AE175" s="55" t="n">
        <f aca="false">ROUND(AD175*$E$10/12,2)</f>
        <v>0</v>
      </c>
      <c r="AF175" s="55" t="n">
        <f aca="false">MIN($F$10,AD175+AE175)</f>
        <v>0</v>
      </c>
      <c r="AG175" s="55" t="n">
        <f aca="false">MAX(0,MIN(AD175+AE175-AF175,$D175-(H175+M175+R175+W175+AB175)))</f>
        <v>0</v>
      </c>
      <c r="AH175" s="55" t="n">
        <f aca="false">AF175+AG175</f>
        <v>0</v>
      </c>
      <c r="AI175" s="55" t="n">
        <f aca="false">ROUND(MAX(0,AI174+AJ174-AM174),2)</f>
        <v>0</v>
      </c>
      <c r="AJ175" s="55" t="n">
        <f aca="false">ROUND(AI175*$E$11/12,2)</f>
        <v>0</v>
      </c>
      <c r="AK175" s="55" t="n">
        <f aca="false">MIN($F$11,AI175+AJ175)</f>
        <v>0</v>
      </c>
      <c r="AL175" s="55" t="n">
        <f aca="false">MAX(0,MIN(AI175+AJ175-AK175,$D175-(H175+M175+R175+W175+AB175+AG175)))</f>
        <v>0</v>
      </c>
      <c r="AM175" s="55" t="n">
        <f aca="false">AK175+AL175</f>
        <v>0</v>
      </c>
      <c r="AN175" s="55" t="n">
        <f aca="false">ROUND(MAX(0,AN174+AO174-AR174),2)</f>
        <v>0</v>
      </c>
      <c r="AO175" s="55" t="n">
        <f aca="false">ROUND(AN175*$E$12/12,2)</f>
        <v>0</v>
      </c>
      <c r="AP175" s="55" t="n">
        <f aca="false">MIN($F$12,AN175+AO175)</f>
        <v>0</v>
      </c>
      <c r="AQ175" s="55" t="n">
        <f aca="false">MAX(0,MIN(AN175+AO175-AP175,$D175-(H175+M175+R175+W175+AB175+AG175+AL175)))</f>
        <v>0</v>
      </c>
      <c r="AR175" s="55" t="n">
        <f aca="false">AP175+AQ175</f>
        <v>0</v>
      </c>
      <c r="AS175" s="55" t="n">
        <f aca="false">ROUND(MAX(0,AS174+AT174-AW174),2)</f>
        <v>0</v>
      </c>
      <c r="AT175" s="55" t="n">
        <f aca="false">ROUND(AS175*$E$13/12,2)</f>
        <v>0</v>
      </c>
      <c r="AU175" s="55" t="n">
        <f aca="false">MIN($F$13,AS175+AT175)</f>
        <v>0</v>
      </c>
      <c r="AV175" s="55" t="n">
        <f aca="false">MAX(0,MIN(AS175+AT175-AU175,$D175-(H175+M175+R175+W175+AB175+AG175+AL175+AQ175)))</f>
        <v>0</v>
      </c>
      <c r="AW175" s="55" t="n">
        <f aca="false">AU175+AV175</f>
        <v>0</v>
      </c>
      <c r="AX175" s="55" t="n">
        <f aca="false">ROUND(MAX(0,AX174+AY174-BB174),2)</f>
        <v>0</v>
      </c>
      <c r="AY175" s="55" t="n">
        <f aca="false">ROUND(AX175*$E$14/12,2)</f>
        <v>0</v>
      </c>
      <c r="AZ175" s="55" t="n">
        <f aca="false">MIN($F$14,AX175+AY175)</f>
        <v>0</v>
      </c>
      <c r="BA175" s="55" t="n">
        <f aca="false">MAX(0,MIN(AX175+AY175-AZ175,$D175-(H175+M175+R175+W175+AB175+AG175+AL175+AQ175+AV175)))</f>
        <v>0</v>
      </c>
      <c r="BB175" s="55" t="n">
        <f aca="false">AZ175+BA175</f>
        <v>0</v>
      </c>
      <c r="BC175" s="55" t="n">
        <f aca="false">I175+N175+S175+X175+AC175+AH175+AM175+AR175+AW175+BB175</f>
        <v>0</v>
      </c>
      <c r="BD175" s="55" t="n">
        <f aca="false">ROUND((E175+F175-I175)+(J175+K175-N175)+(O175+P175-S175)+(T175+U175-X175)+(Y175+Z175-AC175)+(AD175+AE175-AH175)+(AI175+AJ175-AM175)+(AN175+AO175-AR175)+(AS175+AT175-AW175)+(AX175+AY175-BB175),2)</f>
        <v>0</v>
      </c>
      <c r="BE175" s="25" t="str">
        <f aca="false">IF(H175&gt;0.005,$C$5,IF(M175&gt;0.005,$C$6,IF(R175&gt;0.005,$C$7,IF(W175&gt;0.005,$C$8,IF(AB175&gt;0.005,$C$9,IF(AG175&gt;0.005,$C$10,IF(AL175&gt;0.005,$C$11,IF(AQ175&gt;0.005,$C$12,IF(AV175&gt;0.005,$C$13,IF(BA175&gt;0.005,$C$14,""))))))))))</f>
        <v/>
      </c>
    </row>
    <row r="176" customFormat="false" ht="15" hidden="false" customHeight="false" outlineLevel="0" collapsed="false">
      <c r="A176" s="24" t="n">
        <v>153</v>
      </c>
      <c r="B176" s="54" t="n">
        <f aca="false">EDATE($C$17,A176-1)</f>
        <v>50952</v>
      </c>
      <c r="C176" s="55" t="n">
        <f aca="false">G176+L176+Q176+V176+AA176+AF176+AK176+AP176+AU176+AZ176</f>
        <v>0</v>
      </c>
      <c r="D176" s="55" t="n">
        <f aca="false">MAX(0,$C$16-C176)</f>
        <v>5822</v>
      </c>
      <c r="E176" s="55" t="n">
        <f aca="false">ROUND(MAX(0,E175+F175-I175),2)</f>
        <v>0</v>
      </c>
      <c r="F176" s="55" t="n">
        <f aca="false">ROUND(E176*$E$5/12,2)</f>
        <v>0</v>
      </c>
      <c r="G176" s="55" t="n">
        <f aca="false">MIN($F$5,E176+F176)</f>
        <v>0</v>
      </c>
      <c r="H176" s="55" t="n">
        <f aca="false">MAX(0,MIN(E176+F176-G176,$D176))</f>
        <v>0</v>
      </c>
      <c r="I176" s="55" t="n">
        <f aca="false">G176+H176</f>
        <v>0</v>
      </c>
      <c r="J176" s="55" t="n">
        <f aca="false">ROUND(MAX(0,J175+K175-N175),2)</f>
        <v>0</v>
      </c>
      <c r="K176" s="55" t="n">
        <f aca="false">ROUND(J176*$E$6/12,2)</f>
        <v>0</v>
      </c>
      <c r="L176" s="55" t="n">
        <f aca="false">MIN($F$6,J176+K176)</f>
        <v>0</v>
      </c>
      <c r="M176" s="55" t="n">
        <f aca="false">MAX(0,MIN(J176+K176-L176,$D176-(H176)))</f>
        <v>0</v>
      </c>
      <c r="N176" s="55" t="n">
        <f aca="false">L176+M176</f>
        <v>0</v>
      </c>
      <c r="O176" s="55" t="n">
        <f aca="false">ROUND(MAX(0,O175+P175-S175),2)</f>
        <v>0</v>
      </c>
      <c r="P176" s="55" t="n">
        <f aca="false">ROUND(O176*$E$7/12,2)</f>
        <v>0</v>
      </c>
      <c r="Q176" s="55" t="n">
        <f aca="false">MIN($F$7,O176+P176)</f>
        <v>0</v>
      </c>
      <c r="R176" s="55" t="n">
        <f aca="false">MAX(0,MIN(O176+P176-Q176,$D176-(H176+M176)))</f>
        <v>0</v>
      </c>
      <c r="S176" s="55" t="n">
        <f aca="false">Q176+R176</f>
        <v>0</v>
      </c>
      <c r="T176" s="55" t="n">
        <f aca="false">ROUND(MAX(0,T175+U175-X175),2)</f>
        <v>0</v>
      </c>
      <c r="U176" s="55" t="n">
        <f aca="false">ROUND(T176*$E$8/12,2)</f>
        <v>0</v>
      </c>
      <c r="V176" s="55" t="n">
        <f aca="false">MIN($F$8,T176+U176)</f>
        <v>0</v>
      </c>
      <c r="W176" s="55" t="n">
        <f aca="false">MAX(0,MIN(T176+U176-V176,$D176-(H176+M176+R176)))</f>
        <v>0</v>
      </c>
      <c r="X176" s="55" t="n">
        <f aca="false">V176+W176</f>
        <v>0</v>
      </c>
      <c r="Y176" s="55" t="n">
        <f aca="false">ROUND(MAX(0,Y175+Z175-AC175),2)</f>
        <v>0</v>
      </c>
      <c r="Z176" s="55" t="n">
        <f aca="false">ROUND(Y176*$E$9/12,2)</f>
        <v>0</v>
      </c>
      <c r="AA176" s="55" t="n">
        <f aca="false">MIN($F$9,Y176+Z176)</f>
        <v>0</v>
      </c>
      <c r="AB176" s="55" t="n">
        <f aca="false">MAX(0,MIN(Y176+Z176-AA176,$D176-(H176+M176+R176+W176)))</f>
        <v>0</v>
      </c>
      <c r="AC176" s="55" t="n">
        <f aca="false">AA176+AB176</f>
        <v>0</v>
      </c>
      <c r="AD176" s="55" t="n">
        <f aca="false">ROUND(MAX(0,AD175+AE175-AH175),2)</f>
        <v>0</v>
      </c>
      <c r="AE176" s="55" t="n">
        <f aca="false">ROUND(AD176*$E$10/12,2)</f>
        <v>0</v>
      </c>
      <c r="AF176" s="55" t="n">
        <f aca="false">MIN($F$10,AD176+AE176)</f>
        <v>0</v>
      </c>
      <c r="AG176" s="55" t="n">
        <f aca="false">MAX(0,MIN(AD176+AE176-AF176,$D176-(H176+M176+R176+W176+AB176)))</f>
        <v>0</v>
      </c>
      <c r="AH176" s="55" t="n">
        <f aca="false">AF176+AG176</f>
        <v>0</v>
      </c>
      <c r="AI176" s="55" t="n">
        <f aca="false">ROUND(MAX(0,AI175+AJ175-AM175),2)</f>
        <v>0</v>
      </c>
      <c r="AJ176" s="55" t="n">
        <f aca="false">ROUND(AI176*$E$11/12,2)</f>
        <v>0</v>
      </c>
      <c r="AK176" s="55" t="n">
        <f aca="false">MIN($F$11,AI176+AJ176)</f>
        <v>0</v>
      </c>
      <c r="AL176" s="55" t="n">
        <f aca="false">MAX(0,MIN(AI176+AJ176-AK176,$D176-(H176+M176+R176+W176+AB176+AG176)))</f>
        <v>0</v>
      </c>
      <c r="AM176" s="55" t="n">
        <f aca="false">AK176+AL176</f>
        <v>0</v>
      </c>
      <c r="AN176" s="55" t="n">
        <f aca="false">ROUND(MAX(0,AN175+AO175-AR175),2)</f>
        <v>0</v>
      </c>
      <c r="AO176" s="55" t="n">
        <f aca="false">ROUND(AN176*$E$12/12,2)</f>
        <v>0</v>
      </c>
      <c r="AP176" s="55" t="n">
        <f aca="false">MIN($F$12,AN176+AO176)</f>
        <v>0</v>
      </c>
      <c r="AQ176" s="55" t="n">
        <f aca="false">MAX(0,MIN(AN176+AO176-AP176,$D176-(H176+M176+R176+W176+AB176+AG176+AL176)))</f>
        <v>0</v>
      </c>
      <c r="AR176" s="55" t="n">
        <f aca="false">AP176+AQ176</f>
        <v>0</v>
      </c>
      <c r="AS176" s="55" t="n">
        <f aca="false">ROUND(MAX(0,AS175+AT175-AW175),2)</f>
        <v>0</v>
      </c>
      <c r="AT176" s="55" t="n">
        <f aca="false">ROUND(AS176*$E$13/12,2)</f>
        <v>0</v>
      </c>
      <c r="AU176" s="55" t="n">
        <f aca="false">MIN($F$13,AS176+AT176)</f>
        <v>0</v>
      </c>
      <c r="AV176" s="55" t="n">
        <f aca="false">MAX(0,MIN(AS176+AT176-AU176,$D176-(H176+M176+R176+W176+AB176+AG176+AL176+AQ176)))</f>
        <v>0</v>
      </c>
      <c r="AW176" s="55" t="n">
        <f aca="false">AU176+AV176</f>
        <v>0</v>
      </c>
      <c r="AX176" s="55" t="n">
        <f aca="false">ROUND(MAX(0,AX175+AY175-BB175),2)</f>
        <v>0</v>
      </c>
      <c r="AY176" s="55" t="n">
        <f aca="false">ROUND(AX176*$E$14/12,2)</f>
        <v>0</v>
      </c>
      <c r="AZ176" s="55" t="n">
        <f aca="false">MIN($F$14,AX176+AY176)</f>
        <v>0</v>
      </c>
      <c r="BA176" s="55" t="n">
        <f aca="false">MAX(0,MIN(AX176+AY176-AZ176,$D176-(H176+M176+R176+W176+AB176+AG176+AL176+AQ176+AV176)))</f>
        <v>0</v>
      </c>
      <c r="BB176" s="55" t="n">
        <f aca="false">AZ176+BA176</f>
        <v>0</v>
      </c>
      <c r="BC176" s="55" t="n">
        <f aca="false">I176+N176+S176+X176+AC176+AH176+AM176+AR176+AW176+BB176</f>
        <v>0</v>
      </c>
      <c r="BD176" s="55" t="n">
        <f aca="false">ROUND((E176+F176-I176)+(J176+K176-N176)+(O176+P176-S176)+(T176+U176-X176)+(Y176+Z176-AC176)+(AD176+AE176-AH176)+(AI176+AJ176-AM176)+(AN176+AO176-AR176)+(AS176+AT176-AW176)+(AX176+AY176-BB176),2)</f>
        <v>0</v>
      </c>
      <c r="BE176" s="25" t="str">
        <f aca="false">IF(H176&gt;0.005,$C$5,IF(M176&gt;0.005,$C$6,IF(R176&gt;0.005,$C$7,IF(W176&gt;0.005,$C$8,IF(AB176&gt;0.005,$C$9,IF(AG176&gt;0.005,$C$10,IF(AL176&gt;0.005,$C$11,IF(AQ176&gt;0.005,$C$12,IF(AV176&gt;0.005,$C$13,IF(BA176&gt;0.005,$C$14,""))))))))))</f>
        <v/>
      </c>
    </row>
    <row r="177" customFormat="false" ht="15" hidden="false" customHeight="false" outlineLevel="0" collapsed="false">
      <c r="A177" s="24" t="n">
        <v>154</v>
      </c>
      <c r="B177" s="54" t="n">
        <f aca="false">EDATE($C$17,A177-1)</f>
        <v>50983</v>
      </c>
      <c r="C177" s="55" t="n">
        <f aca="false">G177+L177+Q177+V177+AA177+AF177+AK177+AP177+AU177+AZ177</f>
        <v>0</v>
      </c>
      <c r="D177" s="55" t="n">
        <f aca="false">MAX(0,$C$16-C177)</f>
        <v>5822</v>
      </c>
      <c r="E177" s="55" t="n">
        <f aca="false">ROUND(MAX(0,E176+F176-I176),2)</f>
        <v>0</v>
      </c>
      <c r="F177" s="55" t="n">
        <f aca="false">ROUND(E177*$E$5/12,2)</f>
        <v>0</v>
      </c>
      <c r="G177" s="55" t="n">
        <f aca="false">MIN($F$5,E177+F177)</f>
        <v>0</v>
      </c>
      <c r="H177" s="55" t="n">
        <f aca="false">MAX(0,MIN(E177+F177-G177,$D177))</f>
        <v>0</v>
      </c>
      <c r="I177" s="55" t="n">
        <f aca="false">G177+H177</f>
        <v>0</v>
      </c>
      <c r="J177" s="55" t="n">
        <f aca="false">ROUND(MAX(0,J176+K176-N176),2)</f>
        <v>0</v>
      </c>
      <c r="K177" s="55" t="n">
        <f aca="false">ROUND(J177*$E$6/12,2)</f>
        <v>0</v>
      </c>
      <c r="L177" s="55" t="n">
        <f aca="false">MIN($F$6,J177+K177)</f>
        <v>0</v>
      </c>
      <c r="M177" s="55" t="n">
        <f aca="false">MAX(0,MIN(J177+K177-L177,$D177-(H177)))</f>
        <v>0</v>
      </c>
      <c r="N177" s="55" t="n">
        <f aca="false">L177+M177</f>
        <v>0</v>
      </c>
      <c r="O177" s="55" t="n">
        <f aca="false">ROUND(MAX(0,O176+P176-S176),2)</f>
        <v>0</v>
      </c>
      <c r="P177" s="55" t="n">
        <f aca="false">ROUND(O177*$E$7/12,2)</f>
        <v>0</v>
      </c>
      <c r="Q177" s="55" t="n">
        <f aca="false">MIN($F$7,O177+P177)</f>
        <v>0</v>
      </c>
      <c r="R177" s="55" t="n">
        <f aca="false">MAX(0,MIN(O177+P177-Q177,$D177-(H177+M177)))</f>
        <v>0</v>
      </c>
      <c r="S177" s="55" t="n">
        <f aca="false">Q177+R177</f>
        <v>0</v>
      </c>
      <c r="T177" s="55" t="n">
        <f aca="false">ROUND(MAX(0,T176+U176-X176),2)</f>
        <v>0</v>
      </c>
      <c r="U177" s="55" t="n">
        <f aca="false">ROUND(T177*$E$8/12,2)</f>
        <v>0</v>
      </c>
      <c r="V177" s="55" t="n">
        <f aca="false">MIN($F$8,T177+U177)</f>
        <v>0</v>
      </c>
      <c r="W177" s="55" t="n">
        <f aca="false">MAX(0,MIN(T177+U177-V177,$D177-(H177+M177+R177)))</f>
        <v>0</v>
      </c>
      <c r="X177" s="55" t="n">
        <f aca="false">V177+W177</f>
        <v>0</v>
      </c>
      <c r="Y177" s="55" t="n">
        <f aca="false">ROUND(MAX(0,Y176+Z176-AC176),2)</f>
        <v>0</v>
      </c>
      <c r="Z177" s="55" t="n">
        <f aca="false">ROUND(Y177*$E$9/12,2)</f>
        <v>0</v>
      </c>
      <c r="AA177" s="55" t="n">
        <f aca="false">MIN($F$9,Y177+Z177)</f>
        <v>0</v>
      </c>
      <c r="AB177" s="55" t="n">
        <f aca="false">MAX(0,MIN(Y177+Z177-AA177,$D177-(H177+M177+R177+W177)))</f>
        <v>0</v>
      </c>
      <c r="AC177" s="55" t="n">
        <f aca="false">AA177+AB177</f>
        <v>0</v>
      </c>
      <c r="AD177" s="55" t="n">
        <f aca="false">ROUND(MAX(0,AD176+AE176-AH176),2)</f>
        <v>0</v>
      </c>
      <c r="AE177" s="55" t="n">
        <f aca="false">ROUND(AD177*$E$10/12,2)</f>
        <v>0</v>
      </c>
      <c r="AF177" s="55" t="n">
        <f aca="false">MIN($F$10,AD177+AE177)</f>
        <v>0</v>
      </c>
      <c r="AG177" s="55" t="n">
        <f aca="false">MAX(0,MIN(AD177+AE177-AF177,$D177-(H177+M177+R177+W177+AB177)))</f>
        <v>0</v>
      </c>
      <c r="AH177" s="55" t="n">
        <f aca="false">AF177+AG177</f>
        <v>0</v>
      </c>
      <c r="AI177" s="55" t="n">
        <f aca="false">ROUND(MAX(0,AI176+AJ176-AM176),2)</f>
        <v>0</v>
      </c>
      <c r="AJ177" s="55" t="n">
        <f aca="false">ROUND(AI177*$E$11/12,2)</f>
        <v>0</v>
      </c>
      <c r="AK177" s="55" t="n">
        <f aca="false">MIN($F$11,AI177+AJ177)</f>
        <v>0</v>
      </c>
      <c r="AL177" s="55" t="n">
        <f aca="false">MAX(0,MIN(AI177+AJ177-AK177,$D177-(H177+M177+R177+W177+AB177+AG177)))</f>
        <v>0</v>
      </c>
      <c r="AM177" s="55" t="n">
        <f aca="false">AK177+AL177</f>
        <v>0</v>
      </c>
      <c r="AN177" s="55" t="n">
        <f aca="false">ROUND(MAX(0,AN176+AO176-AR176),2)</f>
        <v>0</v>
      </c>
      <c r="AO177" s="55" t="n">
        <f aca="false">ROUND(AN177*$E$12/12,2)</f>
        <v>0</v>
      </c>
      <c r="AP177" s="55" t="n">
        <f aca="false">MIN($F$12,AN177+AO177)</f>
        <v>0</v>
      </c>
      <c r="AQ177" s="55" t="n">
        <f aca="false">MAX(0,MIN(AN177+AO177-AP177,$D177-(H177+M177+R177+W177+AB177+AG177+AL177)))</f>
        <v>0</v>
      </c>
      <c r="AR177" s="55" t="n">
        <f aca="false">AP177+AQ177</f>
        <v>0</v>
      </c>
      <c r="AS177" s="55" t="n">
        <f aca="false">ROUND(MAX(0,AS176+AT176-AW176),2)</f>
        <v>0</v>
      </c>
      <c r="AT177" s="55" t="n">
        <f aca="false">ROUND(AS177*$E$13/12,2)</f>
        <v>0</v>
      </c>
      <c r="AU177" s="55" t="n">
        <f aca="false">MIN($F$13,AS177+AT177)</f>
        <v>0</v>
      </c>
      <c r="AV177" s="55" t="n">
        <f aca="false">MAX(0,MIN(AS177+AT177-AU177,$D177-(H177+M177+R177+W177+AB177+AG177+AL177+AQ177)))</f>
        <v>0</v>
      </c>
      <c r="AW177" s="55" t="n">
        <f aca="false">AU177+AV177</f>
        <v>0</v>
      </c>
      <c r="AX177" s="55" t="n">
        <f aca="false">ROUND(MAX(0,AX176+AY176-BB176),2)</f>
        <v>0</v>
      </c>
      <c r="AY177" s="55" t="n">
        <f aca="false">ROUND(AX177*$E$14/12,2)</f>
        <v>0</v>
      </c>
      <c r="AZ177" s="55" t="n">
        <f aca="false">MIN($F$14,AX177+AY177)</f>
        <v>0</v>
      </c>
      <c r="BA177" s="55" t="n">
        <f aca="false">MAX(0,MIN(AX177+AY177-AZ177,$D177-(H177+M177+R177+W177+AB177+AG177+AL177+AQ177+AV177)))</f>
        <v>0</v>
      </c>
      <c r="BB177" s="55" t="n">
        <f aca="false">AZ177+BA177</f>
        <v>0</v>
      </c>
      <c r="BC177" s="55" t="n">
        <f aca="false">I177+N177+S177+X177+AC177+AH177+AM177+AR177+AW177+BB177</f>
        <v>0</v>
      </c>
      <c r="BD177" s="55" t="n">
        <f aca="false">ROUND((E177+F177-I177)+(J177+K177-N177)+(O177+P177-S177)+(T177+U177-X177)+(Y177+Z177-AC177)+(AD177+AE177-AH177)+(AI177+AJ177-AM177)+(AN177+AO177-AR177)+(AS177+AT177-AW177)+(AX177+AY177-BB177),2)</f>
        <v>0</v>
      </c>
      <c r="BE177" s="25" t="str">
        <f aca="false">IF(H177&gt;0.005,$C$5,IF(M177&gt;0.005,$C$6,IF(R177&gt;0.005,$C$7,IF(W177&gt;0.005,$C$8,IF(AB177&gt;0.005,$C$9,IF(AG177&gt;0.005,$C$10,IF(AL177&gt;0.005,$C$11,IF(AQ177&gt;0.005,$C$12,IF(AV177&gt;0.005,$C$13,IF(BA177&gt;0.005,$C$14,""))))))))))</f>
        <v/>
      </c>
    </row>
    <row r="178" customFormat="false" ht="15" hidden="false" customHeight="false" outlineLevel="0" collapsed="false">
      <c r="A178" s="24" t="n">
        <v>155</v>
      </c>
      <c r="B178" s="54" t="n">
        <f aca="false">EDATE($C$17,A178-1)</f>
        <v>51014</v>
      </c>
      <c r="C178" s="55" t="n">
        <f aca="false">G178+L178+Q178+V178+AA178+AF178+AK178+AP178+AU178+AZ178</f>
        <v>0</v>
      </c>
      <c r="D178" s="55" t="n">
        <f aca="false">MAX(0,$C$16-C178)</f>
        <v>5822</v>
      </c>
      <c r="E178" s="55" t="n">
        <f aca="false">ROUND(MAX(0,E177+F177-I177),2)</f>
        <v>0</v>
      </c>
      <c r="F178" s="55" t="n">
        <f aca="false">ROUND(E178*$E$5/12,2)</f>
        <v>0</v>
      </c>
      <c r="G178" s="55" t="n">
        <f aca="false">MIN($F$5,E178+F178)</f>
        <v>0</v>
      </c>
      <c r="H178" s="55" t="n">
        <f aca="false">MAX(0,MIN(E178+F178-G178,$D178))</f>
        <v>0</v>
      </c>
      <c r="I178" s="55" t="n">
        <f aca="false">G178+H178</f>
        <v>0</v>
      </c>
      <c r="J178" s="55" t="n">
        <f aca="false">ROUND(MAX(0,J177+K177-N177),2)</f>
        <v>0</v>
      </c>
      <c r="K178" s="55" t="n">
        <f aca="false">ROUND(J178*$E$6/12,2)</f>
        <v>0</v>
      </c>
      <c r="L178" s="55" t="n">
        <f aca="false">MIN($F$6,J178+K178)</f>
        <v>0</v>
      </c>
      <c r="M178" s="55" t="n">
        <f aca="false">MAX(0,MIN(J178+K178-L178,$D178-(H178)))</f>
        <v>0</v>
      </c>
      <c r="N178" s="55" t="n">
        <f aca="false">L178+M178</f>
        <v>0</v>
      </c>
      <c r="O178" s="55" t="n">
        <f aca="false">ROUND(MAX(0,O177+P177-S177),2)</f>
        <v>0</v>
      </c>
      <c r="P178" s="55" t="n">
        <f aca="false">ROUND(O178*$E$7/12,2)</f>
        <v>0</v>
      </c>
      <c r="Q178" s="55" t="n">
        <f aca="false">MIN($F$7,O178+P178)</f>
        <v>0</v>
      </c>
      <c r="R178" s="55" t="n">
        <f aca="false">MAX(0,MIN(O178+P178-Q178,$D178-(H178+M178)))</f>
        <v>0</v>
      </c>
      <c r="S178" s="55" t="n">
        <f aca="false">Q178+R178</f>
        <v>0</v>
      </c>
      <c r="T178" s="55" t="n">
        <f aca="false">ROUND(MAX(0,T177+U177-X177),2)</f>
        <v>0</v>
      </c>
      <c r="U178" s="55" t="n">
        <f aca="false">ROUND(T178*$E$8/12,2)</f>
        <v>0</v>
      </c>
      <c r="V178" s="55" t="n">
        <f aca="false">MIN($F$8,T178+U178)</f>
        <v>0</v>
      </c>
      <c r="W178" s="55" t="n">
        <f aca="false">MAX(0,MIN(T178+U178-V178,$D178-(H178+M178+R178)))</f>
        <v>0</v>
      </c>
      <c r="X178" s="55" t="n">
        <f aca="false">V178+W178</f>
        <v>0</v>
      </c>
      <c r="Y178" s="55" t="n">
        <f aca="false">ROUND(MAX(0,Y177+Z177-AC177),2)</f>
        <v>0</v>
      </c>
      <c r="Z178" s="55" t="n">
        <f aca="false">ROUND(Y178*$E$9/12,2)</f>
        <v>0</v>
      </c>
      <c r="AA178" s="55" t="n">
        <f aca="false">MIN($F$9,Y178+Z178)</f>
        <v>0</v>
      </c>
      <c r="AB178" s="55" t="n">
        <f aca="false">MAX(0,MIN(Y178+Z178-AA178,$D178-(H178+M178+R178+W178)))</f>
        <v>0</v>
      </c>
      <c r="AC178" s="55" t="n">
        <f aca="false">AA178+AB178</f>
        <v>0</v>
      </c>
      <c r="AD178" s="55" t="n">
        <f aca="false">ROUND(MAX(0,AD177+AE177-AH177),2)</f>
        <v>0</v>
      </c>
      <c r="AE178" s="55" t="n">
        <f aca="false">ROUND(AD178*$E$10/12,2)</f>
        <v>0</v>
      </c>
      <c r="AF178" s="55" t="n">
        <f aca="false">MIN($F$10,AD178+AE178)</f>
        <v>0</v>
      </c>
      <c r="AG178" s="55" t="n">
        <f aca="false">MAX(0,MIN(AD178+AE178-AF178,$D178-(H178+M178+R178+W178+AB178)))</f>
        <v>0</v>
      </c>
      <c r="AH178" s="55" t="n">
        <f aca="false">AF178+AG178</f>
        <v>0</v>
      </c>
      <c r="AI178" s="55" t="n">
        <f aca="false">ROUND(MAX(0,AI177+AJ177-AM177),2)</f>
        <v>0</v>
      </c>
      <c r="AJ178" s="55" t="n">
        <f aca="false">ROUND(AI178*$E$11/12,2)</f>
        <v>0</v>
      </c>
      <c r="AK178" s="55" t="n">
        <f aca="false">MIN($F$11,AI178+AJ178)</f>
        <v>0</v>
      </c>
      <c r="AL178" s="55" t="n">
        <f aca="false">MAX(0,MIN(AI178+AJ178-AK178,$D178-(H178+M178+R178+W178+AB178+AG178)))</f>
        <v>0</v>
      </c>
      <c r="AM178" s="55" t="n">
        <f aca="false">AK178+AL178</f>
        <v>0</v>
      </c>
      <c r="AN178" s="55" t="n">
        <f aca="false">ROUND(MAX(0,AN177+AO177-AR177),2)</f>
        <v>0</v>
      </c>
      <c r="AO178" s="55" t="n">
        <f aca="false">ROUND(AN178*$E$12/12,2)</f>
        <v>0</v>
      </c>
      <c r="AP178" s="55" t="n">
        <f aca="false">MIN($F$12,AN178+AO178)</f>
        <v>0</v>
      </c>
      <c r="AQ178" s="55" t="n">
        <f aca="false">MAX(0,MIN(AN178+AO178-AP178,$D178-(H178+M178+R178+W178+AB178+AG178+AL178)))</f>
        <v>0</v>
      </c>
      <c r="AR178" s="55" t="n">
        <f aca="false">AP178+AQ178</f>
        <v>0</v>
      </c>
      <c r="AS178" s="55" t="n">
        <f aca="false">ROUND(MAX(0,AS177+AT177-AW177),2)</f>
        <v>0</v>
      </c>
      <c r="AT178" s="55" t="n">
        <f aca="false">ROUND(AS178*$E$13/12,2)</f>
        <v>0</v>
      </c>
      <c r="AU178" s="55" t="n">
        <f aca="false">MIN($F$13,AS178+AT178)</f>
        <v>0</v>
      </c>
      <c r="AV178" s="55" t="n">
        <f aca="false">MAX(0,MIN(AS178+AT178-AU178,$D178-(H178+M178+R178+W178+AB178+AG178+AL178+AQ178)))</f>
        <v>0</v>
      </c>
      <c r="AW178" s="55" t="n">
        <f aca="false">AU178+AV178</f>
        <v>0</v>
      </c>
      <c r="AX178" s="55" t="n">
        <f aca="false">ROUND(MAX(0,AX177+AY177-BB177),2)</f>
        <v>0</v>
      </c>
      <c r="AY178" s="55" t="n">
        <f aca="false">ROUND(AX178*$E$14/12,2)</f>
        <v>0</v>
      </c>
      <c r="AZ178" s="55" t="n">
        <f aca="false">MIN($F$14,AX178+AY178)</f>
        <v>0</v>
      </c>
      <c r="BA178" s="55" t="n">
        <f aca="false">MAX(0,MIN(AX178+AY178-AZ178,$D178-(H178+M178+R178+W178+AB178+AG178+AL178+AQ178+AV178)))</f>
        <v>0</v>
      </c>
      <c r="BB178" s="55" t="n">
        <f aca="false">AZ178+BA178</f>
        <v>0</v>
      </c>
      <c r="BC178" s="55" t="n">
        <f aca="false">I178+N178+S178+X178+AC178+AH178+AM178+AR178+AW178+BB178</f>
        <v>0</v>
      </c>
      <c r="BD178" s="55" t="n">
        <f aca="false">ROUND((E178+F178-I178)+(J178+K178-N178)+(O178+P178-S178)+(T178+U178-X178)+(Y178+Z178-AC178)+(AD178+AE178-AH178)+(AI178+AJ178-AM178)+(AN178+AO178-AR178)+(AS178+AT178-AW178)+(AX178+AY178-BB178),2)</f>
        <v>0</v>
      </c>
      <c r="BE178" s="25" t="str">
        <f aca="false">IF(H178&gt;0.005,$C$5,IF(M178&gt;0.005,$C$6,IF(R178&gt;0.005,$C$7,IF(W178&gt;0.005,$C$8,IF(AB178&gt;0.005,$C$9,IF(AG178&gt;0.005,$C$10,IF(AL178&gt;0.005,$C$11,IF(AQ178&gt;0.005,$C$12,IF(AV178&gt;0.005,$C$13,IF(BA178&gt;0.005,$C$14,""))))))))))</f>
        <v/>
      </c>
    </row>
    <row r="179" customFormat="false" ht="15" hidden="false" customHeight="false" outlineLevel="0" collapsed="false">
      <c r="A179" s="24" t="n">
        <v>156</v>
      </c>
      <c r="B179" s="54" t="n">
        <f aca="false">EDATE($C$17,A179-1)</f>
        <v>51044</v>
      </c>
      <c r="C179" s="55" t="n">
        <f aca="false">G179+L179+Q179+V179+AA179+AF179+AK179+AP179+AU179+AZ179</f>
        <v>0</v>
      </c>
      <c r="D179" s="55" t="n">
        <f aca="false">MAX(0,$C$16-C179)</f>
        <v>5822</v>
      </c>
      <c r="E179" s="55" t="n">
        <f aca="false">ROUND(MAX(0,E178+F178-I178),2)</f>
        <v>0</v>
      </c>
      <c r="F179" s="55" t="n">
        <f aca="false">ROUND(E179*$E$5/12,2)</f>
        <v>0</v>
      </c>
      <c r="G179" s="55" t="n">
        <f aca="false">MIN($F$5,E179+F179)</f>
        <v>0</v>
      </c>
      <c r="H179" s="55" t="n">
        <f aca="false">MAX(0,MIN(E179+F179-G179,$D179))</f>
        <v>0</v>
      </c>
      <c r="I179" s="55" t="n">
        <f aca="false">G179+H179</f>
        <v>0</v>
      </c>
      <c r="J179" s="55" t="n">
        <f aca="false">ROUND(MAX(0,J178+K178-N178),2)</f>
        <v>0</v>
      </c>
      <c r="K179" s="55" t="n">
        <f aca="false">ROUND(J179*$E$6/12,2)</f>
        <v>0</v>
      </c>
      <c r="L179" s="55" t="n">
        <f aca="false">MIN($F$6,J179+K179)</f>
        <v>0</v>
      </c>
      <c r="M179" s="55" t="n">
        <f aca="false">MAX(0,MIN(J179+K179-L179,$D179-(H179)))</f>
        <v>0</v>
      </c>
      <c r="N179" s="55" t="n">
        <f aca="false">L179+M179</f>
        <v>0</v>
      </c>
      <c r="O179" s="55" t="n">
        <f aca="false">ROUND(MAX(0,O178+P178-S178),2)</f>
        <v>0</v>
      </c>
      <c r="P179" s="55" t="n">
        <f aca="false">ROUND(O179*$E$7/12,2)</f>
        <v>0</v>
      </c>
      <c r="Q179" s="55" t="n">
        <f aca="false">MIN($F$7,O179+P179)</f>
        <v>0</v>
      </c>
      <c r="R179" s="55" t="n">
        <f aca="false">MAX(0,MIN(O179+P179-Q179,$D179-(H179+M179)))</f>
        <v>0</v>
      </c>
      <c r="S179" s="55" t="n">
        <f aca="false">Q179+R179</f>
        <v>0</v>
      </c>
      <c r="T179" s="55" t="n">
        <f aca="false">ROUND(MAX(0,T178+U178-X178),2)</f>
        <v>0</v>
      </c>
      <c r="U179" s="55" t="n">
        <f aca="false">ROUND(T179*$E$8/12,2)</f>
        <v>0</v>
      </c>
      <c r="V179" s="55" t="n">
        <f aca="false">MIN($F$8,T179+U179)</f>
        <v>0</v>
      </c>
      <c r="W179" s="55" t="n">
        <f aca="false">MAX(0,MIN(T179+U179-V179,$D179-(H179+M179+R179)))</f>
        <v>0</v>
      </c>
      <c r="X179" s="55" t="n">
        <f aca="false">V179+W179</f>
        <v>0</v>
      </c>
      <c r="Y179" s="55" t="n">
        <f aca="false">ROUND(MAX(0,Y178+Z178-AC178),2)</f>
        <v>0</v>
      </c>
      <c r="Z179" s="55" t="n">
        <f aca="false">ROUND(Y179*$E$9/12,2)</f>
        <v>0</v>
      </c>
      <c r="AA179" s="55" t="n">
        <f aca="false">MIN($F$9,Y179+Z179)</f>
        <v>0</v>
      </c>
      <c r="AB179" s="55" t="n">
        <f aca="false">MAX(0,MIN(Y179+Z179-AA179,$D179-(H179+M179+R179+W179)))</f>
        <v>0</v>
      </c>
      <c r="AC179" s="55" t="n">
        <f aca="false">AA179+AB179</f>
        <v>0</v>
      </c>
      <c r="AD179" s="55" t="n">
        <f aca="false">ROUND(MAX(0,AD178+AE178-AH178),2)</f>
        <v>0</v>
      </c>
      <c r="AE179" s="55" t="n">
        <f aca="false">ROUND(AD179*$E$10/12,2)</f>
        <v>0</v>
      </c>
      <c r="AF179" s="55" t="n">
        <f aca="false">MIN($F$10,AD179+AE179)</f>
        <v>0</v>
      </c>
      <c r="AG179" s="55" t="n">
        <f aca="false">MAX(0,MIN(AD179+AE179-AF179,$D179-(H179+M179+R179+W179+AB179)))</f>
        <v>0</v>
      </c>
      <c r="AH179" s="55" t="n">
        <f aca="false">AF179+AG179</f>
        <v>0</v>
      </c>
      <c r="AI179" s="55" t="n">
        <f aca="false">ROUND(MAX(0,AI178+AJ178-AM178),2)</f>
        <v>0</v>
      </c>
      <c r="AJ179" s="55" t="n">
        <f aca="false">ROUND(AI179*$E$11/12,2)</f>
        <v>0</v>
      </c>
      <c r="AK179" s="55" t="n">
        <f aca="false">MIN($F$11,AI179+AJ179)</f>
        <v>0</v>
      </c>
      <c r="AL179" s="55" t="n">
        <f aca="false">MAX(0,MIN(AI179+AJ179-AK179,$D179-(H179+M179+R179+W179+AB179+AG179)))</f>
        <v>0</v>
      </c>
      <c r="AM179" s="55" t="n">
        <f aca="false">AK179+AL179</f>
        <v>0</v>
      </c>
      <c r="AN179" s="55" t="n">
        <f aca="false">ROUND(MAX(0,AN178+AO178-AR178),2)</f>
        <v>0</v>
      </c>
      <c r="AO179" s="55" t="n">
        <f aca="false">ROUND(AN179*$E$12/12,2)</f>
        <v>0</v>
      </c>
      <c r="AP179" s="55" t="n">
        <f aca="false">MIN($F$12,AN179+AO179)</f>
        <v>0</v>
      </c>
      <c r="AQ179" s="55" t="n">
        <f aca="false">MAX(0,MIN(AN179+AO179-AP179,$D179-(H179+M179+R179+W179+AB179+AG179+AL179)))</f>
        <v>0</v>
      </c>
      <c r="AR179" s="55" t="n">
        <f aca="false">AP179+AQ179</f>
        <v>0</v>
      </c>
      <c r="AS179" s="55" t="n">
        <f aca="false">ROUND(MAX(0,AS178+AT178-AW178),2)</f>
        <v>0</v>
      </c>
      <c r="AT179" s="55" t="n">
        <f aca="false">ROUND(AS179*$E$13/12,2)</f>
        <v>0</v>
      </c>
      <c r="AU179" s="55" t="n">
        <f aca="false">MIN($F$13,AS179+AT179)</f>
        <v>0</v>
      </c>
      <c r="AV179" s="55" t="n">
        <f aca="false">MAX(0,MIN(AS179+AT179-AU179,$D179-(H179+M179+R179+W179+AB179+AG179+AL179+AQ179)))</f>
        <v>0</v>
      </c>
      <c r="AW179" s="55" t="n">
        <f aca="false">AU179+AV179</f>
        <v>0</v>
      </c>
      <c r="AX179" s="55" t="n">
        <f aca="false">ROUND(MAX(0,AX178+AY178-BB178),2)</f>
        <v>0</v>
      </c>
      <c r="AY179" s="55" t="n">
        <f aca="false">ROUND(AX179*$E$14/12,2)</f>
        <v>0</v>
      </c>
      <c r="AZ179" s="55" t="n">
        <f aca="false">MIN($F$14,AX179+AY179)</f>
        <v>0</v>
      </c>
      <c r="BA179" s="55" t="n">
        <f aca="false">MAX(0,MIN(AX179+AY179-AZ179,$D179-(H179+M179+R179+W179+AB179+AG179+AL179+AQ179+AV179)))</f>
        <v>0</v>
      </c>
      <c r="BB179" s="55" t="n">
        <f aca="false">AZ179+BA179</f>
        <v>0</v>
      </c>
      <c r="BC179" s="55" t="n">
        <f aca="false">I179+N179+S179+X179+AC179+AH179+AM179+AR179+AW179+BB179</f>
        <v>0</v>
      </c>
      <c r="BD179" s="55" t="n">
        <f aca="false">ROUND((E179+F179-I179)+(J179+K179-N179)+(O179+P179-S179)+(T179+U179-X179)+(Y179+Z179-AC179)+(AD179+AE179-AH179)+(AI179+AJ179-AM179)+(AN179+AO179-AR179)+(AS179+AT179-AW179)+(AX179+AY179-BB179),2)</f>
        <v>0</v>
      </c>
      <c r="BE179" s="25" t="str">
        <f aca="false">IF(H179&gt;0.005,$C$5,IF(M179&gt;0.005,$C$6,IF(R179&gt;0.005,$C$7,IF(W179&gt;0.005,$C$8,IF(AB179&gt;0.005,$C$9,IF(AG179&gt;0.005,$C$10,IF(AL179&gt;0.005,$C$11,IF(AQ179&gt;0.005,$C$12,IF(AV179&gt;0.005,$C$13,IF(BA179&gt;0.005,$C$14,""))))))))))</f>
        <v/>
      </c>
    </row>
    <row r="180" customFormat="false" ht="15" hidden="false" customHeight="false" outlineLevel="0" collapsed="false">
      <c r="A180" s="24" t="n">
        <v>157</v>
      </c>
      <c r="B180" s="54" t="n">
        <f aca="false">EDATE($C$17,A180-1)</f>
        <v>51075</v>
      </c>
      <c r="C180" s="55" t="n">
        <f aca="false">G180+L180+Q180+V180+AA180+AF180+AK180+AP180+AU180+AZ180</f>
        <v>0</v>
      </c>
      <c r="D180" s="55" t="n">
        <f aca="false">MAX(0,$C$16-C180)</f>
        <v>5822</v>
      </c>
      <c r="E180" s="55" t="n">
        <f aca="false">ROUND(MAX(0,E179+F179-I179),2)</f>
        <v>0</v>
      </c>
      <c r="F180" s="55" t="n">
        <f aca="false">ROUND(E180*$E$5/12,2)</f>
        <v>0</v>
      </c>
      <c r="G180" s="55" t="n">
        <f aca="false">MIN($F$5,E180+F180)</f>
        <v>0</v>
      </c>
      <c r="H180" s="55" t="n">
        <f aca="false">MAX(0,MIN(E180+F180-G180,$D180))</f>
        <v>0</v>
      </c>
      <c r="I180" s="55" t="n">
        <f aca="false">G180+H180</f>
        <v>0</v>
      </c>
      <c r="J180" s="55" t="n">
        <f aca="false">ROUND(MAX(0,J179+K179-N179),2)</f>
        <v>0</v>
      </c>
      <c r="K180" s="55" t="n">
        <f aca="false">ROUND(J180*$E$6/12,2)</f>
        <v>0</v>
      </c>
      <c r="L180" s="55" t="n">
        <f aca="false">MIN($F$6,J180+K180)</f>
        <v>0</v>
      </c>
      <c r="M180" s="55" t="n">
        <f aca="false">MAX(0,MIN(J180+K180-L180,$D180-(H180)))</f>
        <v>0</v>
      </c>
      <c r="N180" s="55" t="n">
        <f aca="false">L180+M180</f>
        <v>0</v>
      </c>
      <c r="O180" s="55" t="n">
        <f aca="false">ROUND(MAX(0,O179+P179-S179),2)</f>
        <v>0</v>
      </c>
      <c r="P180" s="55" t="n">
        <f aca="false">ROUND(O180*$E$7/12,2)</f>
        <v>0</v>
      </c>
      <c r="Q180" s="55" t="n">
        <f aca="false">MIN($F$7,O180+P180)</f>
        <v>0</v>
      </c>
      <c r="R180" s="55" t="n">
        <f aca="false">MAX(0,MIN(O180+P180-Q180,$D180-(H180+M180)))</f>
        <v>0</v>
      </c>
      <c r="S180" s="55" t="n">
        <f aca="false">Q180+R180</f>
        <v>0</v>
      </c>
      <c r="T180" s="55" t="n">
        <f aca="false">ROUND(MAX(0,T179+U179-X179),2)</f>
        <v>0</v>
      </c>
      <c r="U180" s="55" t="n">
        <f aca="false">ROUND(T180*$E$8/12,2)</f>
        <v>0</v>
      </c>
      <c r="V180" s="55" t="n">
        <f aca="false">MIN($F$8,T180+U180)</f>
        <v>0</v>
      </c>
      <c r="W180" s="55" t="n">
        <f aca="false">MAX(0,MIN(T180+U180-V180,$D180-(H180+M180+R180)))</f>
        <v>0</v>
      </c>
      <c r="X180" s="55" t="n">
        <f aca="false">V180+W180</f>
        <v>0</v>
      </c>
      <c r="Y180" s="55" t="n">
        <f aca="false">ROUND(MAX(0,Y179+Z179-AC179),2)</f>
        <v>0</v>
      </c>
      <c r="Z180" s="55" t="n">
        <f aca="false">ROUND(Y180*$E$9/12,2)</f>
        <v>0</v>
      </c>
      <c r="AA180" s="55" t="n">
        <f aca="false">MIN($F$9,Y180+Z180)</f>
        <v>0</v>
      </c>
      <c r="AB180" s="55" t="n">
        <f aca="false">MAX(0,MIN(Y180+Z180-AA180,$D180-(H180+M180+R180+W180)))</f>
        <v>0</v>
      </c>
      <c r="AC180" s="55" t="n">
        <f aca="false">AA180+AB180</f>
        <v>0</v>
      </c>
      <c r="AD180" s="55" t="n">
        <f aca="false">ROUND(MAX(0,AD179+AE179-AH179),2)</f>
        <v>0</v>
      </c>
      <c r="AE180" s="55" t="n">
        <f aca="false">ROUND(AD180*$E$10/12,2)</f>
        <v>0</v>
      </c>
      <c r="AF180" s="55" t="n">
        <f aca="false">MIN($F$10,AD180+AE180)</f>
        <v>0</v>
      </c>
      <c r="AG180" s="55" t="n">
        <f aca="false">MAX(0,MIN(AD180+AE180-AF180,$D180-(H180+M180+R180+W180+AB180)))</f>
        <v>0</v>
      </c>
      <c r="AH180" s="55" t="n">
        <f aca="false">AF180+AG180</f>
        <v>0</v>
      </c>
      <c r="AI180" s="55" t="n">
        <f aca="false">ROUND(MAX(0,AI179+AJ179-AM179),2)</f>
        <v>0</v>
      </c>
      <c r="AJ180" s="55" t="n">
        <f aca="false">ROUND(AI180*$E$11/12,2)</f>
        <v>0</v>
      </c>
      <c r="AK180" s="55" t="n">
        <f aca="false">MIN($F$11,AI180+AJ180)</f>
        <v>0</v>
      </c>
      <c r="AL180" s="55" t="n">
        <f aca="false">MAX(0,MIN(AI180+AJ180-AK180,$D180-(H180+M180+R180+W180+AB180+AG180)))</f>
        <v>0</v>
      </c>
      <c r="AM180" s="55" t="n">
        <f aca="false">AK180+AL180</f>
        <v>0</v>
      </c>
      <c r="AN180" s="55" t="n">
        <f aca="false">ROUND(MAX(0,AN179+AO179-AR179),2)</f>
        <v>0</v>
      </c>
      <c r="AO180" s="55" t="n">
        <f aca="false">ROUND(AN180*$E$12/12,2)</f>
        <v>0</v>
      </c>
      <c r="AP180" s="55" t="n">
        <f aca="false">MIN($F$12,AN180+AO180)</f>
        <v>0</v>
      </c>
      <c r="AQ180" s="55" t="n">
        <f aca="false">MAX(0,MIN(AN180+AO180-AP180,$D180-(H180+M180+R180+W180+AB180+AG180+AL180)))</f>
        <v>0</v>
      </c>
      <c r="AR180" s="55" t="n">
        <f aca="false">AP180+AQ180</f>
        <v>0</v>
      </c>
      <c r="AS180" s="55" t="n">
        <f aca="false">ROUND(MAX(0,AS179+AT179-AW179),2)</f>
        <v>0</v>
      </c>
      <c r="AT180" s="55" t="n">
        <f aca="false">ROUND(AS180*$E$13/12,2)</f>
        <v>0</v>
      </c>
      <c r="AU180" s="55" t="n">
        <f aca="false">MIN($F$13,AS180+AT180)</f>
        <v>0</v>
      </c>
      <c r="AV180" s="55" t="n">
        <f aca="false">MAX(0,MIN(AS180+AT180-AU180,$D180-(H180+M180+R180+W180+AB180+AG180+AL180+AQ180)))</f>
        <v>0</v>
      </c>
      <c r="AW180" s="55" t="n">
        <f aca="false">AU180+AV180</f>
        <v>0</v>
      </c>
      <c r="AX180" s="55" t="n">
        <f aca="false">ROUND(MAX(0,AX179+AY179-BB179),2)</f>
        <v>0</v>
      </c>
      <c r="AY180" s="55" t="n">
        <f aca="false">ROUND(AX180*$E$14/12,2)</f>
        <v>0</v>
      </c>
      <c r="AZ180" s="55" t="n">
        <f aca="false">MIN($F$14,AX180+AY180)</f>
        <v>0</v>
      </c>
      <c r="BA180" s="55" t="n">
        <f aca="false">MAX(0,MIN(AX180+AY180-AZ180,$D180-(H180+M180+R180+W180+AB180+AG180+AL180+AQ180+AV180)))</f>
        <v>0</v>
      </c>
      <c r="BB180" s="55" t="n">
        <f aca="false">AZ180+BA180</f>
        <v>0</v>
      </c>
      <c r="BC180" s="55" t="n">
        <f aca="false">I180+N180+S180+X180+AC180+AH180+AM180+AR180+AW180+BB180</f>
        <v>0</v>
      </c>
      <c r="BD180" s="55" t="n">
        <f aca="false">ROUND((E180+F180-I180)+(J180+K180-N180)+(O180+P180-S180)+(T180+U180-X180)+(Y180+Z180-AC180)+(AD180+AE180-AH180)+(AI180+AJ180-AM180)+(AN180+AO180-AR180)+(AS180+AT180-AW180)+(AX180+AY180-BB180),2)</f>
        <v>0</v>
      </c>
      <c r="BE180" s="25" t="str">
        <f aca="false">IF(H180&gt;0.005,$C$5,IF(M180&gt;0.005,$C$6,IF(R180&gt;0.005,$C$7,IF(W180&gt;0.005,$C$8,IF(AB180&gt;0.005,$C$9,IF(AG180&gt;0.005,$C$10,IF(AL180&gt;0.005,$C$11,IF(AQ180&gt;0.005,$C$12,IF(AV180&gt;0.005,$C$13,IF(BA180&gt;0.005,$C$14,""))))))))))</f>
        <v/>
      </c>
    </row>
    <row r="181" customFormat="false" ht="15" hidden="false" customHeight="false" outlineLevel="0" collapsed="false">
      <c r="A181" s="24" t="n">
        <v>158</v>
      </c>
      <c r="B181" s="54" t="n">
        <f aca="false">EDATE($C$17,A181-1)</f>
        <v>51105</v>
      </c>
      <c r="C181" s="55" t="n">
        <f aca="false">G181+L181+Q181+V181+AA181+AF181+AK181+AP181+AU181+AZ181</f>
        <v>0</v>
      </c>
      <c r="D181" s="55" t="n">
        <f aca="false">MAX(0,$C$16-C181)</f>
        <v>5822</v>
      </c>
      <c r="E181" s="55" t="n">
        <f aca="false">ROUND(MAX(0,E180+F180-I180),2)</f>
        <v>0</v>
      </c>
      <c r="F181" s="55" t="n">
        <f aca="false">ROUND(E181*$E$5/12,2)</f>
        <v>0</v>
      </c>
      <c r="G181" s="55" t="n">
        <f aca="false">MIN($F$5,E181+F181)</f>
        <v>0</v>
      </c>
      <c r="H181" s="55" t="n">
        <f aca="false">MAX(0,MIN(E181+F181-G181,$D181))</f>
        <v>0</v>
      </c>
      <c r="I181" s="55" t="n">
        <f aca="false">G181+H181</f>
        <v>0</v>
      </c>
      <c r="J181" s="55" t="n">
        <f aca="false">ROUND(MAX(0,J180+K180-N180),2)</f>
        <v>0</v>
      </c>
      <c r="K181" s="55" t="n">
        <f aca="false">ROUND(J181*$E$6/12,2)</f>
        <v>0</v>
      </c>
      <c r="L181" s="55" t="n">
        <f aca="false">MIN($F$6,J181+K181)</f>
        <v>0</v>
      </c>
      <c r="M181" s="55" t="n">
        <f aca="false">MAX(0,MIN(J181+K181-L181,$D181-(H181)))</f>
        <v>0</v>
      </c>
      <c r="N181" s="55" t="n">
        <f aca="false">L181+M181</f>
        <v>0</v>
      </c>
      <c r="O181" s="55" t="n">
        <f aca="false">ROUND(MAX(0,O180+P180-S180),2)</f>
        <v>0</v>
      </c>
      <c r="P181" s="55" t="n">
        <f aca="false">ROUND(O181*$E$7/12,2)</f>
        <v>0</v>
      </c>
      <c r="Q181" s="55" t="n">
        <f aca="false">MIN($F$7,O181+P181)</f>
        <v>0</v>
      </c>
      <c r="R181" s="55" t="n">
        <f aca="false">MAX(0,MIN(O181+P181-Q181,$D181-(H181+M181)))</f>
        <v>0</v>
      </c>
      <c r="S181" s="55" t="n">
        <f aca="false">Q181+R181</f>
        <v>0</v>
      </c>
      <c r="T181" s="55" t="n">
        <f aca="false">ROUND(MAX(0,T180+U180-X180),2)</f>
        <v>0</v>
      </c>
      <c r="U181" s="55" t="n">
        <f aca="false">ROUND(T181*$E$8/12,2)</f>
        <v>0</v>
      </c>
      <c r="V181" s="55" t="n">
        <f aca="false">MIN($F$8,T181+U181)</f>
        <v>0</v>
      </c>
      <c r="W181" s="55" t="n">
        <f aca="false">MAX(0,MIN(T181+U181-V181,$D181-(H181+M181+R181)))</f>
        <v>0</v>
      </c>
      <c r="X181" s="55" t="n">
        <f aca="false">V181+W181</f>
        <v>0</v>
      </c>
      <c r="Y181" s="55" t="n">
        <f aca="false">ROUND(MAX(0,Y180+Z180-AC180),2)</f>
        <v>0</v>
      </c>
      <c r="Z181" s="55" t="n">
        <f aca="false">ROUND(Y181*$E$9/12,2)</f>
        <v>0</v>
      </c>
      <c r="AA181" s="55" t="n">
        <f aca="false">MIN($F$9,Y181+Z181)</f>
        <v>0</v>
      </c>
      <c r="AB181" s="55" t="n">
        <f aca="false">MAX(0,MIN(Y181+Z181-AA181,$D181-(H181+M181+R181+W181)))</f>
        <v>0</v>
      </c>
      <c r="AC181" s="55" t="n">
        <f aca="false">AA181+AB181</f>
        <v>0</v>
      </c>
      <c r="AD181" s="55" t="n">
        <f aca="false">ROUND(MAX(0,AD180+AE180-AH180),2)</f>
        <v>0</v>
      </c>
      <c r="AE181" s="55" t="n">
        <f aca="false">ROUND(AD181*$E$10/12,2)</f>
        <v>0</v>
      </c>
      <c r="AF181" s="55" t="n">
        <f aca="false">MIN($F$10,AD181+AE181)</f>
        <v>0</v>
      </c>
      <c r="AG181" s="55" t="n">
        <f aca="false">MAX(0,MIN(AD181+AE181-AF181,$D181-(H181+M181+R181+W181+AB181)))</f>
        <v>0</v>
      </c>
      <c r="AH181" s="55" t="n">
        <f aca="false">AF181+AG181</f>
        <v>0</v>
      </c>
      <c r="AI181" s="55" t="n">
        <f aca="false">ROUND(MAX(0,AI180+AJ180-AM180),2)</f>
        <v>0</v>
      </c>
      <c r="AJ181" s="55" t="n">
        <f aca="false">ROUND(AI181*$E$11/12,2)</f>
        <v>0</v>
      </c>
      <c r="AK181" s="55" t="n">
        <f aca="false">MIN($F$11,AI181+AJ181)</f>
        <v>0</v>
      </c>
      <c r="AL181" s="55" t="n">
        <f aca="false">MAX(0,MIN(AI181+AJ181-AK181,$D181-(H181+M181+R181+W181+AB181+AG181)))</f>
        <v>0</v>
      </c>
      <c r="AM181" s="55" t="n">
        <f aca="false">AK181+AL181</f>
        <v>0</v>
      </c>
      <c r="AN181" s="55" t="n">
        <f aca="false">ROUND(MAX(0,AN180+AO180-AR180),2)</f>
        <v>0</v>
      </c>
      <c r="AO181" s="55" t="n">
        <f aca="false">ROUND(AN181*$E$12/12,2)</f>
        <v>0</v>
      </c>
      <c r="AP181" s="55" t="n">
        <f aca="false">MIN($F$12,AN181+AO181)</f>
        <v>0</v>
      </c>
      <c r="AQ181" s="55" t="n">
        <f aca="false">MAX(0,MIN(AN181+AO181-AP181,$D181-(H181+M181+R181+W181+AB181+AG181+AL181)))</f>
        <v>0</v>
      </c>
      <c r="AR181" s="55" t="n">
        <f aca="false">AP181+AQ181</f>
        <v>0</v>
      </c>
      <c r="AS181" s="55" t="n">
        <f aca="false">ROUND(MAX(0,AS180+AT180-AW180),2)</f>
        <v>0</v>
      </c>
      <c r="AT181" s="55" t="n">
        <f aca="false">ROUND(AS181*$E$13/12,2)</f>
        <v>0</v>
      </c>
      <c r="AU181" s="55" t="n">
        <f aca="false">MIN($F$13,AS181+AT181)</f>
        <v>0</v>
      </c>
      <c r="AV181" s="55" t="n">
        <f aca="false">MAX(0,MIN(AS181+AT181-AU181,$D181-(H181+M181+R181+W181+AB181+AG181+AL181+AQ181)))</f>
        <v>0</v>
      </c>
      <c r="AW181" s="55" t="n">
        <f aca="false">AU181+AV181</f>
        <v>0</v>
      </c>
      <c r="AX181" s="55" t="n">
        <f aca="false">ROUND(MAX(0,AX180+AY180-BB180),2)</f>
        <v>0</v>
      </c>
      <c r="AY181" s="55" t="n">
        <f aca="false">ROUND(AX181*$E$14/12,2)</f>
        <v>0</v>
      </c>
      <c r="AZ181" s="55" t="n">
        <f aca="false">MIN($F$14,AX181+AY181)</f>
        <v>0</v>
      </c>
      <c r="BA181" s="55" t="n">
        <f aca="false">MAX(0,MIN(AX181+AY181-AZ181,$D181-(H181+M181+R181+W181+AB181+AG181+AL181+AQ181+AV181)))</f>
        <v>0</v>
      </c>
      <c r="BB181" s="55" t="n">
        <f aca="false">AZ181+BA181</f>
        <v>0</v>
      </c>
      <c r="BC181" s="55" t="n">
        <f aca="false">I181+N181+S181+X181+AC181+AH181+AM181+AR181+AW181+BB181</f>
        <v>0</v>
      </c>
      <c r="BD181" s="55" t="n">
        <f aca="false">ROUND((E181+F181-I181)+(J181+K181-N181)+(O181+P181-S181)+(T181+U181-X181)+(Y181+Z181-AC181)+(AD181+AE181-AH181)+(AI181+AJ181-AM181)+(AN181+AO181-AR181)+(AS181+AT181-AW181)+(AX181+AY181-BB181),2)</f>
        <v>0</v>
      </c>
      <c r="BE181" s="25" t="str">
        <f aca="false">IF(H181&gt;0.005,$C$5,IF(M181&gt;0.005,$C$6,IF(R181&gt;0.005,$C$7,IF(W181&gt;0.005,$C$8,IF(AB181&gt;0.005,$C$9,IF(AG181&gt;0.005,$C$10,IF(AL181&gt;0.005,$C$11,IF(AQ181&gt;0.005,$C$12,IF(AV181&gt;0.005,$C$13,IF(BA181&gt;0.005,$C$14,""))))))))))</f>
        <v/>
      </c>
    </row>
    <row r="182" customFormat="false" ht="15" hidden="false" customHeight="false" outlineLevel="0" collapsed="false">
      <c r="A182" s="24" t="n">
        <v>159</v>
      </c>
      <c r="B182" s="54" t="n">
        <f aca="false">EDATE($C$17,A182-1)</f>
        <v>51136</v>
      </c>
      <c r="C182" s="55" t="n">
        <f aca="false">G182+L182+Q182+V182+AA182+AF182+AK182+AP182+AU182+AZ182</f>
        <v>0</v>
      </c>
      <c r="D182" s="55" t="n">
        <f aca="false">MAX(0,$C$16-C182)</f>
        <v>5822</v>
      </c>
      <c r="E182" s="55" t="n">
        <f aca="false">ROUND(MAX(0,E181+F181-I181),2)</f>
        <v>0</v>
      </c>
      <c r="F182" s="55" t="n">
        <f aca="false">ROUND(E182*$E$5/12,2)</f>
        <v>0</v>
      </c>
      <c r="G182" s="55" t="n">
        <f aca="false">MIN($F$5,E182+F182)</f>
        <v>0</v>
      </c>
      <c r="H182" s="55" t="n">
        <f aca="false">MAX(0,MIN(E182+F182-G182,$D182))</f>
        <v>0</v>
      </c>
      <c r="I182" s="55" t="n">
        <f aca="false">G182+H182</f>
        <v>0</v>
      </c>
      <c r="J182" s="55" t="n">
        <f aca="false">ROUND(MAX(0,J181+K181-N181),2)</f>
        <v>0</v>
      </c>
      <c r="K182" s="55" t="n">
        <f aca="false">ROUND(J182*$E$6/12,2)</f>
        <v>0</v>
      </c>
      <c r="L182" s="55" t="n">
        <f aca="false">MIN($F$6,J182+K182)</f>
        <v>0</v>
      </c>
      <c r="M182" s="55" t="n">
        <f aca="false">MAX(0,MIN(J182+K182-L182,$D182-(H182)))</f>
        <v>0</v>
      </c>
      <c r="N182" s="55" t="n">
        <f aca="false">L182+M182</f>
        <v>0</v>
      </c>
      <c r="O182" s="55" t="n">
        <f aca="false">ROUND(MAX(0,O181+P181-S181),2)</f>
        <v>0</v>
      </c>
      <c r="P182" s="55" t="n">
        <f aca="false">ROUND(O182*$E$7/12,2)</f>
        <v>0</v>
      </c>
      <c r="Q182" s="55" t="n">
        <f aca="false">MIN($F$7,O182+P182)</f>
        <v>0</v>
      </c>
      <c r="R182" s="55" t="n">
        <f aca="false">MAX(0,MIN(O182+P182-Q182,$D182-(H182+M182)))</f>
        <v>0</v>
      </c>
      <c r="S182" s="55" t="n">
        <f aca="false">Q182+R182</f>
        <v>0</v>
      </c>
      <c r="T182" s="55" t="n">
        <f aca="false">ROUND(MAX(0,T181+U181-X181),2)</f>
        <v>0</v>
      </c>
      <c r="U182" s="55" t="n">
        <f aca="false">ROUND(T182*$E$8/12,2)</f>
        <v>0</v>
      </c>
      <c r="V182" s="55" t="n">
        <f aca="false">MIN($F$8,T182+U182)</f>
        <v>0</v>
      </c>
      <c r="W182" s="55" t="n">
        <f aca="false">MAX(0,MIN(T182+U182-V182,$D182-(H182+M182+R182)))</f>
        <v>0</v>
      </c>
      <c r="X182" s="55" t="n">
        <f aca="false">V182+W182</f>
        <v>0</v>
      </c>
      <c r="Y182" s="55" t="n">
        <f aca="false">ROUND(MAX(0,Y181+Z181-AC181),2)</f>
        <v>0</v>
      </c>
      <c r="Z182" s="55" t="n">
        <f aca="false">ROUND(Y182*$E$9/12,2)</f>
        <v>0</v>
      </c>
      <c r="AA182" s="55" t="n">
        <f aca="false">MIN($F$9,Y182+Z182)</f>
        <v>0</v>
      </c>
      <c r="AB182" s="55" t="n">
        <f aca="false">MAX(0,MIN(Y182+Z182-AA182,$D182-(H182+M182+R182+W182)))</f>
        <v>0</v>
      </c>
      <c r="AC182" s="55" t="n">
        <f aca="false">AA182+AB182</f>
        <v>0</v>
      </c>
      <c r="AD182" s="55" t="n">
        <f aca="false">ROUND(MAX(0,AD181+AE181-AH181),2)</f>
        <v>0</v>
      </c>
      <c r="AE182" s="55" t="n">
        <f aca="false">ROUND(AD182*$E$10/12,2)</f>
        <v>0</v>
      </c>
      <c r="AF182" s="55" t="n">
        <f aca="false">MIN($F$10,AD182+AE182)</f>
        <v>0</v>
      </c>
      <c r="AG182" s="55" t="n">
        <f aca="false">MAX(0,MIN(AD182+AE182-AF182,$D182-(H182+M182+R182+W182+AB182)))</f>
        <v>0</v>
      </c>
      <c r="AH182" s="55" t="n">
        <f aca="false">AF182+AG182</f>
        <v>0</v>
      </c>
      <c r="AI182" s="55" t="n">
        <f aca="false">ROUND(MAX(0,AI181+AJ181-AM181),2)</f>
        <v>0</v>
      </c>
      <c r="AJ182" s="55" t="n">
        <f aca="false">ROUND(AI182*$E$11/12,2)</f>
        <v>0</v>
      </c>
      <c r="AK182" s="55" t="n">
        <f aca="false">MIN($F$11,AI182+AJ182)</f>
        <v>0</v>
      </c>
      <c r="AL182" s="55" t="n">
        <f aca="false">MAX(0,MIN(AI182+AJ182-AK182,$D182-(H182+M182+R182+W182+AB182+AG182)))</f>
        <v>0</v>
      </c>
      <c r="AM182" s="55" t="n">
        <f aca="false">AK182+AL182</f>
        <v>0</v>
      </c>
      <c r="AN182" s="55" t="n">
        <f aca="false">ROUND(MAX(0,AN181+AO181-AR181),2)</f>
        <v>0</v>
      </c>
      <c r="AO182" s="55" t="n">
        <f aca="false">ROUND(AN182*$E$12/12,2)</f>
        <v>0</v>
      </c>
      <c r="AP182" s="55" t="n">
        <f aca="false">MIN($F$12,AN182+AO182)</f>
        <v>0</v>
      </c>
      <c r="AQ182" s="55" t="n">
        <f aca="false">MAX(0,MIN(AN182+AO182-AP182,$D182-(H182+M182+R182+W182+AB182+AG182+AL182)))</f>
        <v>0</v>
      </c>
      <c r="AR182" s="55" t="n">
        <f aca="false">AP182+AQ182</f>
        <v>0</v>
      </c>
      <c r="AS182" s="55" t="n">
        <f aca="false">ROUND(MAX(0,AS181+AT181-AW181),2)</f>
        <v>0</v>
      </c>
      <c r="AT182" s="55" t="n">
        <f aca="false">ROUND(AS182*$E$13/12,2)</f>
        <v>0</v>
      </c>
      <c r="AU182" s="55" t="n">
        <f aca="false">MIN($F$13,AS182+AT182)</f>
        <v>0</v>
      </c>
      <c r="AV182" s="55" t="n">
        <f aca="false">MAX(0,MIN(AS182+AT182-AU182,$D182-(H182+M182+R182+W182+AB182+AG182+AL182+AQ182)))</f>
        <v>0</v>
      </c>
      <c r="AW182" s="55" t="n">
        <f aca="false">AU182+AV182</f>
        <v>0</v>
      </c>
      <c r="AX182" s="55" t="n">
        <f aca="false">ROUND(MAX(0,AX181+AY181-BB181),2)</f>
        <v>0</v>
      </c>
      <c r="AY182" s="55" t="n">
        <f aca="false">ROUND(AX182*$E$14/12,2)</f>
        <v>0</v>
      </c>
      <c r="AZ182" s="55" t="n">
        <f aca="false">MIN($F$14,AX182+AY182)</f>
        <v>0</v>
      </c>
      <c r="BA182" s="55" t="n">
        <f aca="false">MAX(0,MIN(AX182+AY182-AZ182,$D182-(H182+M182+R182+W182+AB182+AG182+AL182+AQ182+AV182)))</f>
        <v>0</v>
      </c>
      <c r="BB182" s="55" t="n">
        <f aca="false">AZ182+BA182</f>
        <v>0</v>
      </c>
      <c r="BC182" s="55" t="n">
        <f aca="false">I182+N182+S182+X182+AC182+AH182+AM182+AR182+AW182+BB182</f>
        <v>0</v>
      </c>
      <c r="BD182" s="55" t="n">
        <f aca="false">ROUND((E182+F182-I182)+(J182+K182-N182)+(O182+P182-S182)+(T182+U182-X182)+(Y182+Z182-AC182)+(AD182+AE182-AH182)+(AI182+AJ182-AM182)+(AN182+AO182-AR182)+(AS182+AT182-AW182)+(AX182+AY182-BB182),2)</f>
        <v>0</v>
      </c>
      <c r="BE182" s="25" t="str">
        <f aca="false">IF(H182&gt;0.005,$C$5,IF(M182&gt;0.005,$C$6,IF(R182&gt;0.005,$C$7,IF(W182&gt;0.005,$C$8,IF(AB182&gt;0.005,$C$9,IF(AG182&gt;0.005,$C$10,IF(AL182&gt;0.005,$C$11,IF(AQ182&gt;0.005,$C$12,IF(AV182&gt;0.005,$C$13,IF(BA182&gt;0.005,$C$14,""))))))))))</f>
        <v/>
      </c>
    </row>
    <row r="183" customFormat="false" ht="15" hidden="false" customHeight="false" outlineLevel="0" collapsed="false">
      <c r="A183" s="24" t="n">
        <v>160</v>
      </c>
      <c r="B183" s="54" t="n">
        <f aca="false">EDATE($C$17,A183-1)</f>
        <v>51167</v>
      </c>
      <c r="C183" s="55" t="n">
        <f aca="false">G183+L183+Q183+V183+AA183+AF183+AK183+AP183+AU183+AZ183</f>
        <v>0</v>
      </c>
      <c r="D183" s="55" t="n">
        <f aca="false">MAX(0,$C$16-C183)</f>
        <v>5822</v>
      </c>
      <c r="E183" s="55" t="n">
        <f aca="false">ROUND(MAX(0,E182+F182-I182),2)</f>
        <v>0</v>
      </c>
      <c r="F183" s="55" t="n">
        <f aca="false">ROUND(E183*$E$5/12,2)</f>
        <v>0</v>
      </c>
      <c r="G183" s="55" t="n">
        <f aca="false">MIN($F$5,E183+F183)</f>
        <v>0</v>
      </c>
      <c r="H183" s="55" t="n">
        <f aca="false">MAX(0,MIN(E183+F183-G183,$D183))</f>
        <v>0</v>
      </c>
      <c r="I183" s="55" t="n">
        <f aca="false">G183+H183</f>
        <v>0</v>
      </c>
      <c r="J183" s="55" t="n">
        <f aca="false">ROUND(MAX(0,J182+K182-N182),2)</f>
        <v>0</v>
      </c>
      <c r="K183" s="55" t="n">
        <f aca="false">ROUND(J183*$E$6/12,2)</f>
        <v>0</v>
      </c>
      <c r="L183" s="55" t="n">
        <f aca="false">MIN($F$6,J183+K183)</f>
        <v>0</v>
      </c>
      <c r="M183" s="55" t="n">
        <f aca="false">MAX(0,MIN(J183+K183-L183,$D183-(H183)))</f>
        <v>0</v>
      </c>
      <c r="N183" s="55" t="n">
        <f aca="false">L183+M183</f>
        <v>0</v>
      </c>
      <c r="O183" s="55" t="n">
        <f aca="false">ROUND(MAX(0,O182+P182-S182),2)</f>
        <v>0</v>
      </c>
      <c r="P183" s="55" t="n">
        <f aca="false">ROUND(O183*$E$7/12,2)</f>
        <v>0</v>
      </c>
      <c r="Q183" s="55" t="n">
        <f aca="false">MIN($F$7,O183+P183)</f>
        <v>0</v>
      </c>
      <c r="R183" s="55" t="n">
        <f aca="false">MAX(0,MIN(O183+P183-Q183,$D183-(H183+M183)))</f>
        <v>0</v>
      </c>
      <c r="S183" s="55" t="n">
        <f aca="false">Q183+R183</f>
        <v>0</v>
      </c>
      <c r="T183" s="55" t="n">
        <f aca="false">ROUND(MAX(0,T182+U182-X182),2)</f>
        <v>0</v>
      </c>
      <c r="U183" s="55" t="n">
        <f aca="false">ROUND(T183*$E$8/12,2)</f>
        <v>0</v>
      </c>
      <c r="V183" s="55" t="n">
        <f aca="false">MIN($F$8,T183+U183)</f>
        <v>0</v>
      </c>
      <c r="W183" s="55" t="n">
        <f aca="false">MAX(0,MIN(T183+U183-V183,$D183-(H183+M183+R183)))</f>
        <v>0</v>
      </c>
      <c r="X183" s="55" t="n">
        <f aca="false">V183+W183</f>
        <v>0</v>
      </c>
      <c r="Y183" s="55" t="n">
        <f aca="false">ROUND(MAX(0,Y182+Z182-AC182),2)</f>
        <v>0</v>
      </c>
      <c r="Z183" s="55" t="n">
        <f aca="false">ROUND(Y183*$E$9/12,2)</f>
        <v>0</v>
      </c>
      <c r="AA183" s="55" t="n">
        <f aca="false">MIN($F$9,Y183+Z183)</f>
        <v>0</v>
      </c>
      <c r="AB183" s="55" t="n">
        <f aca="false">MAX(0,MIN(Y183+Z183-AA183,$D183-(H183+M183+R183+W183)))</f>
        <v>0</v>
      </c>
      <c r="AC183" s="55" t="n">
        <f aca="false">AA183+AB183</f>
        <v>0</v>
      </c>
      <c r="AD183" s="55" t="n">
        <f aca="false">ROUND(MAX(0,AD182+AE182-AH182),2)</f>
        <v>0</v>
      </c>
      <c r="AE183" s="55" t="n">
        <f aca="false">ROUND(AD183*$E$10/12,2)</f>
        <v>0</v>
      </c>
      <c r="AF183" s="55" t="n">
        <f aca="false">MIN($F$10,AD183+AE183)</f>
        <v>0</v>
      </c>
      <c r="AG183" s="55" t="n">
        <f aca="false">MAX(0,MIN(AD183+AE183-AF183,$D183-(H183+M183+R183+W183+AB183)))</f>
        <v>0</v>
      </c>
      <c r="AH183" s="55" t="n">
        <f aca="false">AF183+AG183</f>
        <v>0</v>
      </c>
      <c r="AI183" s="55" t="n">
        <f aca="false">ROUND(MAX(0,AI182+AJ182-AM182),2)</f>
        <v>0</v>
      </c>
      <c r="AJ183" s="55" t="n">
        <f aca="false">ROUND(AI183*$E$11/12,2)</f>
        <v>0</v>
      </c>
      <c r="AK183" s="55" t="n">
        <f aca="false">MIN($F$11,AI183+AJ183)</f>
        <v>0</v>
      </c>
      <c r="AL183" s="55" t="n">
        <f aca="false">MAX(0,MIN(AI183+AJ183-AK183,$D183-(H183+M183+R183+W183+AB183+AG183)))</f>
        <v>0</v>
      </c>
      <c r="AM183" s="55" t="n">
        <f aca="false">AK183+AL183</f>
        <v>0</v>
      </c>
      <c r="AN183" s="55" t="n">
        <f aca="false">ROUND(MAX(0,AN182+AO182-AR182),2)</f>
        <v>0</v>
      </c>
      <c r="AO183" s="55" t="n">
        <f aca="false">ROUND(AN183*$E$12/12,2)</f>
        <v>0</v>
      </c>
      <c r="AP183" s="55" t="n">
        <f aca="false">MIN($F$12,AN183+AO183)</f>
        <v>0</v>
      </c>
      <c r="AQ183" s="55" t="n">
        <f aca="false">MAX(0,MIN(AN183+AO183-AP183,$D183-(H183+M183+R183+W183+AB183+AG183+AL183)))</f>
        <v>0</v>
      </c>
      <c r="AR183" s="55" t="n">
        <f aca="false">AP183+AQ183</f>
        <v>0</v>
      </c>
      <c r="AS183" s="55" t="n">
        <f aca="false">ROUND(MAX(0,AS182+AT182-AW182),2)</f>
        <v>0</v>
      </c>
      <c r="AT183" s="55" t="n">
        <f aca="false">ROUND(AS183*$E$13/12,2)</f>
        <v>0</v>
      </c>
      <c r="AU183" s="55" t="n">
        <f aca="false">MIN($F$13,AS183+AT183)</f>
        <v>0</v>
      </c>
      <c r="AV183" s="55" t="n">
        <f aca="false">MAX(0,MIN(AS183+AT183-AU183,$D183-(H183+M183+R183+W183+AB183+AG183+AL183+AQ183)))</f>
        <v>0</v>
      </c>
      <c r="AW183" s="55" t="n">
        <f aca="false">AU183+AV183</f>
        <v>0</v>
      </c>
      <c r="AX183" s="55" t="n">
        <f aca="false">ROUND(MAX(0,AX182+AY182-BB182),2)</f>
        <v>0</v>
      </c>
      <c r="AY183" s="55" t="n">
        <f aca="false">ROUND(AX183*$E$14/12,2)</f>
        <v>0</v>
      </c>
      <c r="AZ183" s="55" t="n">
        <f aca="false">MIN($F$14,AX183+AY183)</f>
        <v>0</v>
      </c>
      <c r="BA183" s="55" t="n">
        <f aca="false">MAX(0,MIN(AX183+AY183-AZ183,$D183-(H183+M183+R183+W183+AB183+AG183+AL183+AQ183+AV183)))</f>
        <v>0</v>
      </c>
      <c r="BB183" s="55" t="n">
        <f aca="false">AZ183+BA183</f>
        <v>0</v>
      </c>
      <c r="BC183" s="55" t="n">
        <f aca="false">I183+N183+S183+X183+AC183+AH183+AM183+AR183+AW183+BB183</f>
        <v>0</v>
      </c>
      <c r="BD183" s="55" t="n">
        <f aca="false">ROUND((E183+F183-I183)+(J183+K183-N183)+(O183+P183-S183)+(T183+U183-X183)+(Y183+Z183-AC183)+(AD183+AE183-AH183)+(AI183+AJ183-AM183)+(AN183+AO183-AR183)+(AS183+AT183-AW183)+(AX183+AY183-BB183),2)</f>
        <v>0</v>
      </c>
      <c r="BE183" s="25" t="str">
        <f aca="false">IF(H183&gt;0.005,$C$5,IF(M183&gt;0.005,$C$6,IF(R183&gt;0.005,$C$7,IF(W183&gt;0.005,$C$8,IF(AB183&gt;0.005,$C$9,IF(AG183&gt;0.005,$C$10,IF(AL183&gt;0.005,$C$11,IF(AQ183&gt;0.005,$C$12,IF(AV183&gt;0.005,$C$13,IF(BA183&gt;0.005,$C$14,""))))))))))</f>
        <v/>
      </c>
    </row>
    <row r="184" customFormat="false" ht="15" hidden="false" customHeight="false" outlineLevel="0" collapsed="false">
      <c r="A184" s="24" t="n">
        <v>161</v>
      </c>
      <c r="B184" s="54" t="n">
        <f aca="false">EDATE($C$17,A184-1)</f>
        <v>51196</v>
      </c>
      <c r="C184" s="55" t="n">
        <f aca="false">G184+L184+Q184+V184+AA184+AF184+AK184+AP184+AU184+AZ184</f>
        <v>0</v>
      </c>
      <c r="D184" s="55" t="n">
        <f aca="false">MAX(0,$C$16-C184)</f>
        <v>5822</v>
      </c>
      <c r="E184" s="55" t="n">
        <f aca="false">ROUND(MAX(0,E183+F183-I183),2)</f>
        <v>0</v>
      </c>
      <c r="F184" s="55" t="n">
        <f aca="false">ROUND(E184*$E$5/12,2)</f>
        <v>0</v>
      </c>
      <c r="G184" s="55" t="n">
        <f aca="false">MIN($F$5,E184+F184)</f>
        <v>0</v>
      </c>
      <c r="H184" s="55" t="n">
        <f aca="false">MAX(0,MIN(E184+F184-G184,$D184))</f>
        <v>0</v>
      </c>
      <c r="I184" s="55" t="n">
        <f aca="false">G184+H184</f>
        <v>0</v>
      </c>
      <c r="J184" s="55" t="n">
        <f aca="false">ROUND(MAX(0,J183+K183-N183),2)</f>
        <v>0</v>
      </c>
      <c r="K184" s="55" t="n">
        <f aca="false">ROUND(J184*$E$6/12,2)</f>
        <v>0</v>
      </c>
      <c r="L184" s="55" t="n">
        <f aca="false">MIN($F$6,J184+K184)</f>
        <v>0</v>
      </c>
      <c r="M184" s="55" t="n">
        <f aca="false">MAX(0,MIN(J184+K184-L184,$D184-(H184)))</f>
        <v>0</v>
      </c>
      <c r="N184" s="55" t="n">
        <f aca="false">L184+M184</f>
        <v>0</v>
      </c>
      <c r="O184" s="55" t="n">
        <f aca="false">ROUND(MAX(0,O183+P183-S183),2)</f>
        <v>0</v>
      </c>
      <c r="P184" s="55" t="n">
        <f aca="false">ROUND(O184*$E$7/12,2)</f>
        <v>0</v>
      </c>
      <c r="Q184" s="55" t="n">
        <f aca="false">MIN($F$7,O184+P184)</f>
        <v>0</v>
      </c>
      <c r="R184" s="55" t="n">
        <f aca="false">MAX(0,MIN(O184+P184-Q184,$D184-(H184+M184)))</f>
        <v>0</v>
      </c>
      <c r="S184" s="55" t="n">
        <f aca="false">Q184+R184</f>
        <v>0</v>
      </c>
      <c r="T184" s="55" t="n">
        <f aca="false">ROUND(MAX(0,T183+U183-X183),2)</f>
        <v>0</v>
      </c>
      <c r="U184" s="55" t="n">
        <f aca="false">ROUND(T184*$E$8/12,2)</f>
        <v>0</v>
      </c>
      <c r="V184" s="55" t="n">
        <f aca="false">MIN($F$8,T184+U184)</f>
        <v>0</v>
      </c>
      <c r="W184" s="55" t="n">
        <f aca="false">MAX(0,MIN(T184+U184-V184,$D184-(H184+M184+R184)))</f>
        <v>0</v>
      </c>
      <c r="X184" s="55" t="n">
        <f aca="false">V184+W184</f>
        <v>0</v>
      </c>
      <c r="Y184" s="55" t="n">
        <f aca="false">ROUND(MAX(0,Y183+Z183-AC183),2)</f>
        <v>0</v>
      </c>
      <c r="Z184" s="55" t="n">
        <f aca="false">ROUND(Y184*$E$9/12,2)</f>
        <v>0</v>
      </c>
      <c r="AA184" s="55" t="n">
        <f aca="false">MIN($F$9,Y184+Z184)</f>
        <v>0</v>
      </c>
      <c r="AB184" s="55" t="n">
        <f aca="false">MAX(0,MIN(Y184+Z184-AA184,$D184-(H184+M184+R184+W184)))</f>
        <v>0</v>
      </c>
      <c r="AC184" s="55" t="n">
        <f aca="false">AA184+AB184</f>
        <v>0</v>
      </c>
      <c r="AD184" s="55" t="n">
        <f aca="false">ROUND(MAX(0,AD183+AE183-AH183),2)</f>
        <v>0</v>
      </c>
      <c r="AE184" s="55" t="n">
        <f aca="false">ROUND(AD184*$E$10/12,2)</f>
        <v>0</v>
      </c>
      <c r="AF184" s="55" t="n">
        <f aca="false">MIN($F$10,AD184+AE184)</f>
        <v>0</v>
      </c>
      <c r="AG184" s="55" t="n">
        <f aca="false">MAX(0,MIN(AD184+AE184-AF184,$D184-(H184+M184+R184+W184+AB184)))</f>
        <v>0</v>
      </c>
      <c r="AH184" s="55" t="n">
        <f aca="false">AF184+AG184</f>
        <v>0</v>
      </c>
      <c r="AI184" s="55" t="n">
        <f aca="false">ROUND(MAX(0,AI183+AJ183-AM183),2)</f>
        <v>0</v>
      </c>
      <c r="AJ184" s="55" t="n">
        <f aca="false">ROUND(AI184*$E$11/12,2)</f>
        <v>0</v>
      </c>
      <c r="AK184" s="55" t="n">
        <f aca="false">MIN($F$11,AI184+AJ184)</f>
        <v>0</v>
      </c>
      <c r="AL184" s="55" t="n">
        <f aca="false">MAX(0,MIN(AI184+AJ184-AK184,$D184-(H184+M184+R184+W184+AB184+AG184)))</f>
        <v>0</v>
      </c>
      <c r="AM184" s="55" t="n">
        <f aca="false">AK184+AL184</f>
        <v>0</v>
      </c>
      <c r="AN184" s="55" t="n">
        <f aca="false">ROUND(MAX(0,AN183+AO183-AR183),2)</f>
        <v>0</v>
      </c>
      <c r="AO184" s="55" t="n">
        <f aca="false">ROUND(AN184*$E$12/12,2)</f>
        <v>0</v>
      </c>
      <c r="AP184" s="55" t="n">
        <f aca="false">MIN($F$12,AN184+AO184)</f>
        <v>0</v>
      </c>
      <c r="AQ184" s="55" t="n">
        <f aca="false">MAX(0,MIN(AN184+AO184-AP184,$D184-(H184+M184+R184+W184+AB184+AG184+AL184)))</f>
        <v>0</v>
      </c>
      <c r="AR184" s="55" t="n">
        <f aca="false">AP184+AQ184</f>
        <v>0</v>
      </c>
      <c r="AS184" s="55" t="n">
        <f aca="false">ROUND(MAX(0,AS183+AT183-AW183),2)</f>
        <v>0</v>
      </c>
      <c r="AT184" s="55" t="n">
        <f aca="false">ROUND(AS184*$E$13/12,2)</f>
        <v>0</v>
      </c>
      <c r="AU184" s="55" t="n">
        <f aca="false">MIN($F$13,AS184+AT184)</f>
        <v>0</v>
      </c>
      <c r="AV184" s="55" t="n">
        <f aca="false">MAX(0,MIN(AS184+AT184-AU184,$D184-(H184+M184+R184+W184+AB184+AG184+AL184+AQ184)))</f>
        <v>0</v>
      </c>
      <c r="AW184" s="55" t="n">
        <f aca="false">AU184+AV184</f>
        <v>0</v>
      </c>
      <c r="AX184" s="55" t="n">
        <f aca="false">ROUND(MAX(0,AX183+AY183-BB183),2)</f>
        <v>0</v>
      </c>
      <c r="AY184" s="55" t="n">
        <f aca="false">ROUND(AX184*$E$14/12,2)</f>
        <v>0</v>
      </c>
      <c r="AZ184" s="55" t="n">
        <f aca="false">MIN($F$14,AX184+AY184)</f>
        <v>0</v>
      </c>
      <c r="BA184" s="55" t="n">
        <f aca="false">MAX(0,MIN(AX184+AY184-AZ184,$D184-(H184+M184+R184+W184+AB184+AG184+AL184+AQ184+AV184)))</f>
        <v>0</v>
      </c>
      <c r="BB184" s="55" t="n">
        <f aca="false">AZ184+BA184</f>
        <v>0</v>
      </c>
      <c r="BC184" s="55" t="n">
        <f aca="false">I184+N184+S184+X184+AC184+AH184+AM184+AR184+AW184+BB184</f>
        <v>0</v>
      </c>
      <c r="BD184" s="55" t="n">
        <f aca="false">ROUND((E184+F184-I184)+(J184+K184-N184)+(O184+P184-S184)+(T184+U184-X184)+(Y184+Z184-AC184)+(AD184+AE184-AH184)+(AI184+AJ184-AM184)+(AN184+AO184-AR184)+(AS184+AT184-AW184)+(AX184+AY184-BB184),2)</f>
        <v>0</v>
      </c>
      <c r="BE184" s="25" t="str">
        <f aca="false">IF(H184&gt;0.005,$C$5,IF(M184&gt;0.005,$C$6,IF(R184&gt;0.005,$C$7,IF(W184&gt;0.005,$C$8,IF(AB184&gt;0.005,$C$9,IF(AG184&gt;0.005,$C$10,IF(AL184&gt;0.005,$C$11,IF(AQ184&gt;0.005,$C$12,IF(AV184&gt;0.005,$C$13,IF(BA184&gt;0.005,$C$14,""))))))))))</f>
        <v/>
      </c>
    </row>
    <row r="185" customFormat="false" ht="15" hidden="false" customHeight="false" outlineLevel="0" collapsed="false">
      <c r="A185" s="24" t="n">
        <v>162</v>
      </c>
      <c r="B185" s="54" t="n">
        <f aca="false">EDATE($C$17,A185-1)</f>
        <v>51227</v>
      </c>
      <c r="C185" s="55" t="n">
        <f aca="false">G185+L185+Q185+V185+AA185+AF185+AK185+AP185+AU185+AZ185</f>
        <v>0</v>
      </c>
      <c r="D185" s="55" t="n">
        <f aca="false">MAX(0,$C$16-C185)</f>
        <v>5822</v>
      </c>
      <c r="E185" s="55" t="n">
        <f aca="false">ROUND(MAX(0,E184+F184-I184),2)</f>
        <v>0</v>
      </c>
      <c r="F185" s="55" t="n">
        <f aca="false">ROUND(E185*$E$5/12,2)</f>
        <v>0</v>
      </c>
      <c r="G185" s="55" t="n">
        <f aca="false">MIN($F$5,E185+F185)</f>
        <v>0</v>
      </c>
      <c r="H185" s="55" t="n">
        <f aca="false">MAX(0,MIN(E185+F185-G185,$D185))</f>
        <v>0</v>
      </c>
      <c r="I185" s="55" t="n">
        <f aca="false">G185+H185</f>
        <v>0</v>
      </c>
      <c r="J185" s="55" t="n">
        <f aca="false">ROUND(MAX(0,J184+K184-N184),2)</f>
        <v>0</v>
      </c>
      <c r="K185" s="55" t="n">
        <f aca="false">ROUND(J185*$E$6/12,2)</f>
        <v>0</v>
      </c>
      <c r="L185" s="55" t="n">
        <f aca="false">MIN($F$6,J185+K185)</f>
        <v>0</v>
      </c>
      <c r="M185" s="55" t="n">
        <f aca="false">MAX(0,MIN(J185+K185-L185,$D185-(H185)))</f>
        <v>0</v>
      </c>
      <c r="N185" s="55" t="n">
        <f aca="false">L185+M185</f>
        <v>0</v>
      </c>
      <c r="O185" s="55" t="n">
        <f aca="false">ROUND(MAX(0,O184+P184-S184),2)</f>
        <v>0</v>
      </c>
      <c r="P185" s="55" t="n">
        <f aca="false">ROUND(O185*$E$7/12,2)</f>
        <v>0</v>
      </c>
      <c r="Q185" s="55" t="n">
        <f aca="false">MIN($F$7,O185+P185)</f>
        <v>0</v>
      </c>
      <c r="R185" s="55" t="n">
        <f aca="false">MAX(0,MIN(O185+P185-Q185,$D185-(H185+M185)))</f>
        <v>0</v>
      </c>
      <c r="S185" s="55" t="n">
        <f aca="false">Q185+R185</f>
        <v>0</v>
      </c>
      <c r="T185" s="55" t="n">
        <f aca="false">ROUND(MAX(0,T184+U184-X184),2)</f>
        <v>0</v>
      </c>
      <c r="U185" s="55" t="n">
        <f aca="false">ROUND(T185*$E$8/12,2)</f>
        <v>0</v>
      </c>
      <c r="V185" s="55" t="n">
        <f aca="false">MIN($F$8,T185+U185)</f>
        <v>0</v>
      </c>
      <c r="W185" s="55" t="n">
        <f aca="false">MAX(0,MIN(T185+U185-V185,$D185-(H185+M185+R185)))</f>
        <v>0</v>
      </c>
      <c r="X185" s="55" t="n">
        <f aca="false">V185+W185</f>
        <v>0</v>
      </c>
      <c r="Y185" s="55" t="n">
        <f aca="false">ROUND(MAX(0,Y184+Z184-AC184),2)</f>
        <v>0</v>
      </c>
      <c r="Z185" s="55" t="n">
        <f aca="false">ROUND(Y185*$E$9/12,2)</f>
        <v>0</v>
      </c>
      <c r="AA185" s="55" t="n">
        <f aca="false">MIN($F$9,Y185+Z185)</f>
        <v>0</v>
      </c>
      <c r="AB185" s="55" t="n">
        <f aca="false">MAX(0,MIN(Y185+Z185-AA185,$D185-(H185+M185+R185+W185)))</f>
        <v>0</v>
      </c>
      <c r="AC185" s="55" t="n">
        <f aca="false">AA185+AB185</f>
        <v>0</v>
      </c>
      <c r="AD185" s="55" t="n">
        <f aca="false">ROUND(MAX(0,AD184+AE184-AH184),2)</f>
        <v>0</v>
      </c>
      <c r="AE185" s="55" t="n">
        <f aca="false">ROUND(AD185*$E$10/12,2)</f>
        <v>0</v>
      </c>
      <c r="AF185" s="55" t="n">
        <f aca="false">MIN($F$10,AD185+AE185)</f>
        <v>0</v>
      </c>
      <c r="AG185" s="55" t="n">
        <f aca="false">MAX(0,MIN(AD185+AE185-AF185,$D185-(H185+M185+R185+W185+AB185)))</f>
        <v>0</v>
      </c>
      <c r="AH185" s="55" t="n">
        <f aca="false">AF185+AG185</f>
        <v>0</v>
      </c>
      <c r="AI185" s="55" t="n">
        <f aca="false">ROUND(MAX(0,AI184+AJ184-AM184),2)</f>
        <v>0</v>
      </c>
      <c r="AJ185" s="55" t="n">
        <f aca="false">ROUND(AI185*$E$11/12,2)</f>
        <v>0</v>
      </c>
      <c r="AK185" s="55" t="n">
        <f aca="false">MIN($F$11,AI185+AJ185)</f>
        <v>0</v>
      </c>
      <c r="AL185" s="55" t="n">
        <f aca="false">MAX(0,MIN(AI185+AJ185-AK185,$D185-(H185+M185+R185+W185+AB185+AG185)))</f>
        <v>0</v>
      </c>
      <c r="AM185" s="55" t="n">
        <f aca="false">AK185+AL185</f>
        <v>0</v>
      </c>
      <c r="AN185" s="55" t="n">
        <f aca="false">ROUND(MAX(0,AN184+AO184-AR184),2)</f>
        <v>0</v>
      </c>
      <c r="AO185" s="55" t="n">
        <f aca="false">ROUND(AN185*$E$12/12,2)</f>
        <v>0</v>
      </c>
      <c r="AP185" s="55" t="n">
        <f aca="false">MIN($F$12,AN185+AO185)</f>
        <v>0</v>
      </c>
      <c r="AQ185" s="55" t="n">
        <f aca="false">MAX(0,MIN(AN185+AO185-AP185,$D185-(H185+M185+R185+W185+AB185+AG185+AL185)))</f>
        <v>0</v>
      </c>
      <c r="AR185" s="55" t="n">
        <f aca="false">AP185+AQ185</f>
        <v>0</v>
      </c>
      <c r="AS185" s="55" t="n">
        <f aca="false">ROUND(MAX(0,AS184+AT184-AW184),2)</f>
        <v>0</v>
      </c>
      <c r="AT185" s="55" t="n">
        <f aca="false">ROUND(AS185*$E$13/12,2)</f>
        <v>0</v>
      </c>
      <c r="AU185" s="55" t="n">
        <f aca="false">MIN($F$13,AS185+AT185)</f>
        <v>0</v>
      </c>
      <c r="AV185" s="55" t="n">
        <f aca="false">MAX(0,MIN(AS185+AT185-AU185,$D185-(H185+M185+R185+W185+AB185+AG185+AL185+AQ185)))</f>
        <v>0</v>
      </c>
      <c r="AW185" s="55" t="n">
        <f aca="false">AU185+AV185</f>
        <v>0</v>
      </c>
      <c r="AX185" s="55" t="n">
        <f aca="false">ROUND(MAX(0,AX184+AY184-BB184),2)</f>
        <v>0</v>
      </c>
      <c r="AY185" s="55" t="n">
        <f aca="false">ROUND(AX185*$E$14/12,2)</f>
        <v>0</v>
      </c>
      <c r="AZ185" s="55" t="n">
        <f aca="false">MIN($F$14,AX185+AY185)</f>
        <v>0</v>
      </c>
      <c r="BA185" s="55" t="n">
        <f aca="false">MAX(0,MIN(AX185+AY185-AZ185,$D185-(H185+M185+R185+W185+AB185+AG185+AL185+AQ185+AV185)))</f>
        <v>0</v>
      </c>
      <c r="BB185" s="55" t="n">
        <f aca="false">AZ185+BA185</f>
        <v>0</v>
      </c>
      <c r="BC185" s="55" t="n">
        <f aca="false">I185+N185+S185+X185+AC185+AH185+AM185+AR185+AW185+BB185</f>
        <v>0</v>
      </c>
      <c r="BD185" s="55" t="n">
        <f aca="false">ROUND((E185+F185-I185)+(J185+K185-N185)+(O185+P185-S185)+(T185+U185-X185)+(Y185+Z185-AC185)+(AD185+AE185-AH185)+(AI185+AJ185-AM185)+(AN185+AO185-AR185)+(AS185+AT185-AW185)+(AX185+AY185-BB185),2)</f>
        <v>0</v>
      </c>
      <c r="BE185" s="25" t="str">
        <f aca="false">IF(H185&gt;0.005,$C$5,IF(M185&gt;0.005,$C$6,IF(R185&gt;0.005,$C$7,IF(W185&gt;0.005,$C$8,IF(AB185&gt;0.005,$C$9,IF(AG185&gt;0.005,$C$10,IF(AL185&gt;0.005,$C$11,IF(AQ185&gt;0.005,$C$12,IF(AV185&gt;0.005,$C$13,IF(BA185&gt;0.005,$C$14,""))))))))))</f>
        <v/>
      </c>
    </row>
    <row r="186" customFormat="false" ht="15" hidden="false" customHeight="false" outlineLevel="0" collapsed="false">
      <c r="A186" s="24" t="n">
        <v>163</v>
      </c>
      <c r="B186" s="54" t="n">
        <f aca="false">EDATE($C$17,A186-1)</f>
        <v>51257</v>
      </c>
      <c r="C186" s="55" t="n">
        <f aca="false">G186+L186+Q186+V186+AA186+AF186+AK186+AP186+AU186+AZ186</f>
        <v>0</v>
      </c>
      <c r="D186" s="55" t="n">
        <f aca="false">MAX(0,$C$16-C186)</f>
        <v>5822</v>
      </c>
      <c r="E186" s="55" t="n">
        <f aca="false">ROUND(MAX(0,E185+F185-I185),2)</f>
        <v>0</v>
      </c>
      <c r="F186" s="55" t="n">
        <f aca="false">ROUND(E186*$E$5/12,2)</f>
        <v>0</v>
      </c>
      <c r="G186" s="55" t="n">
        <f aca="false">MIN($F$5,E186+F186)</f>
        <v>0</v>
      </c>
      <c r="H186" s="55" t="n">
        <f aca="false">MAX(0,MIN(E186+F186-G186,$D186))</f>
        <v>0</v>
      </c>
      <c r="I186" s="55" t="n">
        <f aca="false">G186+H186</f>
        <v>0</v>
      </c>
      <c r="J186" s="55" t="n">
        <f aca="false">ROUND(MAX(0,J185+K185-N185),2)</f>
        <v>0</v>
      </c>
      <c r="K186" s="55" t="n">
        <f aca="false">ROUND(J186*$E$6/12,2)</f>
        <v>0</v>
      </c>
      <c r="L186" s="55" t="n">
        <f aca="false">MIN($F$6,J186+K186)</f>
        <v>0</v>
      </c>
      <c r="M186" s="55" t="n">
        <f aca="false">MAX(0,MIN(J186+K186-L186,$D186-(H186)))</f>
        <v>0</v>
      </c>
      <c r="N186" s="55" t="n">
        <f aca="false">L186+M186</f>
        <v>0</v>
      </c>
      <c r="O186" s="55" t="n">
        <f aca="false">ROUND(MAX(0,O185+P185-S185),2)</f>
        <v>0</v>
      </c>
      <c r="P186" s="55" t="n">
        <f aca="false">ROUND(O186*$E$7/12,2)</f>
        <v>0</v>
      </c>
      <c r="Q186" s="55" t="n">
        <f aca="false">MIN($F$7,O186+P186)</f>
        <v>0</v>
      </c>
      <c r="R186" s="55" t="n">
        <f aca="false">MAX(0,MIN(O186+P186-Q186,$D186-(H186+M186)))</f>
        <v>0</v>
      </c>
      <c r="S186" s="55" t="n">
        <f aca="false">Q186+R186</f>
        <v>0</v>
      </c>
      <c r="T186" s="55" t="n">
        <f aca="false">ROUND(MAX(0,T185+U185-X185),2)</f>
        <v>0</v>
      </c>
      <c r="U186" s="55" t="n">
        <f aca="false">ROUND(T186*$E$8/12,2)</f>
        <v>0</v>
      </c>
      <c r="V186" s="55" t="n">
        <f aca="false">MIN($F$8,T186+U186)</f>
        <v>0</v>
      </c>
      <c r="W186" s="55" t="n">
        <f aca="false">MAX(0,MIN(T186+U186-V186,$D186-(H186+M186+R186)))</f>
        <v>0</v>
      </c>
      <c r="X186" s="55" t="n">
        <f aca="false">V186+W186</f>
        <v>0</v>
      </c>
      <c r="Y186" s="55" t="n">
        <f aca="false">ROUND(MAX(0,Y185+Z185-AC185),2)</f>
        <v>0</v>
      </c>
      <c r="Z186" s="55" t="n">
        <f aca="false">ROUND(Y186*$E$9/12,2)</f>
        <v>0</v>
      </c>
      <c r="AA186" s="55" t="n">
        <f aca="false">MIN($F$9,Y186+Z186)</f>
        <v>0</v>
      </c>
      <c r="AB186" s="55" t="n">
        <f aca="false">MAX(0,MIN(Y186+Z186-AA186,$D186-(H186+M186+R186+W186)))</f>
        <v>0</v>
      </c>
      <c r="AC186" s="55" t="n">
        <f aca="false">AA186+AB186</f>
        <v>0</v>
      </c>
      <c r="AD186" s="55" t="n">
        <f aca="false">ROUND(MAX(0,AD185+AE185-AH185),2)</f>
        <v>0</v>
      </c>
      <c r="AE186" s="55" t="n">
        <f aca="false">ROUND(AD186*$E$10/12,2)</f>
        <v>0</v>
      </c>
      <c r="AF186" s="55" t="n">
        <f aca="false">MIN($F$10,AD186+AE186)</f>
        <v>0</v>
      </c>
      <c r="AG186" s="55" t="n">
        <f aca="false">MAX(0,MIN(AD186+AE186-AF186,$D186-(H186+M186+R186+W186+AB186)))</f>
        <v>0</v>
      </c>
      <c r="AH186" s="55" t="n">
        <f aca="false">AF186+AG186</f>
        <v>0</v>
      </c>
      <c r="AI186" s="55" t="n">
        <f aca="false">ROUND(MAX(0,AI185+AJ185-AM185),2)</f>
        <v>0</v>
      </c>
      <c r="AJ186" s="55" t="n">
        <f aca="false">ROUND(AI186*$E$11/12,2)</f>
        <v>0</v>
      </c>
      <c r="AK186" s="55" t="n">
        <f aca="false">MIN($F$11,AI186+AJ186)</f>
        <v>0</v>
      </c>
      <c r="AL186" s="55" t="n">
        <f aca="false">MAX(0,MIN(AI186+AJ186-AK186,$D186-(H186+M186+R186+W186+AB186+AG186)))</f>
        <v>0</v>
      </c>
      <c r="AM186" s="55" t="n">
        <f aca="false">AK186+AL186</f>
        <v>0</v>
      </c>
      <c r="AN186" s="55" t="n">
        <f aca="false">ROUND(MAX(0,AN185+AO185-AR185),2)</f>
        <v>0</v>
      </c>
      <c r="AO186" s="55" t="n">
        <f aca="false">ROUND(AN186*$E$12/12,2)</f>
        <v>0</v>
      </c>
      <c r="AP186" s="55" t="n">
        <f aca="false">MIN($F$12,AN186+AO186)</f>
        <v>0</v>
      </c>
      <c r="AQ186" s="55" t="n">
        <f aca="false">MAX(0,MIN(AN186+AO186-AP186,$D186-(H186+M186+R186+W186+AB186+AG186+AL186)))</f>
        <v>0</v>
      </c>
      <c r="AR186" s="55" t="n">
        <f aca="false">AP186+AQ186</f>
        <v>0</v>
      </c>
      <c r="AS186" s="55" t="n">
        <f aca="false">ROUND(MAX(0,AS185+AT185-AW185),2)</f>
        <v>0</v>
      </c>
      <c r="AT186" s="55" t="n">
        <f aca="false">ROUND(AS186*$E$13/12,2)</f>
        <v>0</v>
      </c>
      <c r="AU186" s="55" t="n">
        <f aca="false">MIN($F$13,AS186+AT186)</f>
        <v>0</v>
      </c>
      <c r="AV186" s="55" t="n">
        <f aca="false">MAX(0,MIN(AS186+AT186-AU186,$D186-(H186+M186+R186+W186+AB186+AG186+AL186+AQ186)))</f>
        <v>0</v>
      </c>
      <c r="AW186" s="55" t="n">
        <f aca="false">AU186+AV186</f>
        <v>0</v>
      </c>
      <c r="AX186" s="55" t="n">
        <f aca="false">ROUND(MAX(0,AX185+AY185-BB185),2)</f>
        <v>0</v>
      </c>
      <c r="AY186" s="55" t="n">
        <f aca="false">ROUND(AX186*$E$14/12,2)</f>
        <v>0</v>
      </c>
      <c r="AZ186" s="55" t="n">
        <f aca="false">MIN($F$14,AX186+AY186)</f>
        <v>0</v>
      </c>
      <c r="BA186" s="55" t="n">
        <f aca="false">MAX(0,MIN(AX186+AY186-AZ186,$D186-(H186+M186+R186+W186+AB186+AG186+AL186+AQ186+AV186)))</f>
        <v>0</v>
      </c>
      <c r="BB186" s="55" t="n">
        <f aca="false">AZ186+BA186</f>
        <v>0</v>
      </c>
      <c r="BC186" s="55" t="n">
        <f aca="false">I186+N186+S186+X186+AC186+AH186+AM186+AR186+AW186+BB186</f>
        <v>0</v>
      </c>
      <c r="BD186" s="55" t="n">
        <f aca="false">ROUND((E186+F186-I186)+(J186+K186-N186)+(O186+P186-S186)+(T186+U186-X186)+(Y186+Z186-AC186)+(AD186+AE186-AH186)+(AI186+AJ186-AM186)+(AN186+AO186-AR186)+(AS186+AT186-AW186)+(AX186+AY186-BB186),2)</f>
        <v>0</v>
      </c>
      <c r="BE186" s="25" t="str">
        <f aca="false">IF(H186&gt;0.005,$C$5,IF(M186&gt;0.005,$C$6,IF(R186&gt;0.005,$C$7,IF(W186&gt;0.005,$C$8,IF(AB186&gt;0.005,$C$9,IF(AG186&gt;0.005,$C$10,IF(AL186&gt;0.005,$C$11,IF(AQ186&gt;0.005,$C$12,IF(AV186&gt;0.005,$C$13,IF(BA186&gt;0.005,$C$14,""))))))))))</f>
        <v/>
      </c>
    </row>
    <row r="187" customFormat="false" ht="15" hidden="false" customHeight="false" outlineLevel="0" collapsed="false">
      <c r="A187" s="24" t="n">
        <v>164</v>
      </c>
      <c r="B187" s="54" t="n">
        <f aca="false">EDATE($C$17,A187-1)</f>
        <v>51288</v>
      </c>
      <c r="C187" s="55" t="n">
        <f aca="false">G187+L187+Q187+V187+AA187+AF187+AK187+AP187+AU187+AZ187</f>
        <v>0</v>
      </c>
      <c r="D187" s="55" t="n">
        <f aca="false">MAX(0,$C$16-C187)</f>
        <v>5822</v>
      </c>
      <c r="E187" s="55" t="n">
        <f aca="false">ROUND(MAX(0,E186+F186-I186),2)</f>
        <v>0</v>
      </c>
      <c r="F187" s="55" t="n">
        <f aca="false">ROUND(E187*$E$5/12,2)</f>
        <v>0</v>
      </c>
      <c r="G187" s="55" t="n">
        <f aca="false">MIN($F$5,E187+F187)</f>
        <v>0</v>
      </c>
      <c r="H187" s="55" t="n">
        <f aca="false">MAX(0,MIN(E187+F187-G187,$D187))</f>
        <v>0</v>
      </c>
      <c r="I187" s="55" t="n">
        <f aca="false">G187+H187</f>
        <v>0</v>
      </c>
      <c r="J187" s="55" t="n">
        <f aca="false">ROUND(MAX(0,J186+K186-N186),2)</f>
        <v>0</v>
      </c>
      <c r="K187" s="55" t="n">
        <f aca="false">ROUND(J187*$E$6/12,2)</f>
        <v>0</v>
      </c>
      <c r="L187" s="55" t="n">
        <f aca="false">MIN($F$6,J187+K187)</f>
        <v>0</v>
      </c>
      <c r="M187" s="55" t="n">
        <f aca="false">MAX(0,MIN(J187+K187-L187,$D187-(H187)))</f>
        <v>0</v>
      </c>
      <c r="N187" s="55" t="n">
        <f aca="false">L187+M187</f>
        <v>0</v>
      </c>
      <c r="O187" s="55" t="n">
        <f aca="false">ROUND(MAX(0,O186+P186-S186),2)</f>
        <v>0</v>
      </c>
      <c r="P187" s="55" t="n">
        <f aca="false">ROUND(O187*$E$7/12,2)</f>
        <v>0</v>
      </c>
      <c r="Q187" s="55" t="n">
        <f aca="false">MIN($F$7,O187+P187)</f>
        <v>0</v>
      </c>
      <c r="R187" s="55" t="n">
        <f aca="false">MAX(0,MIN(O187+P187-Q187,$D187-(H187+M187)))</f>
        <v>0</v>
      </c>
      <c r="S187" s="55" t="n">
        <f aca="false">Q187+R187</f>
        <v>0</v>
      </c>
      <c r="T187" s="55" t="n">
        <f aca="false">ROUND(MAX(0,T186+U186-X186),2)</f>
        <v>0</v>
      </c>
      <c r="U187" s="55" t="n">
        <f aca="false">ROUND(T187*$E$8/12,2)</f>
        <v>0</v>
      </c>
      <c r="V187" s="55" t="n">
        <f aca="false">MIN($F$8,T187+U187)</f>
        <v>0</v>
      </c>
      <c r="W187" s="55" t="n">
        <f aca="false">MAX(0,MIN(T187+U187-V187,$D187-(H187+M187+R187)))</f>
        <v>0</v>
      </c>
      <c r="X187" s="55" t="n">
        <f aca="false">V187+W187</f>
        <v>0</v>
      </c>
      <c r="Y187" s="55" t="n">
        <f aca="false">ROUND(MAX(0,Y186+Z186-AC186),2)</f>
        <v>0</v>
      </c>
      <c r="Z187" s="55" t="n">
        <f aca="false">ROUND(Y187*$E$9/12,2)</f>
        <v>0</v>
      </c>
      <c r="AA187" s="55" t="n">
        <f aca="false">MIN($F$9,Y187+Z187)</f>
        <v>0</v>
      </c>
      <c r="AB187" s="55" t="n">
        <f aca="false">MAX(0,MIN(Y187+Z187-AA187,$D187-(H187+M187+R187+W187)))</f>
        <v>0</v>
      </c>
      <c r="AC187" s="55" t="n">
        <f aca="false">AA187+AB187</f>
        <v>0</v>
      </c>
      <c r="AD187" s="55" t="n">
        <f aca="false">ROUND(MAX(0,AD186+AE186-AH186),2)</f>
        <v>0</v>
      </c>
      <c r="AE187" s="55" t="n">
        <f aca="false">ROUND(AD187*$E$10/12,2)</f>
        <v>0</v>
      </c>
      <c r="AF187" s="55" t="n">
        <f aca="false">MIN($F$10,AD187+AE187)</f>
        <v>0</v>
      </c>
      <c r="AG187" s="55" t="n">
        <f aca="false">MAX(0,MIN(AD187+AE187-AF187,$D187-(H187+M187+R187+W187+AB187)))</f>
        <v>0</v>
      </c>
      <c r="AH187" s="55" t="n">
        <f aca="false">AF187+AG187</f>
        <v>0</v>
      </c>
      <c r="AI187" s="55" t="n">
        <f aca="false">ROUND(MAX(0,AI186+AJ186-AM186),2)</f>
        <v>0</v>
      </c>
      <c r="AJ187" s="55" t="n">
        <f aca="false">ROUND(AI187*$E$11/12,2)</f>
        <v>0</v>
      </c>
      <c r="AK187" s="55" t="n">
        <f aca="false">MIN($F$11,AI187+AJ187)</f>
        <v>0</v>
      </c>
      <c r="AL187" s="55" t="n">
        <f aca="false">MAX(0,MIN(AI187+AJ187-AK187,$D187-(H187+M187+R187+W187+AB187+AG187)))</f>
        <v>0</v>
      </c>
      <c r="AM187" s="55" t="n">
        <f aca="false">AK187+AL187</f>
        <v>0</v>
      </c>
      <c r="AN187" s="55" t="n">
        <f aca="false">ROUND(MAX(0,AN186+AO186-AR186),2)</f>
        <v>0</v>
      </c>
      <c r="AO187" s="55" t="n">
        <f aca="false">ROUND(AN187*$E$12/12,2)</f>
        <v>0</v>
      </c>
      <c r="AP187" s="55" t="n">
        <f aca="false">MIN($F$12,AN187+AO187)</f>
        <v>0</v>
      </c>
      <c r="AQ187" s="55" t="n">
        <f aca="false">MAX(0,MIN(AN187+AO187-AP187,$D187-(H187+M187+R187+W187+AB187+AG187+AL187)))</f>
        <v>0</v>
      </c>
      <c r="AR187" s="55" t="n">
        <f aca="false">AP187+AQ187</f>
        <v>0</v>
      </c>
      <c r="AS187" s="55" t="n">
        <f aca="false">ROUND(MAX(0,AS186+AT186-AW186),2)</f>
        <v>0</v>
      </c>
      <c r="AT187" s="55" t="n">
        <f aca="false">ROUND(AS187*$E$13/12,2)</f>
        <v>0</v>
      </c>
      <c r="AU187" s="55" t="n">
        <f aca="false">MIN($F$13,AS187+AT187)</f>
        <v>0</v>
      </c>
      <c r="AV187" s="55" t="n">
        <f aca="false">MAX(0,MIN(AS187+AT187-AU187,$D187-(H187+M187+R187+W187+AB187+AG187+AL187+AQ187)))</f>
        <v>0</v>
      </c>
      <c r="AW187" s="55" t="n">
        <f aca="false">AU187+AV187</f>
        <v>0</v>
      </c>
      <c r="AX187" s="55" t="n">
        <f aca="false">ROUND(MAX(0,AX186+AY186-BB186),2)</f>
        <v>0</v>
      </c>
      <c r="AY187" s="55" t="n">
        <f aca="false">ROUND(AX187*$E$14/12,2)</f>
        <v>0</v>
      </c>
      <c r="AZ187" s="55" t="n">
        <f aca="false">MIN($F$14,AX187+AY187)</f>
        <v>0</v>
      </c>
      <c r="BA187" s="55" t="n">
        <f aca="false">MAX(0,MIN(AX187+AY187-AZ187,$D187-(H187+M187+R187+W187+AB187+AG187+AL187+AQ187+AV187)))</f>
        <v>0</v>
      </c>
      <c r="BB187" s="55" t="n">
        <f aca="false">AZ187+BA187</f>
        <v>0</v>
      </c>
      <c r="BC187" s="55" t="n">
        <f aca="false">I187+N187+S187+X187+AC187+AH187+AM187+AR187+AW187+BB187</f>
        <v>0</v>
      </c>
      <c r="BD187" s="55" t="n">
        <f aca="false">ROUND((E187+F187-I187)+(J187+K187-N187)+(O187+P187-S187)+(T187+U187-X187)+(Y187+Z187-AC187)+(AD187+AE187-AH187)+(AI187+AJ187-AM187)+(AN187+AO187-AR187)+(AS187+AT187-AW187)+(AX187+AY187-BB187),2)</f>
        <v>0</v>
      </c>
      <c r="BE187" s="25" t="str">
        <f aca="false">IF(H187&gt;0.005,$C$5,IF(M187&gt;0.005,$C$6,IF(R187&gt;0.005,$C$7,IF(W187&gt;0.005,$C$8,IF(AB187&gt;0.005,$C$9,IF(AG187&gt;0.005,$C$10,IF(AL187&gt;0.005,$C$11,IF(AQ187&gt;0.005,$C$12,IF(AV187&gt;0.005,$C$13,IF(BA187&gt;0.005,$C$14,""))))))))))</f>
        <v/>
      </c>
    </row>
    <row r="188" customFormat="false" ht="15" hidden="false" customHeight="false" outlineLevel="0" collapsed="false">
      <c r="A188" s="24" t="n">
        <v>165</v>
      </c>
      <c r="B188" s="54" t="n">
        <f aca="false">EDATE($C$17,A188-1)</f>
        <v>51318</v>
      </c>
      <c r="C188" s="55" t="n">
        <f aca="false">G188+L188+Q188+V188+AA188+AF188+AK188+AP188+AU188+AZ188</f>
        <v>0</v>
      </c>
      <c r="D188" s="55" t="n">
        <f aca="false">MAX(0,$C$16-C188)</f>
        <v>5822</v>
      </c>
      <c r="E188" s="55" t="n">
        <f aca="false">ROUND(MAX(0,E187+F187-I187),2)</f>
        <v>0</v>
      </c>
      <c r="F188" s="55" t="n">
        <f aca="false">ROUND(E188*$E$5/12,2)</f>
        <v>0</v>
      </c>
      <c r="G188" s="55" t="n">
        <f aca="false">MIN($F$5,E188+F188)</f>
        <v>0</v>
      </c>
      <c r="H188" s="55" t="n">
        <f aca="false">MAX(0,MIN(E188+F188-G188,$D188))</f>
        <v>0</v>
      </c>
      <c r="I188" s="55" t="n">
        <f aca="false">G188+H188</f>
        <v>0</v>
      </c>
      <c r="J188" s="55" t="n">
        <f aca="false">ROUND(MAX(0,J187+K187-N187),2)</f>
        <v>0</v>
      </c>
      <c r="K188" s="55" t="n">
        <f aca="false">ROUND(J188*$E$6/12,2)</f>
        <v>0</v>
      </c>
      <c r="L188" s="55" t="n">
        <f aca="false">MIN($F$6,J188+K188)</f>
        <v>0</v>
      </c>
      <c r="M188" s="55" t="n">
        <f aca="false">MAX(0,MIN(J188+K188-L188,$D188-(H188)))</f>
        <v>0</v>
      </c>
      <c r="N188" s="55" t="n">
        <f aca="false">L188+M188</f>
        <v>0</v>
      </c>
      <c r="O188" s="55" t="n">
        <f aca="false">ROUND(MAX(0,O187+P187-S187),2)</f>
        <v>0</v>
      </c>
      <c r="P188" s="55" t="n">
        <f aca="false">ROUND(O188*$E$7/12,2)</f>
        <v>0</v>
      </c>
      <c r="Q188" s="55" t="n">
        <f aca="false">MIN($F$7,O188+P188)</f>
        <v>0</v>
      </c>
      <c r="R188" s="55" t="n">
        <f aca="false">MAX(0,MIN(O188+P188-Q188,$D188-(H188+M188)))</f>
        <v>0</v>
      </c>
      <c r="S188" s="55" t="n">
        <f aca="false">Q188+R188</f>
        <v>0</v>
      </c>
      <c r="T188" s="55" t="n">
        <f aca="false">ROUND(MAX(0,T187+U187-X187),2)</f>
        <v>0</v>
      </c>
      <c r="U188" s="55" t="n">
        <f aca="false">ROUND(T188*$E$8/12,2)</f>
        <v>0</v>
      </c>
      <c r="V188" s="55" t="n">
        <f aca="false">MIN($F$8,T188+U188)</f>
        <v>0</v>
      </c>
      <c r="W188" s="55" t="n">
        <f aca="false">MAX(0,MIN(T188+U188-V188,$D188-(H188+M188+R188)))</f>
        <v>0</v>
      </c>
      <c r="X188" s="55" t="n">
        <f aca="false">V188+W188</f>
        <v>0</v>
      </c>
      <c r="Y188" s="55" t="n">
        <f aca="false">ROUND(MAX(0,Y187+Z187-AC187),2)</f>
        <v>0</v>
      </c>
      <c r="Z188" s="55" t="n">
        <f aca="false">ROUND(Y188*$E$9/12,2)</f>
        <v>0</v>
      </c>
      <c r="AA188" s="55" t="n">
        <f aca="false">MIN($F$9,Y188+Z188)</f>
        <v>0</v>
      </c>
      <c r="AB188" s="55" t="n">
        <f aca="false">MAX(0,MIN(Y188+Z188-AA188,$D188-(H188+M188+R188+W188)))</f>
        <v>0</v>
      </c>
      <c r="AC188" s="55" t="n">
        <f aca="false">AA188+AB188</f>
        <v>0</v>
      </c>
      <c r="AD188" s="55" t="n">
        <f aca="false">ROUND(MAX(0,AD187+AE187-AH187),2)</f>
        <v>0</v>
      </c>
      <c r="AE188" s="55" t="n">
        <f aca="false">ROUND(AD188*$E$10/12,2)</f>
        <v>0</v>
      </c>
      <c r="AF188" s="55" t="n">
        <f aca="false">MIN($F$10,AD188+AE188)</f>
        <v>0</v>
      </c>
      <c r="AG188" s="55" t="n">
        <f aca="false">MAX(0,MIN(AD188+AE188-AF188,$D188-(H188+M188+R188+W188+AB188)))</f>
        <v>0</v>
      </c>
      <c r="AH188" s="55" t="n">
        <f aca="false">AF188+AG188</f>
        <v>0</v>
      </c>
      <c r="AI188" s="55" t="n">
        <f aca="false">ROUND(MAX(0,AI187+AJ187-AM187),2)</f>
        <v>0</v>
      </c>
      <c r="AJ188" s="55" t="n">
        <f aca="false">ROUND(AI188*$E$11/12,2)</f>
        <v>0</v>
      </c>
      <c r="AK188" s="55" t="n">
        <f aca="false">MIN($F$11,AI188+AJ188)</f>
        <v>0</v>
      </c>
      <c r="AL188" s="55" t="n">
        <f aca="false">MAX(0,MIN(AI188+AJ188-AK188,$D188-(H188+M188+R188+W188+AB188+AG188)))</f>
        <v>0</v>
      </c>
      <c r="AM188" s="55" t="n">
        <f aca="false">AK188+AL188</f>
        <v>0</v>
      </c>
      <c r="AN188" s="55" t="n">
        <f aca="false">ROUND(MAX(0,AN187+AO187-AR187),2)</f>
        <v>0</v>
      </c>
      <c r="AO188" s="55" t="n">
        <f aca="false">ROUND(AN188*$E$12/12,2)</f>
        <v>0</v>
      </c>
      <c r="AP188" s="55" t="n">
        <f aca="false">MIN($F$12,AN188+AO188)</f>
        <v>0</v>
      </c>
      <c r="AQ188" s="55" t="n">
        <f aca="false">MAX(0,MIN(AN188+AO188-AP188,$D188-(H188+M188+R188+W188+AB188+AG188+AL188)))</f>
        <v>0</v>
      </c>
      <c r="AR188" s="55" t="n">
        <f aca="false">AP188+AQ188</f>
        <v>0</v>
      </c>
      <c r="AS188" s="55" t="n">
        <f aca="false">ROUND(MAX(0,AS187+AT187-AW187),2)</f>
        <v>0</v>
      </c>
      <c r="AT188" s="55" t="n">
        <f aca="false">ROUND(AS188*$E$13/12,2)</f>
        <v>0</v>
      </c>
      <c r="AU188" s="55" t="n">
        <f aca="false">MIN($F$13,AS188+AT188)</f>
        <v>0</v>
      </c>
      <c r="AV188" s="55" t="n">
        <f aca="false">MAX(0,MIN(AS188+AT188-AU188,$D188-(H188+M188+R188+W188+AB188+AG188+AL188+AQ188)))</f>
        <v>0</v>
      </c>
      <c r="AW188" s="55" t="n">
        <f aca="false">AU188+AV188</f>
        <v>0</v>
      </c>
      <c r="AX188" s="55" t="n">
        <f aca="false">ROUND(MAX(0,AX187+AY187-BB187),2)</f>
        <v>0</v>
      </c>
      <c r="AY188" s="55" t="n">
        <f aca="false">ROUND(AX188*$E$14/12,2)</f>
        <v>0</v>
      </c>
      <c r="AZ188" s="55" t="n">
        <f aca="false">MIN($F$14,AX188+AY188)</f>
        <v>0</v>
      </c>
      <c r="BA188" s="55" t="n">
        <f aca="false">MAX(0,MIN(AX188+AY188-AZ188,$D188-(H188+M188+R188+W188+AB188+AG188+AL188+AQ188+AV188)))</f>
        <v>0</v>
      </c>
      <c r="BB188" s="55" t="n">
        <f aca="false">AZ188+BA188</f>
        <v>0</v>
      </c>
      <c r="BC188" s="55" t="n">
        <f aca="false">I188+N188+S188+X188+AC188+AH188+AM188+AR188+AW188+BB188</f>
        <v>0</v>
      </c>
      <c r="BD188" s="55" t="n">
        <f aca="false">ROUND((E188+F188-I188)+(J188+K188-N188)+(O188+P188-S188)+(T188+U188-X188)+(Y188+Z188-AC188)+(AD188+AE188-AH188)+(AI188+AJ188-AM188)+(AN188+AO188-AR188)+(AS188+AT188-AW188)+(AX188+AY188-BB188),2)</f>
        <v>0</v>
      </c>
      <c r="BE188" s="25" t="str">
        <f aca="false">IF(H188&gt;0.005,$C$5,IF(M188&gt;0.005,$C$6,IF(R188&gt;0.005,$C$7,IF(W188&gt;0.005,$C$8,IF(AB188&gt;0.005,$C$9,IF(AG188&gt;0.005,$C$10,IF(AL188&gt;0.005,$C$11,IF(AQ188&gt;0.005,$C$12,IF(AV188&gt;0.005,$C$13,IF(BA188&gt;0.005,$C$14,""))))))))))</f>
        <v/>
      </c>
    </row>
    <row r="189" customFormat="false" ht="15" hidden="false" customHeight="false" outlineLevel="0" collapsed="false">
      <c r="A189" s="24" t="n">
        <v>166</v>
      </c>
      <c r="B189" s="54" t="n">
        <f aca="false">EDATE($C$17,A189-1)</f>
        <v>51349</v>
      </c>
      <c r="C189" s="55" t="n">
        <f aca="false">G189+L189+Q189+V189+AA189+AF189+AK189+AP189+AU189+AZ189</f>
        <v>0</v>
      </c>
      <c r="D189" s="55" t="n">
        <f aca="false">MAX(0,$C$16-C189)</f>
        <v>5822</v>
      </c>
      <c r="E189" s="55" t="n">
        <f aca="false">ROUND(MAX(0,E188+F188-I188),2)</f>
        <v>0</v>
      </c>
      <c r="F189" s="55" t="n">
        <f aca="false">ROUND(E189*$E$5/12,2)</f>
        <v>0</v>
      </c>
      <c r="G189" s="55" t="n">
        <f aca="false">MIN($F$5,E189+F189)</f>
        <v>0</v>
      </c>
      <c r="H189" s="55" t="n">
        <f aca="false">MAX(0,MIN(E189+F189-G189,$D189))</f>
        <v>0</v>
      </c>
      <c r="I189" s="55" t="n">
        <f aca="false">G189+H189</f>
        <v>0</v>
      </c>
      <c r="J189" s="55" t="n">
        <f aca="false">ROUND(MAX(0,J188+K188-N188),2)</f>
        <v>0</v>
      </c>
      <c r="K189" s="55" t="n">
        <f aca="false">ROUND(J189*$E$6/12,2)</f>
        <v>0</v>
      </c>
      <c r="L189" s="55" t="n">
        <f aca="false">MIN($F$6,J189+K189)</f>
        <v>0</v>
      </c>
      <c r="M189" s="55" t="n">
        <f aca="false">MAX(0,MIN(J189+K189-L189,$D189-(H189)))</f>
        <v>0</v>
      </c>
      <c r="N189" s="55" t="n">
        <f aca="false">L189+M189</f>
        <v>0</v>
      </c>
      <c r="O189" s="55" t="n">
        <f aca="false">ROUND(MAX(0,O188+P188-S188),2)</f>
        <v>0</v>
      </c>
      <c r="P189" s="55" t="n">
        <f aca="false">ROUND(O189*$E$7/12,2)</f>
        <v>0</v>
      </c>
      <c r="Q189" s="55" t="n">
        <f aca="false">MIN($F$7,O189+P189)</f>
        <v>0</v>
      </c>
      <c r="R189" s="55" t="n">
        <f aca="false">MAX(0,MIN(O189+P189-Q189,$D189-(H189+M189)))</f>
        <v>0</v>
      </c>
      <c r="S189" s="55" t="n">
        <f aca="false">Q189+R189</f>
        <v>0</v>
      </c>
      <c r="T189" s="55" t="n">
        <f aca="false">ROUND(MAX(0,T188+U188-X188),2)</f>
        <v>0</v>
      </c>
      <c r="U189" s="55" t="n">
        <f aca="false">ROUND(T189*$E$8/12,2)</f>
        <v>0</v>
      </c>
      <c r="V189" s="55" t="n">
        <f aca="false">MIN($F$8,T189+U189)</f>
        <v>0</v>
      </c>
      <c r="W189" s="55" t="n">
        <f aca="false">MAX(0,MIN(T189+U189-V189,$D189-(H189+M189+R189)))</f>
        <v>0</v>
      </c>
      <c r="X189" s="55" t="n">
        <f aca="false">V189+W189</f>
        <v>0</v>
      </c>
      <c r="Y189" s="55" t="n">
        <f aca="false">ROUND(MAX(0,Y188+Z188-AC188),2)</f>
        <v>0</v>
      </c>
      <c r="Z189" s="55" t="n">
        <f aca="false">ROUND(Y189*$E$9/12,2)</f>
        <v>0</v>
      </c>
      <c r="AA189" s="55" t="n">
        <f aca="false">MIN($F$9,Y189+Z189)</f>
        <v>0</v>
      </c>
      <c r="AB189" s="55" t="n">
        <f aca="false">MAX(0,MIN(Y189+Z189-AA189,$D189-(H189+M189+R189+W189)))</f>
        <v>0</v>
      </c>
      <c r="AC189" s="55" t="n">
        <f aca="false">AA189+AB189</f>
        <v>0</v>
      </c>
      <c r="AD189" s="55" t="n">
        <f aca="false">ROUND(MAX(0,AD188+AE188-AH188),2)</f>
        <v>0</v>
      </c>
      <c r="AE189" s="55" t="n">
        <f aca="false">ROUND(AD189*$E$10/12,2)</f>
        <v>0</v>
      </c>
      <c r="AF189" s="55" t="n">
        <f aca="false">MIN($F$10,AD189+AE189)</f>
        <v>0</v>
      </c>
      <c r="AG189" s="55" t="n">
        <f aca="false">MAX(0,MIN(AD189+AE189-AF189,$D189-(H189+M189+R189+W189+AB189)))</f>
        <v>0</v>
      </c>
      <c r="AH189" s="55" t="n">
        <f aca="false">AF189+AG189</f>
        <v>0</v>
      </c>
      <c r="AI189" s="55" t="n">
        <f aca="false">ROUND(MAX(0,AI188+AJ188-AM188),2)</f>
        <v>0</v>
      </c>
      <c r="AJ189" s="55" t="n">
        <f aca="false">ROUND(AI189*$E$11/12,2)</f>
        <v>0</v>
      </c>
      <c r="AK189" s="55" t="n">
        <f aca="false">MIN($F$11,AI189+AJ189)</f>
        <v>0</v>
      </c>
      <c r="AL189" s="55" t="n">
        <f aca="false">MAX(0,MIN(AI189+AJ189-AK189,$D189-(H189+M189+R189+W189+AB189+AG189)))</f>
        <v>0</v>
      </c>
      <c r="AM189" s="55" t="n">
        <f aca="false">AK189+AL189</f>
        <v>0</v>
      </c>
      <c r="AN189" s="55" t="n">
        <f aca="false">ROUND(MAX(0,AN188+AO188-AR188),2)</f>
        <v>0</v>
      </c>
      <c r="AO189" s="55" t="n">
        <f aca="false">ROUND(AN189*$E$12/12,2)</f>
        <v>0</v>
      </c>
      <c r="AP189" s="55" t="n">
        <f aca="false">MIN($F$12,AN189+AO189)</f>
        <v>0</v>
      </c>
      <c r="AQ189" s="55" t="n">
        <f aca="false">MAX(0,MIN(AN189+AO189-AP189,$D189-(H189+M189+R189+W189+AB189+AG189+AL189)))</f>
        <v>0</v>
      </c>
      <c r="AR189" s="55" t="n">
        <f aca="false">AP189+AQ189</f>
        <v>0</v>
      </c>
      <c r="AS189" s="55" t="n">
        <f aca="false">ROUND(MAX(0,AS188+AT188-AW188),2)</f>
        <v>0</v>
      </c>
      <c r="AT189" s="55" t="n">
        <f aca="false">ROUND(AS189*$E$13/12,2)</f>
        <v>0</v>
      </c>
      <c r="AU189" s="55" t="n">
        <f aca="false">MIN($F$13,AS189+AT189)</f>
        <v>0</v>
      </c>
      <c r="AV189" s="55" t="n">
        <f aca="false">MAX(0,MIN(AS189+AT189-AU189,$D189-(H189+M189+R189+W189+AB189+AG189+AL189+AQ189)))</f>
        <v>0</v>
      </c>
      <c r="AW189" s="55" t="n">
        <f aca="false">AU189+AV189</f>
        <v>0</v>
      </c>
      <c r="AX189" s="55" t="n">
        <f aca="false">ROUND(MAX(0,AX188+AY188-BB188),2)</f>
        <v>0</v>
      </c>
      <c r="AY189" s="55" t="n">
        <f aca="false">ROUND(AX189*$E$14/12,2)</f>
        <v>0</v>
      </c>
      <c r="AZ189" s="55" t="n">
        <f aca="false">MIN($F$14,AX189+AY189)</f>
        <v>0</v>
      </c>
      <c r="BA189" s="55" t="n">
        <f aca="false">MAX(0,MIN(AX189+AY189-AZ189,$D189-(H189+M189+R189+W189+AB189+AG189+AL189+AQ189+AV189)))</f>
        <v>0</v>
      </c>
      <c r="BB189" s="55" t="n">
        <f aca="false">AZ189+BA189</f>
        <v>0</v>
      </c>
      <c r="BC189" s="55" t="n">
        <f aca="false">I189+N189+S189+X189+AC189+AH189+AM189+AR189+AW189+BB189</f>
        <v>0</v>
      </c>
      <c r="BD189" s="55" t="n">
        <f aca="false">ROUND((E189+F189-I189)+(J189+K189-N189)+(O189+P189-S189)+(T189+U189-X189)+(Y189+Z189-AC189)+(AD189+AE189-AH189)+(AI189+AJ189-AM189)+(AN189+AO189-AR189)+(AS189+AT189-AW189)+(AX189+AY189-BB189),2)</f>
        <v>0</v>
      </c>
      <c r="BE189" s="25" t="str">
        <f aca="false">IF(H189&gt;0.005,$C$5,IF(M189&gt;0.005,$C$6,IF(R189&gt;0.005,$C$7,IF(W189&gt;0.005,$C$8,IF(AB189&gt;0.005,$C$9,IF(AG189&gt;0.005,$C$10,IF(AL189&gt;0.005,$C$11,IF(AQ189&gt;0.005,$C$12,IF(AV189&gt;0.005,$C$13,IF(BA189&gt;0.005,$C$14,""))))))))))</f>
        <v/>
      </c>
    </row>
    <row r="190" customFormat="false" ht="15" hidden="false" customHeight="false" outlineLevel="0" collapsed="false">
      <c r="A190" s="24" t="n">
        <v>167</v>
      </c>
      <c r="B190" s="54" t="n">
        <f aca="false">EDATE($C$17,A190-1)</f>
        <v>51380</v>
      </c>
      <c r="C190" s="55" t="n">
        <f aca="false">G190+L190+Q190+V190+AA190+AF190+AK190+AP190+AU190+AZ190</f>
        <v>0</v>
      </c>
      <c r="D190" s="55" t="n">
        <f aca="false">MAX(0,$C$16-C190)</f>
        <v>5822</v>
      </c>
      <c r="E190" s="55" t="n">
        <f aca="false">ROUND(MAX(0,E189+F189-I189),2)</f>
        <v>0</v>
      </c>
      <c r="F190" s="55" t="n">
        <f aca="false">ROUND(E190*$E$5/12,2)</f>
        <v>0</v>
      </c>
      <c r="G190" s="55" t="n">
        <f aca="false">MIN($F$5,E190+F190)</f>
        <v>0</v>
      </c>
      <c r="H190" s="55" t="n">
        <f aca="false">MAX(0,MIN(E190+F190-G190,$D190))</f>
        <v>0</v>
      </c>
      <c r="I190" s="55" t="n">
        <f aca="false">G190+H190</f>
        <v>0</v>
      </c>
      <c r="J190" s="55" t="n">
        <f aca="false">ROUND(MAX(0,J189+K189-N189),2)</f>
        <v>0</v>
      </c>
      <c r="K190" s="55" t="n">
        <f aca="false">ROUND(J190*$E$6/12,2)</f>
        <v>0</v>
      </c>
      <c r="L190" s="55" t="n">
        <f aca="false">MIN($F$6,J190+K190)</f>
        <v>0</v>
      </c>
      <c r="M190" s="55" t="n">
        <f aca="false">MAX(0,MIN(J190+K190-L190,$D190-(H190)))</f>
        <v>0</v>
      </c>
      <c r="N190" s="55" t="n">
        <f aca="false">L190+M190</f>
        <v>0</v>
      </c>
      <c r="O190" s="55" t="n">
        <f aca="false">ROUND(MAX(0,O189+P189-S189),2)</f>
        <v>0</v>
      </c>
      <c r="P190" s="55" t="n">
        <f aca="false">ROUND(O190*$E$7/12,2)</f>
        <v>0</v>
      </c>
      <c r="Q190" s="55" t="n">
        <f aca="false">MIN($F$7,O190+P190)</f>
        <v>0</v>
      </c>
      <c r="R190" s="55" t="n">
        <f aca="false">MAX(0,MIN(O190+P190-Q190,$D190-(H190+M190)))</f>
        <v>0</v>
      </c>
      <c r="S190" s="55" t="n">
        <f aca="false">Q190+R190</f>
        <v>0</v>
      </c>
      <c r="T190" s="55" t="n">
        <f aca="false">ROUND(MAX(0,T189+U189-X189),2)</f>
        <v>0</v>
      </c>
      <c r="U190" s="55" t="n">
        <f aca="false">ROUND(T190*$E$8/12,2)</f>
        <v>0</v>
      </c>
      <c r="V190" s="55" t="n">
        <f aca="false">MIN($F$8,T190+U190)</f>
        <v>0</v>
      </c>
      <c r="W190" s="55" t="n">
        <f aca="false">MAX(0,MIN(T190+U190-V190,$D190-(H190+M190+R190)))</f>
        <v>0</v>
      </c>
      <c r="X190" s="55" t="n">
        <f aca="false">V190+W190</f>
        <v>0</v>
      </c>
      <c r="Y190" s="55" t="n">
        <f aca="false">ROUND(MAX(0,Y189+Z189-AC189),2)</f>
        <v>0</v>
      </c>
      <c r="Z190" s="55" t="n">
        <f aca="false">ROUND(Y190*$E$9/12,2)</f>
        <v>0</v>
      </c>
      <c r="AA190" s="55" t="n">
        <f aca="false">MIN($F$9,Y190+Z190)</f>
        <v>0</v>
      </c>
      <c r="AB190" s="55" t="n">
        <f aca="false">MAX(0,MIN(Y190+Z190-AA190,$D190-(H190+M190+R190+W190)))</f>
        <v>0</v>
      </c>
      <c r="AC190" s="55" t="n">
        <f aca="false">AA190+AB190</f>
        <v>0</v>
      </c>
      <c r="AD190" s="55" t="n">
        <f aca="false">ROUND(MAX(0,AD189+AE189-AH189),2)</f>
        <v>0</v>
      </c>
      <c r="AE190" s="55" t="n">
        <f aca="false">ROUND(AD190*$E$10/12,2)</f>
        <v>0</v>
      </c>
      <c r="AF190" s="55" t="n">
        <f aca="false">MIN($F$10,AD190+AE190)</f>
        <v>0</v>
      </c>
      <c r="AG190" s="55" t="n">
        <f aca="false">MAX(0,MIN(AD190+AE190-AF190,$D190-(H190+M190+R190+W190+AB190)))</f>
        <v>0</v>
      </c>
      <c r="AH190" s="55" t="n">
        <f aca="false">AF190+AG190</f>
        <v>0</v>
      </c>
      <c r="AI190" s="55" t="n">
        <f aca="false">ROUND(MAX(0,AI189+AJ189-AM189),2)</f>
        <v>0</v>
      </c>
      <c r="AJ190" s="55" t="n">
        <f aca="false">ROUND(AI190*$E$11/12,2)</f>
        <v>0</v>
      </c>
      <c r="AK190" s="55" t="n">
        <f aca="false">MIN($F$11,AI190+AJ190)</f>
        <v>0</v>
      </c>
      <c r="AL190" s="55" t="n">
        <f aca="false">MAX(0,MIN(AI190+AJ190-AK190,$D190-(H190+M190+R190+W190+AB190+AG190)))</f>
        <v>0</v>
      </c>
      <c r="AM190" s="55" t="n">
        <f aca="false">AK190+AL190</f>
        <v>0</v>
      </c>
      <c r="AN190" s="55" t="n">
        <f aca="false">ROUND(MAX(0,AN189+AO189-AR189),2)</f>
        <v>0</v>
      </c>
      <c r="AO190" s="55" t="n">
        <f aca="false">ROUND(AN190*$E$12/12,2)</f>
        <v>0</v>
      </c>
      <c r="AP190" s="55" t="n">
        <f aca="false">MIN($F$12,AN190+AO190)</f>
        <v>0</v>
      </c>
      <c r="AQ190" s="55" t="n">
        <f aca="false">MAX(0,MIN(AN190+AO190-AP190,$D190-(H190+M190+R190+W190+AB190+AG190+AL190)))</f>
        <v>0</v>
      </c>
      <c r="AR190" s="55" t="n">
        <f aca="false">AP190+AQ190</f>
        <v>0</v>
      </c>
      <c r="AS190" s="55" t="n">
        <f aca="false">ROUND(MAX(0,AS189+AT189-AW189),2)</f>
        <v>0</v>
      </c>
      <c r="AT190" s="55" t="n">
        <f aca="false">ROUND(AS190*$E$13/12,2)</f>
        <v>0</v>
      </c>
      <c r="AU190" s="55" t="n">
        <f aca="false">MIN($F$13,AS190+AT190)</f>
        <v>0</v>
      </c>
      <c r="AV190" s="55" t="n">
        <f aca="false">MAX(0,MIN(AS190+AT190-AU190,$D190-(H190+M190+R190+W190+AB190+AG190+AL190+AQ190)))</f>
        <v>0</v>
      </c>
      <c r="AW190" s="55" t="n">
        <f aca="false">AU190+AV190</f>
        <v>0</v>
      </c>
      <c r="AX190" s="55" t="n">
        <f aca="false">ROUND(MAX(0,AX189+AY189-BB189),2)</f>
        <v>0</v>
      </c>
      <c r="AY190" s="55" t="n">
        <f aca="false">ROUND(AX190*$E$14/12,2)</f>
        <v>0</v>
      </c>
      <c r="AZ190" s="55" t="n">
        <f aca="false">MIN($F$14,AX190+AY190)</f>
        <v>0</v>
      </c>
      <c r="BA190" s="55" t="n">
        <f aca="false">MAX(0,MIN(AX190+AY190-AZ190,$D190-(H190+M190+R190+W190+AB190+AG190+AL190+AQ190+AV190)))</f>
        <v>0</v>
      </c>
      <c r="BB190" s="55" t="n">
        <f aca="false">AZ190+BA190</f>
        <v>0</v>
      </c>
      <c r="BC190" s="55" t="n">
        <f aca="false">I190+N190+S190+X190+AC190+AH190+AM190+AR190+AW190+BB190</f>
        <v>0</v>
      </c>
      <c r="BD190" s="55" t="n">
        <f aca="false">ROUND((E190+F190-I190)+(J190+K190-N190)+(O190+P190-S190)+(T190+U190-X190)+(Y190+Z190-AC190)+(AD190+AE190-AH190)+(AI190+AJ190-AM190)+(AN190+AO190-AR190)+(AS190+AT190-AW190)+(AX190+AY190-BB190),2)</f>
        <v>0</v>
      </c>
      <c r="BE190" s="25" t="str">
        <f aca="false">IF(H190&gt;0.005,$C$5,IF(M190&gt;0.005,$C$6,IF(R190&gt;0.005,$C$7,IF(W190&gt;0.005,$C$8,IF(AB190&gt;0.005,$C$9,IF(AG190&gt;0.005,$C$10,IF(AL190&gt;0.005,$C$11,IF(AQ190&gt;0.005,$C$12,IF(AV190&gt;0.005,$C$13,IF(BA190&gt;0.005,$C$14,""))))))))))</f>
        <v/>
      </c>
    </row>
    <row r="191" customFormat="false" ht="15" hidden="false" customHeight="false" outlineLevel="0" collapsed="false">
      <c r="A191" s="24" t="n">
        <v>168</v>
      </c>
      <c r="B191" s="54" t="n">
        <f aca="false">EDATE($C$17,A191-1)</f>
        <v>51410</v>
      </c>
      <c r="C191" s="55" t="n">
        <f aca="false">G191+L191+Q191+V191+AA191+AF191+AK191+AP191+AU191+AZ191</f>
        <v>0</v>
      </c>
      <c r="D191" s="55" t="n">
        <f aca="false">MAX(0,$C$16-C191)</f>
        <v>5822</v>
      </c>
      <c r="E191" s="55" t="n">
        <f aca="false">ROUND(MAX(0,E190+F190-I190),2)</f>
        <v>0</v>
      </c>
      <c r="F191" s="55" t="n">
        <f aca="false">ROUND(E191*$E$5/12,2)</f>
        <v>0</v>
      </c>
      <c r="G191" s="55" t="n">
        <f aca="false">MIN($F$5,E191+F191)</f>
        <v>0</v>
      </c>
      <c r="H191" s="55" t="n">
        <f aca="false">MAX(0,MIN(E191+F191-G191,$D191))</f>
        <v>0</v>
      </c>
      <c r="I191" s="55" t="n">
        <f aca="false">G191+H191</f>
        <v>0</v>
      </c>
      <c r="J191" s="55" t="n">
        <f aca="false">ROUND(MAX(0,J190+K190-N190),2)</f>
        <v>0</v>
      </c>
      <c r="K191" s="55" t="n">
        <f aca="false">ROUND(J191*$E$6/12,2)</f>
        <v>0</v>
      </c>
      <c r="L191" s="55" t="n">
        <f aca="false">MIN($F$6,J191+K191)</f>
        <v>0</v>
      </c>
      <c r="M191" s="55" t="n">
        <f aca="false">MAX(0,MIN(J191+K191-L191,$D191-(H191)))</f>
        <v>0</v>
      </c>
      <c r="N191" s="55" t="n">
        <f aca="false">L191+M191</f>
        <v>0</v>
      </c>
      <c r="O191" s="55" t="n">
        <f aca="false">ROUND(MAX(0,O190+P190-S190),2)</f>
        <v>0</v>
      </c>
      <c r="P191" s="55" t="n">
        <f aca="false">ROUND(O191*$E$7/12,2)</f>
        <v>0</v>
      </c>
      <c r="Q191" s="55" t="n">
        <f aca="false">MIN($F$7,O191+P191)</f>
        <v>0</v>
      </c>
      <c r="R191" s="55" t="n">
        <f aca="false">MAX(0,MIN(O191+P191-Q191,$D191-(H191+M191)))</f>
        <v>0</v>
      </c>
      <c r="S191" s="55" t="n">
        <f aca="false">Q191+R191</f>
        <v>0</v>
      </c>
      <c r="T191" s="55" t="n">
        <f aca="false">ROUND(MAX(0,T190+U190-X190),2)</f>
        <v>0</v>
      </c>
      <c r="U191" s="55" t="n">
        <f aca="false">ROUND(T191*$E$8/12,2)</f>
        <v>0</v>
      </c>
      <c r="V191" s="55" t="n">
        <f aca="false">MIN($F$8,T191+U191)</f>
        <v>0</v>
      </c>
      <c r="W191" s="55" t="n">
        <f aca="false">MAX(0,MIN(T191+U191-V191,$D191-(H191+M191+R191)))</f>
        <v>0</v>
      </c>
      <c r="X191" s="55" t="n">
        <f aca="false">V191+W191</f>
        <v>0</v>
      </c>
      <c r="Y191" s="55" t="n">
        <f aca="false">ROUND(MAX(0,Y190+Z190-AC190),2)</f>
        <v>0</v>
      </c>
      <c r="Z191" s="55" t="n">
        <f aca="false">ROUND(Y191*$E$9/12,2)</f>
        <v>0</v>
      </c>
      <c r="AA191" s="55" t="n">
        <f aca="false">MIN($F$9,Y191+Z191)</f>
        <v>0</v>
      </c>
      <c r="AB191" s="55" t="n">
        <f aca="false">MAX(0,MIN(Y191+Z191-AA191,$D191-(H191+M191+R191+W191)))</f>
        <v>0</v>
      </c>
      <c r="AC191" s="55" t="n">
        <f aca="false">AA191+AB191</f>
        <v>0</v>
      </c>
      <c r="AD191" s="55" t="n">
        <f aca="false">ROUND(MAX(0,AD190+AE190-AH190),2)</f>
        <v>0</v>
      </c>
      <c r="AE191" s="55" t="n">
        <f aca="false">ROUND(AD191*$E$10/12,2)</f>
        <v>0</v>
      </c>
      <c r="AF191" s="55" t="n">
        <f aca="false">MIN($F$10,AD191+AE191)</f>
        <v>0</v>
      </c>
      <c r="AG191" s="55" t="n">
        <f aca="false">MAX(0,MIN(AD191+AE191-AF191,$D191-(H191+M191+R191+W191+AB191)))</f>
        <v>0</v>
      </c>
      <c r="AH191" s="55" t="n">
        <f aca="false">AF191+AG191</f>
        <v>0</v>
      </c>
      <c r="AI191" s="55" t="n">
        <f aca="false">ROUND(MAX(0,AI190+AJ190-AM190),2)</f>
        <v>0</v>
      </c>
      <c r="AJ191" s="55" t="n">
        <f aca="false">ROUND(AI191*$E$11/12,2)</f>
        <v>0</v>
      </c>
      <c r="AK191" s="55" t="n">
        <f aca="false">MIN($F$11,AI191+AJ191)</f>
        <v>0</v>
      </c>
      <c r="AL191" s="55" t="n">
        <f aca="false">MAX(0,MIN(AI191+AJ191-AK191,$D191-(H191+M191+R191+W191+AB191+AG191)))</f>
        <v>0</v>
      </c>
      <c r="AM191" s="55" t="n">
        <f aca="false">AK191+AL191</f>
        <v>0</v>
      </c>
      <c r="AN191" s="55" t="n">
        <f aca="false">ROUND(MAX(0,AN190+AO190-AR190),2)</f>
        <v>0</v>
      </c>
      <c r="AO191" s="55" t="n">
        <f aca="false">ROUND(AN191*$E$12/12,2)</f>
        <v>0</v>
      </c>
      <c r="AP191" s="55" t="n">
        <f aca="false">MIN($F$12,AN191+AO191)</f>
        <v>0</v>
      </c>
      <c r="AQ191" s="55" t="n">
        <f aca="false">MAX(0,MIN(AN191+AO191-AP191,$D191-(H191+M191+R191+W191+AB191+AG191+AL191)))</f>
        <v>0</v>
      </c>
      <c r="AR191" s="55" t="n">
        <f aca="false">AP191+AQ191</f>
        <v>0</v>
      </c>
      <c r="AS191" s="55" t="n">
        <f aca="false">ROUND(MAX(0,AS190+AT190-AW190),2)</f>
        <v>0</v>
      </c>
      <c r="AT191" s="55" t="n">
        <f aca="false">ROUND(AS191*$E$13/12,2)</f>
        <v>0</v>
      </c>
      <c r="AU191" s="55" t="n">
        <f aca="false">MIN($F$13,AS191+AT191)</f>
        <v>0</v>
      </c>
      <c r="AV191" s="55" t="n">
        <f aca="false">MAX(0,MIN(AS191+AT191-AU191,$D191-(H191+M191+R191+W191+AB191+AG191+AL191+AQ191)))</f>
        <v>0</v>
      </c>
      <c r="AW191" s="55" t="n">
        <f aca="false">AU191+AV191</f>
        <v>0</v>
      </c>
      <c r="AX191" s="55" t="n">
        <f aca="false">ROUND(MAX(0,AX190+AY190-BB190),2)</f>
        <v>0</v>
      </c>
      <c r="AY191" s="55" t="n">
        <f aca="false">ROUND(AX191*$E$14/12,2)</f>
        <v>0</v>
      </c>
      <c r="AZ191" s="55" t="n">
        <f aca="false">MIN($F$14,AX191+AY191)</f>
        <v>0</v>
      </c>
      <c r="BA191" s="55" t="n">
        <f aca="false">MAX(0,MIN(AX191+AY191-AZ191,$D191-(H191+M191+R191+W191+AB191+AG191+AL191+AQ191+AV191)))</f>
        <v>0</v>
      </c>
      <c r="BB191" s="55" t="n">
        <f aca="false">AZ191+BA191</f>
        <v>0</v>
      </c>
      <c r="BC191" s="55" t="n">
        <f aca="false">I191+N191+S191+X191+AC191+AH191+AM191+AR191+AW191+BB191</f>
        <v>0</v>
      </c>
      <c r="BD191" s="55" t="n">
        <f aca="false">ROUND((E191+F191-I191)+(J191+K191-N191)+(O191+P191-S191)+(T191+U191-X191)+(Y191+Z191-AC191)+(AD191+AE191-AH191)+(AI191+AJ191-AM191)+(AN191+AO191-AR191)+(AS191+AT191-AW191)+(AX191+AY191-BB191),2)</f>
        <v>0</v>
      </c>
      <c r="BE191" s="25" t="str">
        <f aca="false">IF(H191&gt;0.005,$C$5,IF(M191&gt;0.005,$C$6,IF(R191&gt;0.005,$C$7,IF(W191&gt;0.005,$C$8,IF(AB191&gt;0.005,$C$9,IF(AG191&gt;0.005,$C$10,IF(AL191&gt;0.005,$C$11,IF(AQ191&gt;0.005,$C$12,IF(AV191&gt;0.005,$C$13,IF(BA191&gt;0.005,$C$14,""))))))))))</f>
        <v/>
      </c>
    </row>
    <row r="192" customFormat="false" ht="15" hidden="false" customHeight="false" outlineLevel="0" collapsed="false">
      <c r="A192" s="24" t="n">
        <v>169</v>
      </c>
      <c r="B192" s="54" t="n">
        <f aca="false">EDATE($C$17,A192-1)</f>
        <v>51441</v>
      </c>
      <c r="C192" s="55" t="n">
        <f aca="false">G192+L192+Q192+V192+AA192+AF192+AK192+AP192+AU192+AZ192</f>
        <v>0</v>
      </c>
      <c r="D192" s="55" t="n">
        <f aca="false">MAX(0,$C$16-C192)</f>
        <v>5822</v>
      </c>
      <c r="E192" s="55" t="n">
        <f aca="false">ROUND(MAX(0,E191+F191-I191),2)</f>
        <v>0</v>
      </c>
      <c r="F192" s="55" t="n">
        <f aca="false">ROUND(E192*$E$5/12,2)</f>
        <v>0</v>
      </c>
      <c r="G192" s="55" t="n">
        <f aca="false">MIN($F$5,E192+F192)</f>
        <v>0</v>
      </c>
      <c r="H192" s="55" t="n">
        <f aca="false">MAX(0,MIN(E192+F192-G192,$D192))</f>
        <v>0</v>
      </c>
      <c r="I192" s="55" t="n">
        <f aca="false">G192+H192</f>
        <v>0</v>
      </c>
      <c r="J192" s="55" t="n">
        <f aca="false">ROUND(MAX(0,J191+K191-N191),2)</f>
        <v>0</v>
      </c>
      <c r="K192" s="55" t="n">
        <f aca="false">ROUND(J192*$E$6/12,2)</f>
        <v>0</v>
      </c>
      <c r="L192" s="55" t="n">
        <f aca="false">MIN($F$6,J192+K192)</f>
        <v>0</v>
      </c>
      <c r="M192" s="55" t="n">
        <f aca="false">MAX(0,MIN(J192+K192-L192,$D192-(H192)))</f>
        <v>0</v>
      </c>
      <c r="N192" s="55" t="n">
        <f aca="false">L192+M192</f>
        <v>0</v>
      </c>
      <c r="O192" s="55" t="n">
        <f aca="false">ROUND(MAX(0,O191+P191-S191),2)</f>
        <v>0</v>
      </c>
      <c r="P192" s="55" t="n">
        <f aca="false">ROUND(O192*$E$7/12,2)</f>
        <v>0</v>
      </c>
      <c r="Q192" s="55" t="n">
        <f aca="false">MIN($F$7,O192+P192)</f>
        <v>0</v>
      </c>
      <c r="R192" s="55" t="n">
        <f aca="false">MAX(0,MIN(O192+P192-Q192,$D192-(H192+M192)))</f>
        <v>0</v>
      </c>
      <c r="S192" s="55" t="n">
        <f aca="false">Q192+R192</f>
        <v>0</v>
      </c>
      <c r="T192" s="55" t="n">
        <f aca="false">ROUND(MAX(0,T191+U191-X191),2)</f>
        <v>0</v>
      </c>
      <c r="U192" s="55" t="n">
        <f aca="false">ROUND(T192*$E$8/12,2)</f>
        <v>0</v>
      </c>
      <c r="V192" s="55" t="n">
        <f aca="false">MIN($F$8,T192+U192)</f>
        <v>0</v>
      </c>
      <c r="W192" s="55" t="n">
        <f aca="false">MAX(0,MIN(T192+U192-V192,$D192-(H192+M192+R192)))</f>
        <v>0</v>
      </c>
      <c r="X192" s="55" t="n">
        <f aca="false">V192+W192</f>
        <v>0</v>
      </c>
      <c r="Y192" s="55" t="n">
        <f aca="false">ROUND(MAX(0,Y191+Z191-AC191),2)</f>
        <v>0</v>
      </c>
      <c r="Z192" s="55" t="n">
        <f aca="false">ROUND(Y192*$E$9/12,2)</f>
        <v>0</v>
      </c>
      <c r="AA192" s="55" t="n">
        <f aca="false">MIN($F$9,Y192+Z192)</f>
        <v>0</v>
      </c>
      <c r="AB192" s="55" t="n">
        <f aca="false">MAX(0,MIN(Y192+Z192-AA192,$D192-(H192+M192+R192+W192)))</f>
        <v>0</v>
      </c>
      <c r="AC192" s="55" t="n">
        <f aca="false">AA192+AB192</f>
        <v>0</v>
      </c>
      <c r="AD192" s="55" t="n">
        <f aca="false">ROUND(MAX(0,AD191+AE191-AH191),2)</f>
        <v>0</v>
      </c>
      <c r="AE192" s="55" t="n">
        <f aca="false">ROUND(AD192*$E$10/12,2)</f>
        <v>0</v>
      </c>
      <c r="AF192" s="55" t="n">
        <f aca="false">MIN($F$10,AD192+AE192)</f>
        <v>0</v>
      </c>
      <c r="AG192" s="55" t="n">
        <f aca="false">MAX(0,MIN(AD192+AE192-AF192,$D192-(H192+M192+R192+W192+AB192)))</f>
        <v>0</v>
      </c>
      <c r="AH192" s="55" t="n">
        <f aca="false">AF192+AG192</f>
        <v>0</v>
      </c>
      <c r="AI192" s="55" t="n">
        <f aca="false">ROUND(MAX(0,AI191+AJ191-AM191),2)</f>
        <v>0</v>
      </c>
      <c r="AJ192" s="55" t="n">
        <f aca="false">ROUND(AI192*$E$11/12,2)</f>
        <v>0</v>
      </c>
      <c r="AK192" s="55" t="n">
        <f aca="false">MIN($F$11,AI192+AJ192)</f>
        <v>0</v>
      </c>
      <c r="AL192" s="55" t="n">
        <f aca="false">MAX(0,MIN(AI192+AJ192-AK192,$D192-(H192+M192+R192+W192+AB192+AG192)))</f>
        <v>0</v>
      </c>
      <c r="AM192" s="55" t="n">
        <f aca="false">AK192+AL192</f>
        <v>0</v>
      </c>
      <c r="AN192" s="55" t="n">
        <f aca="false">ROUND(MAX(0,AN191+AO191-AR191),2)</f>
        <v>0</v>
      </c>
      <c r="AO192" s="55" t="n">
        <f aca="false">ROUND(AN192*$E$12/12,2)</f>
        <v>0</v>
      </c>
      <c r="AP192" s="55" t="n">
        <f aca="false">MIN($F$12,AN192+AO192)</f>
        <v>0</v>
      </c>
      <c r="AQ192" s="55" t="n">
        <f aca="false">MAX(0,MIN(AN192+AO192-AP192,$D192-(H192+M192+R192+W192+AB192+AG192+AL192)))</f>
        <v>0</v>
      </c>
      <c r="AR192" s="55" t="n">
        <f aca="false">AP192+AQ192</f>
        <v>0</v>
      </c>
      <c r="AS192" s="55" t="n">
        <f aca="false">ROUND(MAX(0,AS191+AT191-AW191),2)</f>
        <v>0</v>
      </c>
      <c r="AT192" s="55" t="n">
        <f aca="false">ROUND(AS192*$E$13/12,2)</f>
        <v>0</v>
      </c>
      <c r="AU192" s="55" t="n">
        <f aca="false">MIN($F$13,AS192+AT192)</f>
        <v>0</v>
      </c>
      <c r="AV192" s="55" t="n">
        <f aca="false">MAX(0,MIN(AS192+AT192-AU192,$D192-(H192+M192+R192+W192+AB192+AG192+AL192+AQ192)))</f>
        <v>0</v>
      </c>
      <c r="AW192" s="55" t="n">
        <f aca="false">AU192+AV192</f>
        <v>0</v>
      </c>
      <c r="AX192" s="55" t="n">
        <f aca="false">ROUND(MAX(0,AX191+AY191-BB191),2)</f>
        <v>0</v>
      </c>
      <c r="AY192" s="55" t="n">
        <f aca="false">ROUND(AX192*$E$14/12,2)</f>
        <v>0</v>
      </c>
      <c r="AZ192" s="55" t="n">
        <f aca="false">MIN($F$14,AX192+AY192)</f>
        <v>0</v>
      </c>
      <c r="BA192" s="55" t="n">
        <f aca="false">MAX(0,MIN(AX192+AY192-AZ192,$D192-(H192+M192+R192+W192+AB192+AG192+AL192+AQ192+AV192)))</f>
        <v>0</v>
      </c>
      <c r="BB192" s="55" t="n">
        <f aca="false">AZ192+BA192</f>
        <v>0</v>
      </c>
      <c r="BC192" s="55" t="n">
        <f aca="false">I192+N192+S192+X192+AC192+AH192+AM192+AR192+AW192+BB192</f>
        <v>0</v>
      </c>
      <c r="BD192" s="55" t="n">
        <f aca="false">ROUND((E192+F192-I192)+(J192+K192-N192)+(O192+P192-S192)+(T192+U192-X192)+(Y192+Z192-AC192)+(AD192+AE192-AH192)+(AI192+AJ192-AM192)+(AN192+AO192-AR192)+(AS192+AT192-AW192)+(AX192+AY192-BB192),2)</f>
        <v>0</v>
      </c>
      <c r="BE192" s="25" t="str">
        <f aca="false">IF(H192&gt;0.005,$C$5,IF(M192&gt;0.005,$C$6,IF(R192&gt;0.005,$C$7,IF(W192&gt;0.005,$C$8,IF(AB192&gt;0.005,$C$9,IF(AG192&gt;0.005,$C$10,IF(AL192&gt;0.005,$C$11,IF(AQ192&gt;0.005,$C$12,IF(AV192&gt;0.005,$C$13,IF(BA192&gt;0.005,$C$14,""))))))))))</f>
        <v/>
      </c>
    </row>
    <row r="193" customFormat="false" ht="15" hidden="false" customHeight="false" outlineLevel="0" collapsed="false">
      <c r="A193" s="24" t="n">
        <v>170</v>
      </c>
      <c r="B193" s="54" t="n">
        <f aca="false">EDATE($C$17,A193-1)</f>
        <v>51471</v>
      </c>
      <c r="C193" s="55" t="n">
        <f aca="false">G193+L193+Q193+V193+AA193+AF193+AK193+AP193+AU193+AZ193</f>
        <v>0</v>
      </c>
      <c r="D193" s="55" t="n">
        <f aca="false">MAX(0,$C$16-C193)</f>
        <v>5822</v>
      </c>
      <c r="E193" s="55" t="n">
        <f aca="false">ROUND(MAX(0,E192+F192-I192),2)</f>
        <v>0</v>
      </c>
      <c r="F193" s="55" t="n">
        <f aca="false">ROUND(E193*$E$5/12,2)</f>
        <v>0</v>
      </c>
      <c r="G193" s="55" t="n">
        <f aca="false">MIN($F$5,E193+F193)</f>
        <v>0</v>
      </c>
      <c r="H193" s="55" t="n">
        <f aca="false">MAX(0,MIN(E193+F193-G193,$D193))</f>
        <v>0</v>
      </c>
      <c r="I193" s="55" t="n">
        <f aca="false">G193+H193</f>
        <v>0</v>
      </c>
      <c r="J193" s="55" t="n">
        <f aca="false">ROUND(MAX(0,J192+K192-N192),2)</f>
        <v>0</v>
      </c>
      <c r="K193" s="55" t="n">
        <f aca="false">ROUND(J193*$E$6/12,2)</f>
        <v>0</v>
      </c>
      <c r="L193" s="55" t="n">
        <f aca="false">MIN($F$6,J193+K193)</f>
        <v>0</v>
      </c>
      <c r="M193" s="55" t="n">
        <f aca="false">MAX(0,MIN(J193+K193-L193,$D193-(H193)))</f>
        <v>0</v>
      </c>
      <c r="N193" s="55" t="n">
        <f aca="false">L193+M193</f>
        <v>0</v>
      </c>
      <c r="O193" s="55" t="n">
        <f aca="false">ROUND(MAX(0,O192+P192-S192),2)</f>
        <v>0</v>
      </c>
      <c r="P193" s="55" t="n">
        <f aca="false">ROUND(O193*$E$7/12,2)</f>
        <v>0</v>
      </c>
      <c r="Q193" s="55" t="n">
        <f aca="false">MIN($F$7,O193+P193)</f>
        <v>0</v>
      </c>
      <c r="R193" s="55" t="n">
        <f aca="false">MAX(0,MIN(O193+P193-Q193,$D193-(H193+M193)))</f>
        <v>0</v>
      </c>
      <c r="S193" s="55" t="n">
        <f aca="false">Q193+R193</f>
        <v>0</v>
      </c>
      <c r="T193" s="55" t="n">
        <f aca="false">ROUND(MAX(0,T192+U192-X192),2)</f>
        <v>0</v>
      </c>
      <c r="U193" s="55" t="n">
        <f aca="false">ROUND(T193*$E$8/12,2)</f>
        <v>0</v>
      </c>
      <c r="V193" s="55" t="n">
        <f aca="false">MIN($F$8,T193+U193)</f>
        <v>0</v>
      </c>
      <c r="W193" s="55" t="n">
        <f aca="false">MAX(0,MIN(T193+U193-V193,$D193-(H193+M193+R193)))</f>
        <v>0</v>
      </c>
      <c r="X193" s="55" t="n">
        <f aca="false">V193+W193</f>
        <v>0</v>
      </c>
      <c r="Y193" s="55" t="n">
        <f aca="false">ROUND(MAX(0,Y192+Z192-AC192),2)</f>
        <v>0</v>
      </c>
      <c r="Z193" s="55" t="n">
        <f aca="false">ROUND(Y193*$E$9/12,2)</f>
        <v>0</v>
      </c>
      <c r="AA193" s="55" t="n">
        <f aca="false">MIN($F$9,Y193+Z193)</f>
        <v>0</v>
      </c>
      <c r="AB193" s="55" t="n">
        <f aca="false">MAX(0,MIN(Y193+Z193-AA193,$D193-(H193+M193+R193+W193)))</f>
        <v>0</v>
      </c>
      <c r="AC193" s="55" t="n">
        <f aca="false">AA193+AB193</f>
        <v>0</v>
      </c>
      <c r="AD193" s="55" t="n">
        <f aca="false">ROUND(MAX(0,AD192+AE192-AH192),2)</f>
        <v>0</v>
      </c>
      <c r="AE193" s="55" t="n">
        <f aca="false">ROUND(AD193*$E$10/12,2)</f>
        <v>0</v>
      </c>
      <c r="AF193" s="55" t="n">
        <f aca="false">MIN($F$10,AD193+AE193)</f>
        <v>0</v>
      </c>
      <c r="AG193" s="55" t="n">
        <f aca="false">MAX(0,MIN(AD193+AE193-AF193,$D193-(H193+M193+R193+W193+AB193)))</f>
        <v>0</v>
      </c>
      <c r="AH193" s="55" t="n">
        <f aca="false">AF193+AG193</f>
        <v>0</v>
      </c>
      <c r="AI193" s="55" t="n">
        <f aca="false">ROUND(MAX(0,AI192+AJ192-AM192),2)</f>
        <v>0</v>
      </c>
      <c r="AJ193" s="55" t="n">
        <f aca="false">ROUND(AI193*$E$11/12,2)</f>
        <v>0</v>
      </c>
      <c r="AK193" s="55" t="n">
        <f aca="false">MIN($F$11,AI193+AJ193)</f>
        <v>0</v>
      </c>
      <c r="AL193" s="55" t="n">
        <f aca="false">MAX(0,MIN(AI193+AJ193-AK193,$D193-(H193+M193+R193+W193+AB193+AG193)))</f>
        <v>0</v>
      </c>
      <c r="AM193" s="55" t="n">
        <f aca="false">AK193+AL193</f>
        <v>0</v>
      </c>
      <c r="AN193" s="55" t="n">
        <f aca="false">ROUND(MAX(0,AN192+AO192-AR192),2)</f>
        <v>0</v>
      </c>
      <c r="AO193" s="55" t="n">
        <f aca="false">ROUND(AN193*$E$12/12,2)</f>
        <v>0</v>
      </c>
      <c r="AP193" s="55" t="n">
        <f aca="false">MIN($F$12,AN193+AO193)</f>
        <v>0</v>
      </c>
      <c r="AQ193" s="55" t="n">
        <f aca="false">MAX(0,MIN(AN193+AO193-AP193,$D193-(H193+M193+R193+W193+AB193+AG193+AL193)))</f>
        <v>0</v>
      </c>
      <c r="AR193" s="55" t="n">
        <f aca="false">AP193+AQ193</f>
        <v>0</v>
      </c>
      <c r="AS193" s="55" t="n">
        <f aca="false">ROUND(MAX(0,AS192+AT192-AW192),2)</f>
        <v>0</v>
      </c>
      <c r="AT193" s="55" t="n">
        <f aca="false">ROUND(AS193*$E$13/12,2)</f>
        <v>0</v>
      </c>
      <c r="AU193" s="55" t="n">
        <f aca="false">MIN($F$13,AS193+AT193)</f>
        <v>0</v>
      </c>
      <c r="AV193" s="55" t="n">
        <f aca="false">MAX(0,MIN(AS193+AT193-AU193,$D193-(H193+M193+R193+W193+AB193+AG193+AL193+AQ193)))</f>
        <v>0</v>
      </c>
      <c r="AW193" s="55" t="n">
        <f aca="false">AU193+AV193</f>
        <v>0</v>
      </c>
      <c r="AX193" s="55" t="n">
        <f aca="false">ROUND(MAX(0,AX192+AY192-BB192),2)</f>
        <v>0</v>
      </c>
      <c r="AY193" s="55" t="n">
        <f aca="false">ROUND(AX193*$E$14/12,2)</f>
        <v>0</v>
      </c>
      <c r="AZ193" s="55" t="n">
        <f aca="false">MIN($F$14,AX193+AY193)</f>
        <v>0</v>
      </c>
      <c r="BA193" s="55" t="n">
        <f aca="false">MAX(0,MIN(AX193+AY193-AZ193,$D193-(H193+M193+R193+W193+AB193+AG193+AL193+AQ193+AV193)))</f>
        <v>0</v>
      </c>
      <c r="BB193" s="55" t="n">
        <f aca="false">AZ193+BA193</f>
        <v>0</v>
      </c>
      <c r="BC193" s="55" t="n">
        <f aca="false">I193+N193+S193+X193+AC193+AH193+AM193+AR193+AW193+BB193</f>
        <v>0</v>
      </c>
      <c r="BD193" s="55" t="n">
        <f aca="false">ROUND((E193+F193-I193)+(J193+K193-N193)+(O193+P193-S193)+(T193+U193-X193)+(Y193+Z193-AC193)+(AD193+AE193-AH193)+(AI193+AJ193-AM193)+(AN193+AO193-AR193)+(AS193+AT193-AW193)+(AX193+AY193-BB193),2)</f>
        <v>0</v>
      </c>
      <c r="BE193" s="25" t="str">
        <f aca="false">IF(H193&gt;0.005,$C$5,IF(M193&gt;0.005,$C$6,IF(R193&gt;0.005,$C$7,IF(W193&gt;0.005,$C$8,IF(AB193&gt;0.005,$C$9,IF(AG193&gt;0.005,$C$10,IF(AL193&gt;0.005,$C$11,IF(AQ193&gt;0.005,$C$12,IF(AV193&gt;0.005,$C$13,IF(BA193&gt;0.005,$C$14,""))))))))))</f>
        <v/>
      </c>
    </row>
    <row r="194" customFormat="false" ht="15" hidden="false" customHeight="false" outlineLevel="0" collapsed="false">
      <c r="A194" s="24" t="n">
        <v>171</v>
      </c>
      <c r="B194" s="54" t="n">
        <f aca="false">EDATE($C$17,A194-1)</f>
        <v>51502</v>
      </c>
      <c r="C194" s="55" t="n">
        <f aca="false">G194+L194+Q194+V194+AA194+AF194+AK194+AP194+AU194+AZ194</f>
        <v>0</v>
      </c>
      <c r="D194" s="55" t="n">
        <f aca="false">MAX(0,$C$16-C194)</f>
        <v>5822</v>
      </c>
      <c r="E194" s="55" t="n">
        <f aca="false">ROUND(MAX(0,E193+F193-I193),2)</f>
        <v>0</v>
      </c>
      <c r="F194" s="55" t="n">
        <f aca="false">ROUND(E194*$E$5/12,2)</f>
        <v>0</v>
      </c>
      <c r="G194" s="55" t="n">
        <f aca="false">MIN($F$5,E194+F194)</f>
        <v>0</v>
      </c>
      <c r="H194" s="55" t="n">
        <f aca="false">MAX(0,MIN(E194+F194-G194,$D194))</f>
        <v>0</v>
      </c>
      <c r="I194" s="55" t="n">
        <f aca="false">G194+H194</f>
        <v>0</v>
      </c>
      <c r="J194" s="55" t="n">
        <f aca="false">ROUND(MAX(0,J193+K193-N193),2)</f>
        <v>0</v>
      </c>
      <c r="K194" s="55" t="n">
        <f aca="false">ROUND(J194*$E$6/12,2)</f>
        <v>0</v>
      </c>
      <c r="L194" s="55" t="n">
        <f aca="false">MIN($F$6,J194+K194)</f>
        <v>0</v>
      </c>
      <c r="M194" s="55" t="n">
        <f aca="false">MAX(0,MIN(J194+K194-L194,$D194-(H194)))</f>
        <v>0</v>
      </c>
      <c r="N194" s="55" t="n">
        <f aca="false">L194+M194</f>
        <v>0</v>
      </c>
      <c r="O194" s="55" t="n">
        <f aca="false">ROUND(MAX(0,O193+P193-S193),2)</f>
        <v>0</v>
      </c>
      <c r="P194" s="55" t="n">
        <f aca="false">ROUND(O194*$E$7/12,2)</f>
        <v>0</v>
      </c>
      <c r="Q194" s="55" t="n">
        <f aca="false">MIN($F$7,O194+P194)</f>
        <v>0</v>
      </c>
      <c r="R194" s="55" t="n">
        <f aca="false">MAX(0,MIN(O194+P194-Q194,$D194-(H194+M194)))</f>
        <v>0</v>
      </c>
      <c r="S194" s="55" t="n">
        <f aca="false">Q194+R194</f>
        <v>0</v>
      </c>
      <c r="T194" s="55" t="n">
        <f aca="false">ROUND(MAX(0,T193+U193-X193),2)</f>
        <v>0</v>
      </c>
      <c r="U194" s="55" t="n">
        <f aca="false">ROUND(T194*$E$8/12,2)</f>
        <v>0</v>
      </c>
      <c r="V194" s="55" t="n">
        <f aca="false">MIN($F$8,T194+U194)</f>
        <v>0</v>
      </c>
      <c r="W194" s="55" t="n">
        <f aca="false">MAX(0,MIN(T194+U194-V194,$D194-(H194+M194+R194)))</f>
        <v>0</v>
      </c>
      <c r="X194" s="55" t="n">
        <f aca="false">V194+W194</f>
        <v>0</v>
      </c>
      <c r="Y194" s="55" t="n">
        <f aca="false">ROUND(MAX(0,Y193+Z193-AC193),2)</f>
        <v>0</v>
      </c>
      <c r="Z194" s="55" t="n">
        <f aca="false">ROUND(Y194*$E$9/12,2)</f>
        <v>0</v>
      </c>
      <c r="AA194" s="55" t="n">
        <f aca="false">MIN($F$9,Y194+Z194)</f>
        <v>0</v>
      </c>
      <c r="AB194" s="55" t="n">
        <f aca="false">MAX(0,MIN(Y194+Z194-AA194,$D194-(H194+M194+R194+W194)))</f>
        <v>0</v>
      </c>
      <c r="AC194" s="55" t="n">
        <f aca="false">AA194+AB194</f>
        <v>0</v>
      </c>
      <c r="AD194" s="55" t="n">
        <f aca="false">ROUND(MAX(0,AD193+AE193-AH193),2)</f>
        <v>0</v>
      </c>
      <c r="AE194" s="55" t="n">
        <f aca="false">ROUND(AD194*$E$10/12,2)</f>
        <v>0</v>
      </c>
      <c r="AF194" s="55" t="n">
        <f aca="false">MIN($F$10,AD194+AE194)</f>
        <v>0</v>
      </c>
      <c r="AG194" s="55" t="n">
        <f aca="false">MAX(0,MIN(AD194+AE194-AF194,$D194-(H194+M194+R194+W194+AB194)))</f>
        <v>0</v>
      </c>
      <c r="AH194" s="55" t="n">
        <f aca="false">AF194+AG194</f>
        <v>0</v>
      </c>
      <c r="AI194" s="55" t="n">
        <f aca="false">ROUND(MAX(0,AI193+AJ193-AM193),2)</f>
        <v>0</v>
      </c>
      <c r="AJ194" s="55" t="n">
        <f aca="false">ROUND(AI194*$E$11/12,2)</f>
        <v>0</v>
      </c>
      <c r="AK194" s="55" t="n">
        <f aca="false">MIN($F$11,AI194+AJ194)</f>
        <v>0</v>
      </c>
      <c r="AL194" s="55" t="n">
        <f aca="false">MAX(0,MIN(AI194+AJ194-AK194,$D194-(H194+M194+R194+W194+AB194+AG194)))</f>
        <v>0</v>
      </c>
      <c r="AM194" s="55" t="n">
        <f aca="false">AK194+AL194</f>
        <v>0</v>
      </c>
      <c r="AN194" s="55" t="n">
        <f aca="false">ROUND(MAX(0,AN193+AO193-AR193),2)</f>
        <v>0</v>
      </c>
      <c r="AO194" s="55" t="n">
        <f aca="false">ROUND(AN194*$E$12/12,2)</f>
        <v>0</v>
      </c>
      <c r="AP194" s="55" t="n">
        <f aca="false">MIN($F$12,AN194+AO194)</f>
        <v>0</v>
      </c>
      <c r="AQ194" s="55" t="n">
        <f aca="false">MAX(0,MIN(AN194+AO194-AP194,$D194-(H194+M194+R194+W194+AB194+AG194+AL194)))</f>
        <v>0</v>
      </c>
      <c r="AR194" s="55" t="n">
        <f aca="false">AP194+AQ194</f>
        <v>0</v>
      </c>
      <c r="AS194" s="55" t="n">
        <f aca="false">ROUND(MAX(0,AS193+AT193-AW193),2)</f>
        <v>0</v>
      </c>
      <c r="AT194" s="55" t="n">
        <f aca="false">ROUND(AS194*$E$13/12,2)</f>
        <v>0</v>
      </c>
      <c r="AU194" s="55" t="n">
        <f aca="false">MIN($F$13,AS194+AT194)</f>
        <v>0</v>
      </c>
      <c r="AV194" s="55" t="n">
        <f aca="false">MAX(0,MIN(AS194+AT194-AU194,$D194-(H194+M194+R194+W194+AB194+AG194+AL194+AQ194)))</f>
        <v>0</v>
      </c>
      <c r="AW194" s="55" t="n">
        <f aca="false">AU194+AV194</f>
        <v>0</v>
      </c>
      <c r="AX194" s="55" t="n">
        <f aca="false">ROUND(MAX(0,AX193+AY193-BB193),2)</f>
        <v>0</v>
      </c>
      <c r="AY194" s="55" t="n">
        <f aca="false">ROUND(AX194*$E$14/12,2)</f>
        <v>0</v>
      </c>
      <c r="AZ194" s="55" t="n">
        <f aca="false">MIN($F$14,AX194+AY194)</f>
        <v>0</v>
      </c>
      <c r="BA194" s="55" t="n">
        <f aca="false">MAX(0,MIN(AX194+AY194-AZ194,$D194-(H194+M194+R194+W194+AB194+AG194+AL194+AQ194+AV194)))</f>
        <v>0</v>
      </c>
      <c r="BB194" s="55" t="n">
        <f aca="false">AZ194+BA194</f>
        <v>0</v>
      </c>
      <c r="BC194" s="55" t="n">
        <f aca="false">I194+N194+S194+X194+AC194+AH194+AM194+AR194+AW194+BB194</f>
        <v>0</v>
      </c>
      <c r="BD194" s="55" t="n">
        <f aca="false">ROUND((E194+F194-I194)+(J194+K194-N194)+(O194+P194-S194)+(T194+U194-X194)+(Y194+Z194-AC194)+(AD194+AE194-AH194)+(AI194+AJ194-AM194)+(AN194+AO194-AR194)+(AS194+AT194-AW194)+(AX194+AY194-BB194),2)</f>
        <v>0</v>
      </c>
      <c r="BE194" s="25" t="str">
        <f aca="false">IF(H194&gt;0.005,$C$5,IF(M194&gt;0.005,$C$6,IF(R194&gt;0.005,$C$7,IF(W194&gt;0.005,$C$8,IF(AB194&gt;0.005,$C$9,IF(AG194&gt;0.005,$C$10,IF(AL194&gt;0.005,$C$11,IF(AQ194&gt;0.005,$C$12,IF(AV194&gt;0.005,$C$13,IF(BA194&gt;0.005,$C$14,""))))))))))</f>
        <v/>
      </c>
    </row>
    <row r="195" customFormat="false" ht="15" hidden="false" customHeight="false" outlineLevel="0" collapsed="false">
      <c r="A195" s="24" t="n">
        <v>172</v>
      </c>
      <c r="B195" s="54" t="n">
        <f aca="false">EDATE($C$17,A195-1)</f>
        <v>51533</v>
      </c>
      <c r="C195" s="55" t="n">
        <f aca="false">G195+L195+Q195+V195+AA195+AF195+AK195+AP195+AU195+AZ195</f>
        <v>0</v>
      </c>
      <c r="D195" s="55" t="n">
        <f aca="false">MAX(0,$C$16-C195)</f>
        <v>5822</v>
      </c>
      <c r="E195" s="55" t="n">
        <f aca="false">ROUND(MAX(0,E194+F194-I194),2)</f>
        <v>0</v>
      </c>
      <c r="F195" s="55" t="n">
        <f aca="false">ROUND(E195*$E$5/12,2)</f>
        <v>0</v>
      </c>
      <c r="G195" s="55" t="n">
        <f aca="false">MIN($F$5,E195+F195)</f>
        <v>0</v>
      </c>
      <c r="H195" s="55" t="n">
        <f aca="false">MAX(0,MIN(E195+F195-G195,$D195))</f>
        <v>0</v>
      </c>
      <c r="I195" s="55" t="n">
        <f aca="false">G195+H195</f>
        <v>0</v>
      </c>
      <c r="J195" s="55" t="n">
        <f aca="false">ROUND(MAX(0,J194+K194-N194),2)</f>
        <v>0</v>
      </c>
      <c r="K195" s="55" t="n">
        <f aca="false">ROUND(J195*$E$6/12,2)</f>
        <v>0</v>
      </c>
      <c r="L195" s="55" t="n">
        <f aca="false">MIN($F$6,J195+K195)</f>
        <v>0</v>
      </c>
      <c r="M195" s="55" t="n">
        <f aca="false">MAX(0,MIN(J195+K195-L195,$D195-(H195)))</f>
        <v>0</v>
      </c>
      <c r="N195" s="55" t="n">
        <f aca="false">L195+M195</f>
        <v>0</v>
      </c>
      <c r="O195" s="55" t="n">
        <f aca="false">ROUND(MAX(0,O194+P194-S194),2)</f>
        <v>0</v>
      </c>
      <c r="P195" s="55" t="n">
        <f aca="false">ROUND(O195*$E$7/12,2)</f>
        <v>0</v>
      </c>
      <c r="Q195" s="55" t="n">
        <f aca="false">MIN($F$7,O195+P195)</f>
        <v>0</v>
      </c>
      <c r="R195" s="55" t="n">
        <f aca="false">MAX(0,MIN(O195+P195-Q195,$D195-(H195+M195)))</f>
        <v>0</v>
      </c>
      <c r="S195" s="55" t="n">
        <f aca="false">Q195+R195</f>
        <v>0</v>
      </c>
      <c r="T195" s="55" t="n">
        <f aca="false">ROUND(MAX(0,T194+U194-X194),2)</f>
        <v>0</v>
      </c>
      <c r="U195" s="55" t="n">
        <f aca="false">ROUND(T195*$E$8/12,2)</f>
        <v>0</v>
      </c>
      <c r="V195" s="55" t="n">
        <f aca="false">MIN($F$8,T195+U195)</f>
        <v>0</v>
      </c>
      <c r="W195" s="55" t="n">
        <f aca="false">MAX(0,MIN(T195+U195-V195,$D195-(H195+M195+R195)))</f>
        <v>0</v>
      </c>
      <c r="X195" s="55" t="n">
        <f aca="false">V195+W195</f>
        <v>0</v>
      </c>
      <c r="Y195" s="55" t="n">
        <f aca="false">ROUND(MAX(0,Y194+Z194-AC194),2)</f>
        <v>0</v>
      </c>
      <c r="Z195" s="55" t="n">
        <f aca="false">ROUND(Y195*$E$9/12,2)</f>
        <v>0</v>
      </c>
      <c r="AA195" s="55" t="n">
        <f aca="false">MIN($F$9,Y195+Z195)</f>
        <v>0</v>
      </c>
      <c r="AB195" s="55" t="n">
        <f aca="false">MAX(0,MIN(Y195+Z195-AA195,$D195-(H195+M195+R195+W195)))</f>
        <v>0</v>
      </c>
      <c r="AC195" s="55" t="n">
        <f aca="false">AA195+AB195</f>
        <v>0</v>
      </c>
      <c r="AD195" s="55" t="n">
        <f aca="false">ROUND(MAX(0,AD194+AE194-AH194),2)</f>
        <v>0</v>
      </c>
      <c r="AE195" s="55" t="n">
        <f aca="false">ROUND(AD195*$E$10/12,2)</f>
        <v>0</v>
      </c>
      <c r="AF195" s="55" t="n">
        <f aca="false">MIN($F$10,AD195+AE195)</f>
        <v>0</v>
      </c>
      <c r="AG195" s="55" t="n">
        <f aca="false">MAX(0,MIN(AD195+AE195-AF195,$D195-(H195+M195+R195+W195+AB195)))</f>
        <v>0</v>
      </c>
      <c r="AH195" s="55" t="n">
        <f aca="false">AF195+AG195</f>
        <v>0</v>
      </c>
      <c r="AI195" s="55" t="n">
        <f aca="false">ROUND(MAX(0,AI194+AJ194-AM194),2)</f>
        <v>0</v>
      </c>
      <c r="AJ195" s="55" t="n">
        <f aca="false">ROUND(AI195*$E$11/12,2)</f>
        <v>0</v>
      </c>
      <c r="AK195" s="55" t="n">
        <f aca="false">MIN($F$11,AI195+AJ195)</f>
        <v>0</v>
      </c>
      <c r="AL195" s="55" t="n">
        <f aca="false">MAX(0,MIN(AI195+AJ195-AK195,$D195-(H195+M195+R195+W195+AB195+AG195)))</f>
        <v>0</v>
      </c>
      <c r="AM195" s="55" t="n">
        <f aca="false">AK195+AL195</f>
        <v>0</v>
      </c>
      <c r="AN195" s="55" t="n">
        <f aca="false">ROUND(MAX(0,AN194+AO194-AR194),2)</f>
        <v>0</v>
      </c>
      <c r="AO195" s="55" t="n">
        <f aca="false">ROUND(AN195*$E$12/12,2)</f>
        <v>0</v>
      </c>
      <c r="AP195" s="55" t="n">
        <f aca="false">MIN($F$12,AN195+AO195)</f>
        <v>0</v>
      </c>
      <c r="AQ195" s="55" t="n">
        <f aca="false">MAX(0,MIN(AN195+AO195-AP195,$D195-(H195+M195+R195+W195+AB195+AG195+AL195)))</f>
        <v>0</v>
      </c>
      <c r="AR195" s="55" t="n">
        <f aca="false">AP195+AQ195</f>
        <v>0</v>
      </c>
      <c r="AS195" s="55" t="n">
        <f aca="false">ROUND(MAX(0,AS194+AT194-AW194),2)</f>
        <v>0</v>
      </c>
      <c r="AT195" s="55" t="n">
        <f aca="false">ROUND(AS195*$E$13/12,2)</f>
        <v>0</v>
      </c>
      <c r="AU195" s="55" t="n">
        <f aca="false">MIN($F$13,AS195+AT195)</f>
        <v>0</v>
      </c>
      <c r="AV195" s="55" t="n">
        <f aca="false">MAX(0,MIN(AS195+AT195-AU195,$D195-(H195+M195+R195+W195+AB195+AG195+AL195+AQ195)))</f>
        <v>0</v>
      </c>
      <c r="AW195" s="55" t="n">
        <f aca="false">AU195+AV195</f>
        <v>0</v>
      </c>
      <c r="AX195" s="55" t="n">
        <f aca="false">ROUND(MAX(0,AX194+AY194-BB194),2)</f>
        <v>0</v>
      </c>
      <c r="AY195" s="55" t="n">
        <f aca="false">ROUND(AX195*$E$14/12,2)</f>
        <v>0</v>
      </c>
      <c r="AZ195" s="55" t="n">
        <f aca="false">MIN($F$14,AX195+AY195)</f>
        <v>0</v>
      </c>
      <c r="BA195" s="55" t="n">
        <f aca="false">MAX(0,MIN(AX195+AY195-AZ195,$D195-(H195+M195+R195+W195+AB195+AG195+AL195+AQ195+AV195)))</f>
        <v>0</v>
      </c>
      <c r="BB195" s="55" t="n">
        <f aca="false">AZ195+BA195</f>
        <v>0</v>
      </c>
      <c r="BC195" s="55" t="n">
        <f aca="false">I195+N195+S195+X195+AC195+AH195+AM195+AR195+AW195+BB195</f>
        <v>0</v>
      </c>
      <c r="BD195" s="55" t="n">
        <f aca="false">ROUND((E195+F195-I195)+(J195+K195-N195)+(O195+P195-S195)+(T195+U195-X195)+(Y195+Z195-AC195)+(AD195+AE195-AH195)+(AI195+AJ195-AM195)+(AN195+AO195-AR195)+(AS195+AT195-AW195)+(AX195+AY195-BB195),2)</f>
        <v>0</v>
      </c>
      <c r="BE195" s="25" t="str">
        <f aca="false">IF(H195&gt;0.005,$C$5,IF(M195&gt;0.005,$C$6,IF(R195&gt;0.005,$C$7,IF(W195&gt;0.005,$C$8,IF(AB195&gt;0.005,$C$9,IF(AG195&gt;0.005,$C$10,IF(AL195&gt;0.005,$C$11,IF(AQ195&gt;0.005,$C$12,IF(AV195&gt;0.005,$C$13,IF(BA195&gt;0.005,$C$14,""))))))))))</f>
        <v/>
      </c>
    </row>
    <row r="196" customFormat="false" ht="15" hidden="false" customHeight="false" outlineLevel="0" collapsed="false">
      <c r="A196" s="24" t="n">
        <v>173</v>
      </c>
      <c r="B196" s="54" t="n">
        <f aca="false">EDATE($C$17,A196-1)</f>
        <v>51561</v>
      </c>
      <c r="C196" s="55" t="n">
        <f aca="false">G196+L196+Q196+V196+AA196+AF196+AK196+AP196+AU196+AZ196</f>
        <v>0</v>
      </c>
      <c r="D196" s="55" t="n">
        <f aca="false">MAX(0,$C$16-C196)</f>
        <v>5822</v>
      </c>
      <c r="E196" s="55" t="n">
        <f aca="false">ROUND(MAX(0,E195+F195-I195),2)</f>
        <v>0</v>
      </c>
      <c r="F196" s="55" t="n">
        <f aca="false">ROUND(E196*$E$5/12,2)</f>
        <v>0</v>
      </c>
      <c r="G196" s="55" t="n">
        <f aca="false">MIN($F$5,E196+F196)</f>
        <v>0</v>
      </c>
      <c r="H196" s="55" t="n">
        <f aca="false">MAX(0,MIN(E196+F196-G196,$D196))</f>
        <v>0</v>
      </c>
      <c r="I196" s="55" t="n">
        <f aca="false">G196+H196</f>
        <v>0</v>
      </c>
      <c r="J196" s="55" t="n">
        <f aca="false">ROUND(MAX(0,J195+K195-N195),2)</f>
        <v>0</v>
      </c>
      <c r="K196" s="55" t="n">
        <f aca="false">ROUND(J196*$E$6/12,2)</f>
        <v>0</v>
      </c>
      <c r="L196" s="55" t="n">
        <f aca="false">MIN($F$6,J196+K196)</f>
        <v>0</v>
      </c>
      <c r="M196" s="55" t="n">
        <f aca="false">MAX(0,MIN(J196+K196-L196,$D196-(H196)))</f>
        <v>0</v>
      </c>
      <c r="N196" s="55" t="n">
        <f aca="false">L196+M196</f>
        <v>0</v>
      </c>
      <c r="O196" s="55" t="n">
        <f aca="false">ROUND(MAX(0,O195+P195-S195),2)</f>
        <v>0</v>
      </c>
      <c r="P196" s="55" t="n">
        <f aca="false">ROUND(O196*$E$7/12,2)</f>
        <v>0</v>
      </c>
      <c r="Q196" s="55" t="n">
        <f aca="false">MIN($F$7,O196+P196)</f>
        <v>0</v>
      </c>
      <c r="R196" s="55" t="n">
        <f aca="false">MAX(0,MIN(O196+P196-Q196,$D196-(H196+M196)))</f>
        <v>0</v>
      </c>
      <c r="S196" s="55" t="n">
        <f aca="false">Q196+R196</f>
        <v>0</v>
      </c>
      <c r="T196" s="55" t="n">
        <f aca="false">ROUND(MAX(0,T195+U195-X195),2)</f>
        <v>0</v>
      </c>
      <c r="U196" s="55" t="n">
        <f aca="false">ROUND(T196*$E$8/12,2)</f>
        <v>0</v>
      </c>
      <c r="V196" s="55" t="n">
        <f aca="false">MIN($F$8,T196+U196)</f>
        <v>0</v>
      </c>
      <c r="W196" s="55" t="n">
        <f aca="false">MAX(0,MIN(T196+U196-V196,$D196-(H196+M196+R196)))</f>
        <v>0</v>
      </c>
      <c r="X196" s="55" t="n">
        <f aca="false">V196+W196</f>
        <v>0</v>
      </c>
      <c r="Y196" s="55" t="n">
        <f aca="false">ROUND(MAX(0,Y195+Z195-AC195),2)</f>
        <v>0</v>
      </c>
      <c r="Z196" s="55" t="n">
        <f aca="false">ROUND(Y196*$E$9/12,2)</f>
        <v>0</v>
      </c>
      <c r="AA196" s="55" t="n">
        <f aca="false">MIN($F$9,Y196+Z196)</f>
        <v>0</v>
      </c>
      <c r="AB196" s="55" t="n">
        <f aca="false">MAX(0,MIN(Y196+Z196-AA196,$D196-(H196+M196+R196+W196)))</f>
        <v>0</v>
      </c>
      <c r="AC196" s="55" t="n">
        <f aca="false">AA196+AB196</f>
        <v>0</v>
      </c>
      <c r="AD196" s="55" t="n">
        <f aca="false">ROUND(MAX(0,AD195+AE195-AH195),2)</f>
        <v>0</v>
      </c>
      <c r="AE196" s="55" t="n">
        <f aca="false">ROUND(AD196*$E$10/12,2)</f>
        <v>0</v>
      </c>
      <c r="AF196" s="55" t="n">
        <f aca="false">MIN($F$10,AD196+AE196)</f>
        <v>0</v>
      </c>
      <c r="AG196" s="55" t="n">
        <f aca="false">MAX(0,MIN(AD196+AE196-AF196,$D196-(H196+M196+R196+W196+AB196)))</f>
        <v>0</v>
      </c>
      <c r="AH196" s="55" t="n">
        <f aca="false">AF196+AG196</f>
        <v>0</v>
      </c>
      <c r="AI196" s="55" t="n">
        <f aca="false">ROUND(MAX(0,AI195+AJ195-AM195),2)</f>
        <v>0</v>
      </c>
      <c r="AJ196" s="55" t="n">
        <f aca="false">ROUND(AI196*$E$11/12,2)</f>
        <v>0</v>
      </c>
      <c r="AK196" s="55" t="n">
        <f aca="false">MIN($F$11,AI196+AJ196)</f>
        <v>0</v>
      </c>
      <c r="AL196" s="55" t="n">
        <f aca="false">MAX(0,MIN(AI196+AJ196-AK196,$D196-(H196+M196+R196+W196+AB196+AG196)))</f>
        <v>0</v>
      </c>
      <c r="AM196" s="55" t="n">
        <f aca="false">AK196+AL196</f>
        <v>0</v>
      </c>
      <c r="AN196" s="55" t="n">
        <f aca="false">ROUND(MAX(0,AN195+AO195-AR195),2)</f>
        <v>0</v>
      </c>
      <c r="AO196" s="55" t="n">
        <f aca="false">ROUND(AN196*$E$12/12,2)</f>
        <v>0</v>
      </c>
      <c r="AP196" s="55" t="n">
        <f aca="false">MIN($F$12,AN196+AO196)</f>
        <v>0</v>
      </c>
      <c r="AQ196" s="55" t="n">
        <f aca="false">MAX(0,MIN(AN196+AO196-AP196,$D196-(H196+M196+R196+W196+AB196+AG196+AL196)))</f>
        <v>0</v>
      </c>
      <c r="AR196" s="55" t="n">
        <f aca="false">AP196+AQ196</f>
        <v>0</v>
      </c>
      <c r="AS196" s="55" t="n">
        <f aca="false">ROUND(MAX(0,AS195+AT195-AW195),2)</f>
        <v>0</v>
      </c>
      <c r="AT196" s="55" t="n">
        <f aca="false">ROUND(AS196*$E$13/12,2)</f>
        <v>0</v>
      </c>
      <c r="AU196" s="55" t="n">
        <f aca="false">MIN($F$13,AS196+AT196)</f>
        <v>0</v>
      </c>
      <c r="AV196" s="55" t="n">
        <f aca="false">MAX(0,MIN(AS196+AT196-AU196,$D196-(H196+M196+R196+W196+AB196+AG196+AL196+AQ196)))</f>
        <v>0</v>
      </c>
      <c r="AW196" s="55" t="n">
        <f aca="false">AU196+AV196</f>
        <v>0</v>
      </c>
      <c r="AX196" s="55" t="n">
        <f aca="false">ROUND(MAX(0,AX195+AY195-BB195),2)</f>
        <v>0</v>
      </c>
      <c r="AY196" s="55" t="n">
        <f aca="false">ROUND(AX196*$E$14/12,2)</f>
        <v>0</v>
      </c>
      <c r="AZ196" s="55" t="n">
        <f aca="false">MIN($F$14,AX196+AY196)</f>
        <v>0</v>
      </c>
      <c r="BA196" s="55" t="n">
        <f aca="false">MAX(0,MIN(AX196+AY196-AZ196,$D196-(H196+M196+R196+W196+AB196+AG196+AL196+AQ196+AV196)))</f>
        <v>0</v>
      </c>
      <c r="BB196" s="55" t="n">
        <f aca="false">AZ196+BA196</f>
        <v>0</v>
      </c>
      <c r="BC196" s="55" t="n">
        <f aca="false">I196+N196+S196+X196+AC196+AH196+AM196+AR196+AW196+BB196</f>
        <v>0</v>
      </c>
      <c r="BD196" s="55" t="n">
        <f aca="false">ROUND((E196+F196-I196)+(J196+K196-N196)+(O196+P196-S196)+(T196+U196-X196)+(Y196+Z196-AC196)+(AD196+AE196-AH196)+(AI196+AJ196-AM196)+(AN196+AO196-AR196)+(AS196+AT196-AW196)+(AX196+AY196-BB196),2)</f>
        <v>0</v>
      </c>
      <c r="BE196" s="25" t="str">
        <f aca="false">IF(H196&gt;0.005,$C$5,IF(M196&gt;0.005,$C$6,IF(R196&gt;0.005,$C$7,IF(W196&gt;0.005,$C$8,IF(AB196&gt;0.005,$C$9,IF(AG196&gt;0.005,$C$10,IF(AL196&gt;0.005,$C$11,IF(AQ196&gt;0.005,$C$12,IF(AV196&gt;0.005,$C$13,IF(BA196&gt;0.005,$C$14,""))))))))))</f>
        <v/>
      </c>
    </row>
    <row r="197" customFormat="false" ht="15" hidden="false" customHeight="false" outlineLevel="0" collapsed="false">
      <c r="A197" s="24" t="n">
        <v>174</v>
      </c>
      <c r="B197" s="54" t="n">
        <f aca="false">EDATE($C$17,A197-1)</f>
        <v>51592</v>
      </c>
      <c r="C197" s="55" t="n">
        <f aca="false">G197+L197+Q197+V197+AA197+AF197+AK197+AP197+AU197+AZ197</f>
        <v>0</v>
      </c>
      <c r="D197" s="55" t="n">
        <f aca="false">MAX(0,$C$16-C197)</f>
        <v>5822</v>
      </c>
      <c r="E197" s="55" t="n">
        <f aca="false">ROUND(MAX(0,E196+F196-I196),2)</f>
        <v>0</v>
      </c>
      <c r="F197" s="55" t="n">
        <f aca="false">ROUND(E197*$E$5/12,2)</f>
        <v>0</v>
      </c>
      <c r="G197" s="55" t="n">
        <f aca="false">MIN($F$5,E197+F197)</f>
        <v>0</v>
      </c>
      <c r="H197" s="55" t="n">
        <f aca="false">MAX(0,MIN(E197+F197-G197,$D197))</f>
        <v>0</v>
      </c>
      <c r="I197" s="55" t="n">
        <f aca="false">G197+H197</f>
        <v>0</v>
      </c>
      <c r="J197" s="55" t="n">
        <f aca="false">ROUND(MAX(0,J196+K196-N196),2)</f>
        <v>0</v>
      </c>
      <c r="K197" s="55" t="n">
        <f aca="false">ROUND(J197*$E$6/12,2)</f>
        <v>0</v>
      </c>
      <c r="L197" s="55" t="n">
        <f aca="false">MIN($F$6,J197+K197)</f>
        <v>0</v>
      </c>
      <c r="M197" s="55" t="n">
        <f aca="false">MAX(0,MIN(J197+K197-L197,$D197-(H197)))</f>
        <v>0</v>
      </c>
      <c r="N197" s="55" t="n">
        <f aca="false">L197+M197</f>
        <v>0</v>
      </c>
      <c r="O197" s="55" t="n">
        <f aca="false">ROUND(MAX(0,O196+P196-S196),2)</f>
        <v>0</v>
      </c>
      <c r="P197" s="55" t="n">
        <f aca="false">ROUND(O197*$E$7/12,2)</f>
        <v>0</v>
      </c>
      <c r="Q197" s="55" t="n">
        <f aca="false">MIN($F$7,O197+P197)</f>
        <v>0</v>
      </c>
      <c r="R197" s="55" t="n">
        <f aca="false">MAX(0,MIN(O197+P197-Q197,$D197-(H197+M197)))</f>
        <v>0</v>
      </c>
      <c r="S197" s="55" t="n">
        <f aca="false">Q197+R197</f>
        <v>0</v>
      </c>
      <c r="T197" s="55" t="n">
        <f aca="false">ROUND(MAX(0,T196+U196-X196),2)</f>
        <v>0</v>
      </c>
      <c r="U197" s="55" t="n">
        <f aca="false">ROUND(T197*$E$8/12,2)</f>
        <v>0</v>
      </c>
      <c r="V197" s="55" t="n">
        <f aca="false">MIN($F$8,T197+U197)</f>
        <v>0</v>
      </c>
      <c r="W197" s="55" t="n">
        <f aca="false">MAX(0,MIN(T197+U197-V197,$D197-(H197+M197+R197)))</f>
        <v>0</v>
      </c>
      <c r="X197" s="55" t="n">
        <f aca="false">V197+W197</f>
        <v>0</v>
      </c>
      <c r="Y197" s="55" t="n">
        <f aca="false">ROUND(MAX(0,Y196+Z196-AC196),2)</f>
        <v>0</v>
      </c>
      <c r="Z197" s="55" t="n">
        <f aca="false">ROUND(Y197*$E$9/12,2)</f>
        <v>0</v>
      </c>
      <c r="AA197" s="55" t="n">
        <f aca="false">MIN($F$9,Y197+Z197)</f>
        <v>0</v>
      </c>
      <c r="AB197" s="55" t="n">
        <f aca="false">MAX(0,MIN(Y197+Z197-AA197,$D197-(H197+M197+R197+W197)))</f>
        <v>0</v>
      </c>
      <c r="AC197" s="55" t="n">
        <f aca="false">AA197+AB197</f>
        <v>0</v>
      </c>
      <c r="AD197" s="55" t="n">
        <f aca="false">ROUND(MAX(0,AD196+AE196-AH196),2)</f>
        <v>0</v>
      </c>
      <c r="AE197" s="55" t="n">
        <f aca="false">ROUND(AD197*$E$10/12,2)</f>
        <v>0</v>
      </c>
      <c r="AF197" s="55" t="n">
        <f aca="false">MIN($F$10,AD197+AE197)</f>
        <v>0</v>
      </c>
      <c r="AG197" s="55" t="n">
        <f aca="false">MAX(0,MIN(AD197+AE197-AF197,$D197-(H197+M197+R197+W197+AB197)))</f>
        <v>0</v>
      </c>
      <c r="AH197" s="55" t="n">
        <f aca="false">AF197+AG197</f>
        <v>0</v>
      </c>
      <c r="AI197" s="55" t="n">
        <f aca="false">ROUND(MAX(0,AI196+AJ196-AM196),2)</f>
        <v>0</v>
      </c>
      <c r="AJ197" s="55" t="n">
        <f aca="false">ROUND(AI197*$E$11/12,2)</f>
        <v>0</v>
      </c>
      <c r="AK197" s="55" t="n">
        <f aca="false">MIN($F$11,AI197+AJ197)</f>
        <v>0</v>
      </c>
      <c r="AL197" s="55" t="n">
        <f aca="false">MAX(0,MIN(AI197+AJ197-AK197,$D197-(H197+M197+R197+W197+AB197+AG197)))</f>
        <v>0</v>
      </c>
      <c r="AM197" s="55" t="n">
        <f aca="false">AK197+AL197</f>
        <v>0</v>
      </c>
      <c r="AN197" s="55" t="n">
        <f aca="false">ROUND(MAX(0,AN196+AO196-AR196),2)</f>
        <v>0</v>
      </c>
      <c r="AO197" s="55" t="n">
        <f aca="false">ROUND(AN197*$E$12/12,2)</f>
        <v>0</v>
      </c>
      <c r="AP197" s="55" t="n">
        <f aca="false">MIN($F$12,AN197+AO197)</f>
        <v>0</v>
      </c>
      <c r="AQ197" s="55" t="n">
        <f aca="false">MAX(0,MIN(AN197+AO197-AP197,$D197-(H197+M197+R197+W197+AB197+AG197+AL197)))</f>
        <v>0</v>
      </c>
      <c r="AR197" s="55" t="n">
        <f aca="false">AP197+AQ197</f>
        <v>0</v>
      </c>
      <c r="AS197" s="55" t="n">
        <f aca="false">ROUND(MAX(0,AS196+AT196-AW196),2)</f>
        <v>0</v>
      </c>
      <c r="AT197" s="55" t="n">
        <f aca="false">ROUND(AS197*$E$13/12,2)</f>
        <v>0</v>
      </c>
      <c r="AU197" s="55" t="n">
        <f aca="false">MIN($F$13,AS197+AT197)</f>
        <v>0</v>
      </c>
      <c r="AV197" s="55" t="n">
        <f aca="false">MAX(0,MIN(AS197+AT197-AU197,$D197-(H197+M197+R197+W197+AB197+AG197+AL197+AQ197)))</f>
        <v>0</v>
      </c>
      <c r="AW197" s="55" t="n">
        <f aca="false">AU197+AV197</f>
        <v>0</v>
      </c>
      <c r="AX197" s="55" t="n">
        <f aca="false">ROUND(MAX(0,AX196+AY196-BB196),2)</f>
        <v>0</v>
      </c>
      <c r="AY197" s="55" t="n">
        <f aca="false">ROUND(AX197*$E$14/12,2)</f>
        <v>0</v>
      </c>
      <c r="AZ197" s="55" t="n">
        <f aca="false">MIN($F$14,AX197+AY197)</f>
        <v>0</v>
      </c>
      <c r="BA197" s="55" t="n">
        <f aca="false">MAX(0,MIN(AX197+AY197-AZ197,$D197-(H197+M197+R197+W197+AB197+AG197+AL197+AQ197+AV197)))</f>
        <v>0</v>
      </c>
      <c r="BB197" s="55" t="n">
        <f aca="false">AZ197+BA197</f>
        <v>0</v>
      </c>
      <c r="BC197" s="55" t="n">
        <f aca="false">I197+N197+S197+X197+AC197+AH197+AM197+AR197+AW197+BB197</f>
        <v>0</v>
      </c>
      <c r="BD197" s="55" t="n">
        <f aca="false">ROUND((E197+F197-I197)+(J197+K197-N197)+(O197+P197-S197)+(T197+U197-X197)+(Y197+Z197-AC197)+(AD197+AE197-AH197)+(AI197+AJ197-AM197)+(AN197+AO197-AR197)+(AS197+AT197-AW197)+(AX197+AY197-BB197),2)</f>
        <v>0</v>
      </c>
      <c r="BE197" s="25" t="str">
        <f aca="false">IF(H197&gt;0.005,$C$5,IF(M197&gt;0.005,$C$6,IF(R197&gt;0.005,$C$7,IF(W197&gt;0.005,$C$8,IF(AB197&gt;0.005,$C$9,IF(AG197&gt;0.005,$C$10,IF(AL197&gt;0.005,$C$11,IF(AQ197&gt;0.005,$C$12,IF(AV197&gt;0.005,$C$13,IF(BA197&gt;0.005,$C$14,""))))))))))</f>
        <v/>
      </c>
    </row>
    <row r="198" customFormat="false" ht="15" hidden="false" customHeight="false" outlineLevel="0" collapsed="false">
      <c r="A198" s="24" t="n">
        <v>175</v>
      </c>
      <c r="B198" s="54" t="n">
        <f aca="false">EDATE($C$17,A198-1)</f>
        <v>51622</v>
      </c>
      <c r="C198" s="55" t="n">
        <f aca="false">G198+L198+Q198+V198+AA198+AF198+AK198+AP198+AU198+AZ198</f>
        <v>0</v>
      </c>
      <c r="D198" s="55" t="n">
        <f aca="false">MAX(0,$C$16-C198)</f>
        <v>5822</v>
      </c>
      <c r="E198" s="55" t="n">
        <f aca="false">ROUND(MAX(0,E197+F197-I197),2)</f>
        <v>0</v>
      </c>
      <c r="F198" s="55" t="n">
        <f aca="false">ROUND(E198*$E$5/12,2)</f>
        <v>0</v>
      </c>
      <c r="G198" s="55" t="n">
        <f aca="false">MIN($F$5,E198+F198)</f>
        <v>0</v>
      </c>
      <c r="H198" s="55" t="n">
        <f aca="false">MAX(0,MIN(E198+F198-G198,$D198))</f>
        <v>0</v>
      </c>
      <c r="I198" s="55" t="n">
        <f aca="false">G198+H198</f>
        <v>0</v>
      </c>
      <c r="J198" s="55" t="n">
        <f aca="false">ROUND(MAX(0,J197+K197-N197),2)</f>
        <v>0</v>
      </c>
      <c r="K198" s="55" t="n">
        <f aca="false">ROUND(J198*$E$6/12,2)</f>
        <v>0</v>
      </c>
      <c r="L198" s="55" t="n">
        <f aca="false">MIN($F$6,J198+K198)</f>
        <v>0</v>
      </c>
      <c r="M198" s="55" t="n">
        <f aca="false">MAX(0,MIN(J198+K198-L198,$D198-(H198)))</f>
        <v>0</v>
      </c>
      <c r="N198" s="55" t="n">
        <f aca="false">L198+M198</f>
        <v>0</v>
      </c>
      <c r="O198" s="55" t="n">
        <f aca="false">ROUND(MAX(0,O197+P197-S197),2)</f>
        <v>0</v>
      </c>
      <c r="P198" s="55" t="n">
        <f aca="false">ROUND(O198*$E$7/12,2)</f>
        <v>0</v>
      </c>
      <c r="Q198" s="55" t="n">
        <f aca="false">MIN($F$7,O198+P198)</f>
        <v>0</v>
      </c>
      <c r="R198" s="55" t="n">
        <f aca="false">MAX(0,MIN(O198+P198-Q198,$D198-(H198+M198)))</f>
        <v>0</v>
      </c>
      <c r="S198" s="55" t="n">
        <f aca="false">Q198+R198</f>
        <v>0</v>
      </c>
      <c r="T198" s="55" t="n">
        <f aca="false">ROUND(MAX(0,T197+U197-X197),2)</f>
        <v>0</v>
      </c>
      <c r="U198" s="55" t="n">
        <f aca="false">ROUND(T198*$E$8/12,2)</f>
        <v>0</v>
      </c>
      <c r="V198" s="55" t="n">
        <f aca="false">MIN($F$8,T198+U198)</f>
        <v>0</v>
      </c>
      <c r="W198" s="55" t="n">
        <f aca="false">MAX(0,MIN(T198+U198-V198,$D198-(H198+M198+R198)))</f>
        <v>0</v>
      </c>
      <c r="X198" s="55" t="n">
        <f aca="false">V198+W198</f>
        <v>0</v>
      </c>
      <c r="Y198" s="55" t="n">
        <f aca="false">ROUND(MAX(0,Y197+Z197-AC197),2)</f>
        <v>0</v>
      </c>
      <c r="Z198" s="55" t="n">
        <f aca="false">ROUND(Y198*$E$9/12,2)</f>
        <v>0</v>
      </c>
      <c r="AA198" s="55" t="n">
        <f aca="false">MIN($F$9,Y198+Z198)</f>
        <v>0</v>
      </c>
      <c r="AB198" s="55" t="n">
        <f aca="false">MAX(0,MIN(Y198+Z198-AA198,$D198-(H198+M198+R198+W198)))</f>
        <v>0</v>
      </c>
      <c r="AC198" s="55" t="n">
        <f aca="false">AA198+AB198</f>
        <v>0</v>
      </c>
      <c r="AD198" s="55" t="n">
        <f aca="false">ROUND(MAX(0,AD197+AE197-AH197),2)</f>
        <v>0</v>
      </c>
      <c r="AE198" s="55" t="n">
        <f aca="false">ROUND(AD198*$E$10/12,2)</f>
        <v>0</v>
      </c>
      <c r="AF198" s="55" t="n">
        <f aca="false">MIN($F$10,AD198+AE198)</f>
        <v>0</v>
      </c>
      <c r="AG198" s="55" t="n">
        <f aca="false">MAX(0,MIN(AD198+AE198-AF198,$D198-(H198+M198+R198+W198+AB198)))</f>
        <v>0</v>
      </c>
      <c r="AH198" s="55" t="n">
        <f aca="false">AF198+AG198</f>
        <v>0</v>
      </c>
      <c r="AI198" s="55" t="n">
        <f aca="false">ROUND(MAX(0,AI197+AJ197-AM197),2)</f>
        <v>0</v>
      </c>
      <c r="AJ198" s="55" t="n">
        <f aca="false">ROUND(AI198*$E$11/12,2)</f>
        <v>0</v>
      </c>
      <c r="AK198" s="55" t="n">
        <f aca="false">MIN($F$11,AI198+AJ198)</f>
        <v>0</v>
      </c>
      <c r="AL198" s="55" t="n">
        <f aca="false">MAX(0,MIN(AI198+AJ198-AK198,$D198-(H198+M198+R198+W198+AB198+AG198)))</f>
        <v>0</v>
      </c>
      <c r="AM198" s="55" t="n">
        <f aca="false">AK198+AL198</f>
        <v>0</v>
      </c>
      <c r="AN198" s="55" t="n">
        <f aca="false">ROUND(MAX(0,AN197+AO197-AR197),2)</f>
        <v>0</v>
      </c>
      <c r="AO198" s="55" t="n">
        <f aca="false">ROUND(AN198*$E$12/12,2)</f>
        <v>0</v>
      </c>
      <c r="AP198" s="55" t="n">
        <f aca="false">MIN($F$12,AN198+AO198)</f>
        <v>0</v>
      </c>
      <c r="AQ198" s="55" t="n">
        <f aca="false">MAX(0,MIN(AN198+AO198-AP198,$D198-(H198+M198+R198+W198+AB198+AG198+AL198)))</f>
        <v>0</v>
      </c>
      <c r="AR198" s="55" t="n">
        <f aca="false">AP198+AQ198</f>
        <v>0</v>
      </c>
      <c r="AS198" s="55" t="n">
        <f aca="false">ROUND(MAX(0,AS197+AT197-AW197),2)</f>
        <v>0</v>
      </c>
      <c r="AT198" s="55" t="n">
        <f aca="false">ROUND(AS198*$E$13/12,2)</f>
        <v>0</v>
      </c>
      <c r="AU198" s="55" t="n">
        <f aca="false">MIN($F$13,AS198+AT198)</f>
        <v>0</v>
      </c>
      <c r="AV198" s="55" t="n">
        <f aca="false">MAX(0,MIN(AS198+AT198-AU198,$D198-(H198+M198+R198+W198+AB198+AG198+AL198+AQ198)))</f>
        <v>0</v>
      </c>
      <c r="AW198" s="55" t="n">
        <f aca="false">AU198+AV198</f>
        <v>0</v>
      </c>
      <c r="AX198" s="55" t="n">
        <f aca="false">ROUND(MAX(0,AX197+AY197-BB197),2)</f>
        <v>0</v>
      </c>
      <c r="AY198" s="55" t="n">
        <f aca="false">ROUND(AX198*$E$14/12,2)</f>
        <v>0</v>
      </c>
      <c r="AZ198" s="55" t="n">
        <f aca="false">MIN($F$14,AX198+AY198)</f>
        <v>0</v>
      </c>
      <c r="BA198" s="55" t="n">
        <f aca="false">MAX(0,MIN(AX198+AY198-AZ198,$D198-(H198+M198+R198+W198+AB198+AG198+AL198+AQ198+AV198)))</f>
        <v>0</v>
      </c>
      <c r="BB198" s="55" t="n">
        <f aca="false">AZ198+BA198</f>
        <v>0</v>
      </c>
      <c r="BC198" s="55" t="n">
        <f aca="false">I198+N198+S198+X198+AC198+AH198+AM198+AR198+AW198+BB198</f>
        <v>0</v>
      </c>
      <c r="BD198" s="55" t="n">
        <f aca="false">ROUND((E198+F198-I198)+(J198+K198-N198)+(O198+P198-S198)+(T198+U198-X198)+(Y198+Z198-AC198)+(AD198+AE198-AH198)+(AI198+AJ198-AM198)+(AN198+AO198-AR198)+(AS198+AT198-AW198)+(AX198+AY198-BB198),2)</f>
        <v>0</v>
      </c>
      <c r="BE198" s="25" t="str">
        <f aca="false">IF(H198&gt;0.005,$C$5,IF(M198&gt;0.005,$C$6,IF(R198&gt;0.005,$C$7,IF(W198&gt;0.005,$C$8,IF(AB198&gt;0.005,$C$9,IF(AG198&gt;0.005,$C$10,IF(AL198&gt;0.005,$C$11,IF(AQ198&gt;0.005,$C$12,IF(AV198&gt;0.005,$C$13,IF(BA198&gt;0.005,$C$14,""))))))))))</f>
        <v/>
      </c>
    </row>
    <row r="199" customFormat="false" ht="15" hidden="false" customHeight="false" outlineLevel="0" collapsed="false">
      <c r="A199" s="24" t="n">
        <v>176</v>
      </c>
      <c r="B199" s="54" t="n">
        <f aca="false">EDATE($C$17,A199-1)</f>
        <v>51653</v>
      </c>
      <c r="C199" s="55" t="n">
        <f aca="false">G199+L199+Q199+V199+AA199+AF199+AK199+AP199+AU199+AZ199</f>
        <v>0</v>
      </c>
      <c r="D199" s="55" t="n">
        <f aca="false">MAX(0,$C$16-C199)</f>
        <v>5822</v>
      </c>
      <c r="E199" s="55" t="n">
        <f aca="false">ROUND(MAX(0,E198+F198-I198),2)</f>
        <v>0</v>
      </c>
      <c r="F199" s="55" t="n">
        <f aca="false">ROUND(E199*$E$5/12,2)</f>
        <v>0</v>
      </c>
      <c r="G199" s="55" t="n">
        <f aca="false">MIN($F$5,E199+F199)</f>
        <v>0</v>
      </c>
      <c r="H199" s="55" t="n">
        <f aca="false">MAX(0,MIN(E199+F199-G199,$D199))</f>
        <v>0</v>
      </c>
      <c r="I199" s="55" t="n">
        <f aca="false">G199+H199</f>
        <v>0</v>
      </c>
      <c r="J199" s="55" t="n">
        <f aca="false">ROUND(MAX(0,J198+K198-N198),2)</f>
        <v>0</v>
      </c>
      <c r="K199" s="55" t="n">
        <f aca="false">ROUND(J199*$E$6/12,2)</f>
        <v>0</v>
      </c>
      <c r="L199" s="55" t="n">
        <f aca="false">MIN($F$6,J199+K199)</f>
        <v>0</v>
      </c>
      <c r="M199" s="55" t="n">
        <f aca="false">MAX(0,MIN(J199+K199-L199,$D199-(H199)))</f>
        <v>0</v>
      </c>
      <c r="N199" s="55" t="n">
        <f aca="false">L199+M199</f>
        <v>0</v>
      </c>
      <c r="O199" s="55" t="n">
        <f aca="false">ROUND(MAX(0,O198+P198-S198),2)</f>
        <v>0</v>
      </c>
      <c r="P199" s="55" t="n">
        <f aca="false">ROUND(O199*$E$7/12,2)</f>
        <v>0</v>
      </c>
      <c r="Q199" s="55" t="n">
        <f aca="false">MIN($F$7,O199+P199)</f>
        <v>0</v>
      </c>
      <c r="R199" s="55" t="n">
        <f aca="false">MAX(0,MIN(O199+P199-Q199,$D199-(H199+M199)))</f>
        <v>0</v>
      </c>
      <c r="S199" s="55" t="n">
        <f aca="false">Q199+R199</f>
        <v>0</v>
      </c>
      <c r="T199" s="55" t="n">
        <f aca="false">ROUND(MAX(0,T198+U198-X198),2)</f>
        <v>0</v>
      </c>
      <c r="U199" s="55" t="n">
        <f aca="false">ROUND(T199*$E$8/12,2)</f>
        <v>0</v>
      </c>
      <c r="V199" s="55" t="n">
        <f aca="false">MIN($F$8,T199+U199)</f>
        <v>0</v>
      </c>
      <c r="W199" s="55" t="n">
        <f aca="false">MAX(0,MIN(T199+U199-V199,$D199-(H199+M199+R199)))</f>
        <v>0</v>
      </c>
      <c r="X199" s="55" t="n">
        <f aca="false">V199+W199</f>
        <v>0</v>
      </c>
      <c r="Y199" s="55" t="n">
        <f aca="false">ROUND(MAX(0,Y198+Z198-AC198),2)</f>
        <v>0</v>
      </c>
      <c r="Z199" s="55" t="n">
        <f aca="false">ROUND(Y199*$E$9/12,2)</f>
        <v>0</v>
      </c>
      <c r="AA199" s="55" t="n">
        <f aca="false">MIN($F$9,Y199+Z199)</f>
        <v>0</v>
      </c>
      <c r="AB199" s="55" t="n">
        <f aca="false">MAX(0,MIN(Y199+Z199-AA199,$D199-(H199+M199+R199+W199)))</f>
        <v>0</v>
      </c>
      <c r="AC199" s="55" t="n">
        <f aca="false">AA199+AB199</f>
        <v>0</v>
      </c>
      <c r="AD199" s="55" t="n">
        <f aca="false">ROUND(MAX(0,AD198+AE198-AH198),2)</f>
        <v>0</v>
      </c>
      <c r="AE199" s="55" t="n">
        <f aca="false">ROUND(AD199*$E$10/12,2)</f>
        <v>0</v>
      </c>
      <c r="AF199" s="55" t="n">
        <f aca="false">MIN($F$10,AD199+AE199)</f>
        <v>0</v>
      </c>
      <c r="AG199" s="55" t="n">
        <f aca="false">MAX(0,MIN(AD199+AE199-AF199,$D199-(H199+M199+R199+W199+AB199)))</f>
        <v>0</v>
      </c>
      <c r="AH199" s="55" t="n">
        <f aca="false">AF199+AG199</f>
        <v>0</v>
      </c>
      <c r="AI199" s="55" t="n">
        <f aca="false">ROUND(MAX(0,AI198+AJ198-AM198),2)</f>
        <v>0</v>
      </c>
      <c r="AJ199" s="55" t="n">
        <f aca="false">ROUND(AI199*$E$11/12,2)</f>
        <v>0</v>
      </c>
      <c r="AK199" s="55" t="n">
        <f aca="false">MIN($F$11,AI199+AJ199)</f>
        <v>0</v>
      </c>
      <c r="AL199" s="55" t="n">
        <f aca="false">MAX(0,MIN(AI199+AJ199-AK199,$D199-(H199+M199+R199+W199+AB199+AG199)))</f>
        <v>0</v>
      </c>
      <c r="AM199" s="55" t="n">
        <f aca="false">AK199+AL199</f>
        <v>0</v>
      </c>
      <c r="AN199" s="55" t="n">
        <f aca="false">ROUND(MAX(0,AN198+AO198-AR198),2)</f>
        <v>0</v>
      </c>
      <c r="AO199" s="55" t="n">
        <f aca="false">ROUND(AN199*$E$12/12,2)</f>
        <v>0</v>
      </c>
      <c r="AP199" s="55" t="n">
        <f aca="false">MIN($F$12,AN199+AO199)</f>
        <v>0</v>
      </c>
      <c r="AQ199" s="55" t="n">
        <f aca="false">MAX(0,MIN(AN199+AO199-AP199,$D199-(H199+M199+R199+W199+AB199+AG199+AL199)))</f>
        <v>0</v>
      </c>
      <c r="AR199" s="55" t="n">
        <f aca="false">AP199+AQ199</f>
        <v>0</v>
      </c>
      <c r="AS199" s="55" t="n">
        <f aca="false">ROUND(MAX(0,AS198+AT198-AW198),2)</f>
        <v>0</v>
      </c>
      <c r="AT199" s="55" t="n">
        <f aca="false">ROUND(AS199*$E$13/12,2)</f>
        <v>0</v>
      </c>
      <c r="AU199" s="55" t="n">
        <f aca="false">MIN($F$13,AS199+AT199)</f>
        <v>0</v>
      </c>
      <c r="AV199" s="55" t="n">
        <f aca="false">MAX(0,MIN(AS199+AT199-AU199,$D199-(H199+M199+R199+W199+AB199+AG199+AL199+AQ199)))</f>
        <v>0</v>
      </c>
      <c r="AW199" s="55" t="n">
        <f aca="false">AU199+AV199</f>
        <v>0</v>
      </c>
      <c r="AX199" s="55" t="n">
        <f aca="false">ROUND(MAX(0,AX198+AY198-BB198),2)</f>
        <v>0</v>
      </c>
      <c r="AY199" s="55" t="n">
        <f aca="false">ROUND(AX199*$E$14/12,2)</f>
        <v>0</v>
      </c>
      <c r="AZ199" s="55" t="n">
        <f aca="false">MIN($F$14,AX199+AY199)</f>
        <v>0</v>
      </c>
      <c r="BA199" s="55" t="n">
        <f aca="false">MAX(0,MIN(AX199+AY199-AZ199,$D199-(H199+M199+R199+W199+AB199+AG199+AL199+AQ199+AV199)))</f>
        <v>0</v>
      </c>
      <c r="BB199" s="55" t="n">
        <f aca="false">AZ199+BA199</f>
        <v>0</v>
      </c>
      <c r="BC199" s="55" t="n">
        <f aca="false">I199+N199+S199+X199+AC199+AH199+AM199+AR199+AW199+BB199</f>
        <v>0</v>
      </c>
      <c r="BD199" s="55" t="n">
        <f aca="false">ROUND((E199+F199-I199)+(J199+K199-N199)+(O199+P199-S199)+(T199+U199-X199)+(Y199+Z199-AC199)+(AD199+AE199-AH199)+(AI199+AJ199-AM199)+(AN199+AO199-AR199)+(AS199+AT199-AW199)+(AX199+AY199-BB199),2)</f>
        <v>0</v>
      </c>
      <c r="BE199" s="25" t="str">
        <f aca="false">IF(H199&gt;0.005,$C$5,IF(M199&gt;0.005,$C$6,IF(R199&gt;0.005,$C$7,IF(W199&gt;0.005,$C$8,IF(AB199&gt;0.005,$C$9,IF(AG199&gt;0.005,$C$10,IF(AL199&gt;0.005,$C$11,IF(AQ199&gt;0.005,$C$12,IF(AV199&gt;0.005,$C$13,IF(BA199&gt;0.005,$C$14,""))))))))))</f>
        <v/>
      </c>
    </row>
    <row r="200" customFormat="false" ht="15" hidden="false" customHeight="false" outlineLevel="0" collapsed="false">
      <c r="A200" s="24" t="n">
        <v>177</v>
      </c>
      <c r="B200" s="54" t="n">
        <f aca="false">EDATE($C$17,A200-1)</f>
        <v>51683</v>
      </c>
      <c r="C200" s="55" t="n">
        <f aca="false">G200+L200+Q200+V200+AA200+AF200+AK200+AP200+AU200+AZ200</f>
        <v>0</v>
      </c>
      <c r="D200" s="55" t="n">
        <f aca="false">MAX(0,$C$16-C200)</f>
        <v>5822</v>
      </c>
      <c r="E200" s="55" t="n">
        <f aca="false">ROUND(MAX(0,E199+F199-I199),2)</f>
        <v>0</v>
      </c>
      <c r="F200" s="55" t="n">
        <f aca="false">ROUND(E200*$E$5/12,2)</f>
        <v>0</v>
      </c>
      <c r="G200" s="55" t="n">
        <f aca="false">MIN($F$5,E200+F200)</f>
        <v>0</v>
      </c>
      <c r="H200" s="55" t="n">
        <f aca="false">MAX(0,MIN(E200+F200-G200,$D200))</f>
        <v>0</v>
      </c>
      <c r="I200" s="55" t="n">
        <f aca="false">G200+H200</f>
        <v>0</v>
      </c>
      <c r="J200" s="55" t="n">
        <f aca="false">ROUND(MAX(0,J199+K199-N199),2)</f>
        <v>0</v>
      </c>
      <c r="K200" s="55" t="n">
        <f aca="false">ROUND(J200*$E$6/12,2)</f>
        <v>0</v>
      </c>
      <c r="L200" s="55" t="n">
        <f aca="false">MIN($F$6,J200+K200)</f>
        <v>0</v>
      </c>
      <c r="M200" s="55" t="n">
        <f aca="false">MAX(0,MIN(J200+K200-L200,$D200-(H200)))</f>
        <v>0</v>
      </c>
      <c r="N200" s="55" t="n">
        <f aca="false">L200+M200</f>
        <v>0</v>
      </c>
      <c r="O200" s="55" t="n">
        <f aca="false">ROUND(MAX(0,O199+P199-S199),2)</f>
        <v>0</v>
      </c>
      <c r="P200" s="55" t="n">
        <f aca="false">ROUND(O200*$E$7/12,2)</f>
        <v>0</v>
      </c>
      <c r="Q200" s="55" t="n">
        <f aca="false">MIN($F$7,O200+P200)</f>
        <v>0</v>
      </c>
      <c r="R200" s="55" t="n">
        <f aca="false">MAX(0,MIN(O200+P200-Q200,$D200-(H200+M200)))</f>
        <v>0</v>
      </c>
      <c r="S200" s="55" t="n">
        <f aca="false">Q200+R200</f>
        <v>0</v>
      </c>
      <c r="T200" s="55" t="n">
        <f aca="false">ROUND(MAX(0,T199+U199-X199),2)</f>
        <v>0</v>
      </c>
      <c r="U200" s="55" t="n">
        <f aca="false">ROUND(T200*$E$8/12,2)</f>
        <v>0</v>
      </c>
      <c r="V200" s="55" t="n">
        <f aca="false">MIN($F$8,T200+U200)</f>
        <v>0</v>
      </c>
      <c r="W200" s="55" t="n">
        <f aca="false">MAX(0,MIN(T200+U200-V200,$D200-(H200+M200+R200)))</f>
        <v>0</v>
      </c>
      <c r="X200" s="55" t="n">
        <f aca="false">V200+W200</f>
        <v>0</v>
      </c>
      <c r="Y200" s="55" t="n">
        <f aca="false">ROUND(MAX(0,Y199+Z199-AC199),2)</f>
        <v>0</v>
      </c>
      <c r="Z200" s="55" t="n">
        <f aca="false">ROUND(Y200*$E$9/12,2)</f>
        <v>0</v>
      </c>
      <c r="AA200" s="55" t="n">
        <f aca="false">MIN($F$9,Y200+Z200)</f>
        <v>0</v>
      </c>
      <c r="AB200" s="55" t="n">
        <f aca="false">MAX(0,MIN(Y200+Z200-AA200,$D200-(H200+M200+R200+W200)))</f>
        <v>0</v>
      </c>
      <c r="AC200" s="55" t="n">
        <f aca="false">AA200+AB200</f>
        <v>0</v>
      </c>
      <c r="AD200" s="55" t="n">
        <f aca="false">ROUND(MAX(0,AD199+AE199-AH199),2)</f>
        <v>0</v>
      </c>
      <c r="AE200" s="55" t="n">
        <f aca="false">ROUND(AD200*$E$10/12,2)</f>
        <v>0</v>
      </c>
      <c r="AF200" s="55" t="n">
        <f aca="false">MIN($F$10,AD200+AE200)</f>
        <v>0</v>
      </c>
      <c r="AG200" s="55" t="n">
        <f aca="false">MAX(0,MIN(AD200+AE200-AF200,$D200-(H200+M200+R200+W200+AB200)))</f>
        <v>0</v>
      </c>
      <c r="AH200" s="55" t="n">
        <f aca="false">AF200+AG200</f>
        <v>0</v>
      </c>
      <c r="AI200" s="55" t="n">
        <f aca="false">ROUND(MAX(0,AI199+AJ199-AM199),2)</f>
        <v>0</v>
      </c>
      <c r="AJ200" s="55" t="n">
        <f aca="false">ROUND(AI200*$E$11/12,2)</f>
        <v>0</v>
      </c>
      <c r="AK200" s="55" t="n">
        <f aca="false">MIN($F$11,AI200+AJ200)</f>
        <v>0</v>
      </c>
      <c r="AL200" s="55" t="n">
        <f aca="false">MAX(0,MIN(AI200+AJ200-AK200,$D200-(H200+M200+R200+W200+AB200+AG200)))</f>
        <v>0</v>
      </c>
      <c r="AM200" s="55" t="n">
        <f aca="false">AK200+AL200</f>
        <v>0</v>
      </c>
      <c r="AN200" s="55" t="n">
        <f aca="false">ROUND(MAX(0,AN199+AO199-AR199),2)</f>
        <v>0</v>
      </c>
      <c r="AO200" s="55" t="n">
        <f aca="false">ROUND(AN200*$E$12/12,2)</f>
        <v>0</v>
      </c>
      <c r="AP200" s="55" t="n">
        <f aca="false">MIN($F$12,AN200+AO200)</f>
        <v>0</v>
      </c>
      <c r="AQ200" s="55" t="n">
        <f aca="false">MAX(0,MIN(AN200+AO200-AP200,$D200-(H200+M200+R200+W200+AB200+AG200+AL200)))</f>
        <v>0</v>
      </c>
      <c r="AR200" s="55" t="n">
        <f aca="false">AP200+AQ200</f>
        <v>0</v>
      </c>
      <c r="AS200" s="55" t="n">
        <f aca="false">ROUND(MAX(0,AS199+AT199-AW199),2)</f>
        <v>0</v>
      </c>
      <c r="AT200" s="55" t="n">
        <f aca="false">ROUND(AS200*$E$13/12,2)</f>
        <v>0</v>
      </c>
      <c r="AU200" s="55" t="n">
        <f aca="false">MIN($F$13,AS200+AT200)</f>
        <v>0</v>
      </c>
      <c r="AV200" s="55" t="n">
        <f aca="false">MAX(0,MIN(AS200+AT200-AU200,$D200-(H200+M200+R200+W200+AB200+AG200+AL200+AQ200)))</f>
        <v>0</v>
      </c>
      <c r="AW200" s="55" t="n">
        <f aca="false">AU200+AV200</f>
        <v>0</v>
      </c>
      <c r="AX200" s="55" t="n">
        <f aca="false">ROUND(MAX(0,AX199+AY199-BB199),2)</f>
        <v>0</v>
      </c>
      <c r="AY200" s="55" t="n">
        <f aca="false">ROUND(AX200*$E$14/12,2)</f>
        <v>0</v>
      </c>
      <c r="AZ200" s="55" t="n">
        <f aca="false">MIN($F$14,AX200+AY200)</f>
        <v>0</v>
      </c>
      <c r="BA200" s="55" t="n">
        <f aca="false">MAX(0,MIN(AX200+AY200-AZ200,$D200-(H200+M200+R200+W200+AB200+AG200+AL200+AQ200+AV200)))</f>
        <v>0</v>
      </c>
      <c r="BB200" s="55" t="n">
        <f aca="false">AZ200+BA200</f>
        <v>0</v>
      </c>
      <c r="BC200" s="55" t="n">
        <f aca="false">I200+N200+S200+X200+AC200+AH200+AM200+AR200+AW200+BB200</f>
        <v>0</v>
      </c>
      <c r="BD200" s="55" t="n">
        <f aca="false">ROUND((E200+F200-I200)+(J200+K200-N200)+(O200+P200-S200)+(T200+U200-X200)+(Y200+Z200-AC200)+(AD200+AE200-AH200)+(AI200+AJ200-AM200)+(AN200+AO200-AR200)+(AS200+AT200-AW200)+(AX200+AY200-BB200),2)</f>
        <v>0</v>
      </c>
      <c r="BE200" s="25" t="str">
        <f aca="false">IF(H200&gt;0.005,$C$5,IF(M200&gt;0.005,$C$6,IF(R200&gt;0.005,$C$7,IF(W200&gt;0.005,$C$8,IF(AB200&gt;0.005,$C$9,IF(AG200&gt;0.005,$C$10,IF(AL200&gt;0.005,$C$11,IF(AQ200&gt;0.005,$C$12,IF(AV200&gt;0.005,$C$13,IF(BA200&gt;0.005,$C$14,""))))))))))</f>
        <v/>
      </c>
    </row>
    <row r="201" customFormat="false" ht="15" hidden="false" customHeight="false" outlineLevel="0" collapsed="false">
      <c r="A201" s="24" t="n">
        <v>178</v>
      </c>
      <c r="B201" s="54" t="n">
        <f aca="false">EDATE($C$17,A201-1)</f>
        <v>51714</v>
      </c>
      <c r="C201" s="55" t="n">
        <f aca="false">G201+L201+Q201+V201+AA201+AF201+AK201+AP201+AU201+AZ201</f>
        <v>0</v>
      </c>
      <c r="D201" s="55" t="n">
        <f aca="false">MAX(0,$C$16-C201)</f>
        <v>5822</v>
      </c>
      <c r="E201" s="55" t="n">
        <f aca="false">ROUND(MAX(0,E200+F200-I200),2)</f>
        <v>0</v>
      </c>
      <c r="F201" s="55" t="n">
        <f aca="false">ROUND(E201*$E$5/12,2)</f>
        <v>0</v>
      </c>
      <c r="G201" s="55" t="n">
        <f aca="false">MIN($F$5,E201+F201)</f>
        <v>0</v>
      </c>
      <c r="H201" s="55" t="n">
        <f aca="false">MAX(0,MIN(E201+F201-G201,$D201))</f>
        <v>0</v>
      </c>
      <c r="I201" s="55" t="n">
        <f aca="false">G201+H201</f>
        <v>0</v>
      </c>
      <c r="J201" s="55" t="n">
        <f aca="false">ROUND(MAX(0,J200+K200-N200),2)</f>
        <v>0</v>
      </c>
      <c r="K201" s="55" t="n">
        <f aca="false">ROUND(J201*$E$6/12,2)</f>
        <v>0</v>
      </c>
      <c r="L201" s="55" t="n">
        <f aca="false">MIN($F$6,J201+K201)</f>
        <v>0</v>
      </c>
      <c r="M201" s="55" t="n">
        <f aca="false">MAX(0,MIN(J201+K201-L201,$D201-(H201)))</f>
        <v>0</v>
      </c>
      <c r="N201" s="55" t="n">
        <f aca="false">L201+M201</f>
        <v>0</v>
      </c>
      <c r="O201" s="55" t="n">
        <f aca="false">ROUND(MAX(0,O200+P200-S200),2)</f>
        <v>0</v>
      </c>
      <c r="P201" s="55" t="n">
        <f aca="false">ROUND(O201*$E$7/12,2)</f>
        <v>0</v>
      </c>
      <c r="Q201" s="55" t="n">
        <f aca="false">MIN($F$7,O201+P201)</f>
        <v>0</v>
      </c>
      <c r="R201" s="55" t="n">
        <f aca="false">MAX(0,MIN(O201+P201-Q201,$D201-(H201+M201)))</f>
        <v>0</v>
      </c>
      <c r="S201" s="55" t="n">
        <f aca="false">Q201+R201</f>
        <v>0</v>
      </c>
      <c r="T201" s="55" t="n">
        <f aca="false">ROUND(MAX(0,T200+U200-X200),2)</f>
        <v>0</v>
      </c>
      <c r="U201" s="55" t="n">
        <f aca="false">ROUND(T201*$E$8/12,2)</f>
        <v>0</v>
      </c>
      <c r="V201" s="55" t="n">
        <f aca="false">MIN($F$8,T201+U201)</f>
        <v>0</v>
      </c>
      <c r="W201" s="55" t="n">
        <f aca="false">MAX(0,MIN(T201+U201-V201,$D201-(H201+M201+R201)))</f>
        <v>0</v>
      </c>
      <c r="X201" s="55" t="n">
        <f aca="false">V201+W201</f>
        <v>0</v>
      </c>
      <c r="Y201" s="55" t="n">
        <f aca="false">ROUND(MAX(0,Y200+Z200-AC200),2)</f>
        <v>0</v>
      </c>
      <c r="Z201" s="55" t="n">
        <f aca="false">ROUND(Y201*$E$9/12,2)</f>
        <v>0</v>
      </c>
      <c r="AA201" s="55" t="n">
        <f aca="false">MIN($F$9,Y201+Z201)</f>
        <v>0</v>
      </c>
      <c r="AB201" s="55" t="n">
        <f aca="false">MAX(0,MIN(Y201+Z201-AA201,$D201-(H201+M201+R201+W201)))</f>
        <v>0</v>
      </c>
      <c r="AC201" s="55" t="n">
        <f aca="false">AA201+AB201</f>
        <v>0</v>
      </c>
      <c r="AD201" s="55" t="n">
        <f aca="false">ROUND(MAX(0,AD200+AE200-AH200),2)</f>
        <v>0</v>
      </c>
      <c r="AE201" s="55" t="n">
        <f aca="false">ROUND(AD201*$E$10/12,2)</f>
        <v>0</v>
      </c>
      <c r="AF201" s="55" t="n">
        <f aca="false">MIN($F$10,AD201+AE201)</f>
        <v>0</v>
      </c>
      <c r="AG201" s="55" t="n">
        <f aca="false">MAX(0,MIN(AD201+AE201-AF201,$D201-(H201+M201+R201+W201+AB201)))</f>
        <v>0</v>
      </c>
      <c r="AH201" s="55" t="n">
        <f aca="false">AF201+AG201</f>
        <v>0</v>
      </c>
      <c r="AI201" s="55" t="n">
        <f aca="false">ROUND(MAX(0,AI200+AJ200-AM200),2)</f>
        <v>0</v>
      </c>
      <c r="AJ201" s="55" t="n">
        <f aca="false">ROUND(AI201*$E$11/12,2)</f>
        <v>0</v>
      </c>
      <c r="AK201" s="55" t="n">
        <f aca="false">MIN($F$11,AI201+AJ201)</f>
        <v>0</v>
      </c>
      <c r="AL201" s="55" t="n">
        <f aca="false">MAX(0,MIN(AI201+AJ201-AK201,$D201-(H201+M201+R201+W201+AB201+AG201)))</f>
        <v>0</v>
      </c>
      <c r="AM201" s="55" t="n">
        <f aca="false">AK201+AL201</f>
        <v>0</v>
      </c>
      <c r="AN201" s="55" t="n">
        <f aca="false">ROUND(MAX(0,AN200+AO200-AR200),2)</f>
        <v>0</v>
      </c>
      <c r="AO201" s="55" t="n">
        <f aca="false">ROUND(AN201*$E$12/12,2)</f>
        <v>0</v>
      </c>
      <c r="AP201" s="55" t="n">
        <f aca="false">MIN($F$12,AN201+AO201)</f>
        <v>0</v>
      </c>
      <c r="AQ201" s="55" t="n">
        <f aca="false">MAX(0,MIN(AN201+AO201-AP201,$D201-(H201+M201+R201+W201+AB201+AG201+AL201)))</f>
        <v>0</v>
      </c>
      <c r="AR201" s="55" t="n">
        <f aca="false">AP201+AQ201</f>
        <v>0</v>
      </c>
      <c r="AS201" s="55" t="n">
        <f aca="false">ROUND(MAX(0,AS200+AT200-AW200),2)</f>
        <v>0</v>
      </c>
      <c r="AT201" s="55" t="n">
        <f aca="false">ROUND(AS201*$E$13/12,2)</f>
        <v>0</v>
      </c>
      <c r="AU201" s="55" t="n">
        <f aca="false">MIN($F$13,AS201+AT201)</f>
        <v>0</v>
      </c>
      <c r="AV201" s="55" t="n">
        <f aca="false">MAX(0,MIN(AS201+AT201-AU201,$D201-(H201+M201+R201+W201+AB201+AG201+AL201+AQ201)))</f>
        <v>0</v>
      </c>
      <c r="AW201" s="55" t="n">
        <f aca="false">AU201+AV201</f>
        <v>0</v>
      </c>
      <c r="AX201" s="55" t="n">
        <f aca="false">ROUND(MAX(0,AX200+AY200-BB200),2)</f>
        <v>0</v>
      </c>
      <c r="AY201" s="55" t="n">
        <f aca="false">ROUND(AX201*$E$14/12,2)</f>
        <v>0</v>
      </c>
      <c r="AZ201" s="55" t="n">
        <f aca="false">MIN($F$14,AX201+AY201)</f>
        <v>0</v>
      </c>
      <c r="BA201" s="55" t="n">
        <f aca="false">MAX(0,MIN(AX201+AY201-AZ201,$D201-(H201+M201+R201+W201+AB201+AG201+AL201+AQ201+AV201)))</f>
        <v>0</v>
      </c>
      <c r="BB201" s="55" t="n">
        <f aca="false">AZ201+BA201</f>
        <v>0</v>
      </c>
      <c r="BC201" s="55" t="n">
        <f aca="false">I201+N201+S201+X201+AC201+AH201+AM201+AR201+AW201+BB201</f>
        <v>0</v>
      </c>
      <c r="BD201" s="55" t="n">
        <f aca="false">ROUND((E201+F201-I201)+(J201+K201-N201)+(O201+P201-S201)+(T201+U201-X201)+(Y201+Z201-AC201)+(AD201+AE201-AH201)+(AI201+AJ201-AM201)+(AN201+AO201-AR201)+(AS201+AT201-AW201)+(AX201+AY201-BB201),2)</f>
        <v>0</v>
      </c>
      <c r="BE201" s="25" t="str">
        <f aca="false">IF(H201&gt;0.005,$C$5,IF(M201&gt;0.005,$C$6,IF(R201&gt;0.005,$C$7,IF(W201&gt;0.005,$C$8,IF(AB201&gt;0.005,$C$9,IF(AG201&gt;0.005,$C$10,IF(AL201&gt;0.005,$C$11,IF(AQ201&gt;0.005,$C$12,IF(AV201&gt;0.005,$C$13,IF(BA201&gt;0.005,$C$14,""))))))))))</f>
        <v/>
      </c>
    </row>
    <row r="202" customFormat="false" ht="15" hidden="false" customHeight="false" outlineLevel="0" collapsed="false">
      <c r="A202" s="24" t="n">
        <v>179</v>
      </c>
      <c r="B202" s="54" t="n">
        <f aca="false">EDATE($C$17,A202-1)</f>
        <v>51745</v>
      </c>
      <c r="C202" s="55" t="n">
        <f aca="false">G202+L202+Q202+V202+AA202+AF202+AK202+AP202+AU202+AZ202</f>
        <v>0</v>
      </c>
      <c r="D202" s="55" t="n">
        <f aca="false">MAX(0,$C$16-C202)</f>
        <v>5822</v>
      </c>
      <c r="E202" s="55" t="n">
        <f aca="false">ROUND(MAX(0,E201+F201-I201),2)</f>
        <v>0</v>
      </c>
      <c r="F202" s="55" t="n">
        <f aca="false">ROUND(E202*$E$5/12,2)</f>
        <v>0</v>
      </c>
      <c r="G202" s="55" t="n">
        <f aca="false">MIN($F$5,E202+F202)</f>
        <v>0</v>
      </c>
      <c r="H202" s="55" t="n">
        <f aca="false">MAX(0,MIN(E202+F202-G202,$D202))</f>
        <v>0</v>
      </c>
      <c r="I202" s="55" t="n">
        <f aca="false">G202+H202</f>
        <v>0</v>
      </c>
      <c r="J202" s="55" t="n">
        <f aca="false">ROUND(MAX(0,J201+K201-N201),2)</f>
        <v>0</v>
      </c>
      <c r="K202" s="55" t="n">
        <f aca="false">ROUND(J202*$E$6/12,2)</f>
        <v>0</v>
      </c>
      <c r="L202" s="55" t="n">
        <f aca="false">MIN($F$6,J202+K202)</f>
        <v>0</v>
      </c>
      <c r="M202" s="55" t="n">
        <f aca="false">MAX(0,MIN(J202+K202-L202,$D202-(H202)))</f>
        <v>0</v>
      </c>
      <c r="N202" s="55" t="n">
        <f aca="false">L202+M202</f>
        <v>0</v>
      </c>
      <c r="O202" s="55" t="n">
        <f aca="false">ROUND(MAX(0,O201+P201-S201),2)</f>
        <v>0</v>
      </c>
      <c r="P202" s="55" t="n">
        <f aca="false">ROUND(O202*$E$7/12,2)</f>
        <v>0</v>
      </c>
      <c r="Q202" s="55" t="n">
        <f aca="false">MIN($F$7,O202+P202)</f>
        <v>0</v>
      </c>
      <c r="R202" s="55" t="n">
        <f aca="false">MAX(0,MIN(O202+P202-Q202,$D202-(H202+M202)))</f>
        <v>0</v>
      </c>
      <c r="S202" s="55" t="n">
        <f aca="false">Q202+R202</f>
        <v>0</v>
      </c>
      <c r="T202" s="55" t="n">
        <f aca="false">ROUND(MAX(0,T201+U201-X201),2)</f>
        <v>0</v>
      </c>
      <c r="U202" s="55" t="n">
        <f aca="false">ROUND(T202*$E$8/12,2)</f>
        <v>0</v>
      </c>
      <c r="V202" s="55" t="n">
        <f aca="false">MIN($F$8,T202+U202)</f>
        <v>0</v>
      </c>
      <c r="W202" s="55" t="n">
        <f aca="false">MAX(0,MIN(T202+U202-V202,$D202-(H202+M202+R202)))</f>
        <v>0</v>
      </c>
      <c r="X202" s="55" t="n">
        <f aca="false">V202+W202</f>
        <v>0</v>
      </c>
      <c r="Y202" s="55" t="n">
        <f aca="false">ROUND(MAX(0,Y201+Z201-AC201),2)</f>
        <v>0</v>
      </c>
      <c r="Z202" s="55" t="n">
        <f aca="false">ROUND(Y202*$E$9/12,2)</f>
        <v>0</v>
      </c>
      <c r="AA202" s="55" t="n">
        <f aca="false">MIN($F$9,Y202+Z202)</f>
        <v>0</v>
      </c>
      <c r="AB202" s="55" t="n">
        <f aca="false">MAX(0,MIN(Y202+Z202-AA202,$D202-(H202+M202+R202+W202)))</f>
        <v>0</v>
      </c>
      <c r="AC202" s="55" t="n">
        <f aca="false">AA202+AB202</f>
        <v>0</v>
      </c>
      <c r="AD202" s="55" t="n">
        <f aca="false">ROUND(MAX(0,AD201+AE201-AH201),2)</f>
        <v>0</v>
      </c>
      <c r="AE202" s="55" t="n">
        <f aca="false">ROUND(AD202*$E$10/12,2)</f>
        <v>0</v>
      </c>
      <c r="AF202" s="55" t="n">
        <f aca="false">MIN($F$10,AD202+AE202)</f>
        <v>0</v>
      </c>
      <c r="AG202" s="55" t="n">
        <f aca="false">MAX(0,MIN(AD202+AE202-AF202,$D202-(H202+M202+R202+W202+AB202)))</f>
        <v>0</v>
      </c>
      <c r="AH202" s="55" t="n">
        <f aca="false">AF202+AG202</f>
        <v>0</v>
      </c>
      <c r="AI202" s="55" t="n">
        <f aca="false">ROUND(MAX(0,AI201+AJ201-AM201),2)</f>
        <v>0</v>
      </c>
      <c r="AJ202" s="55" t="n">
        <f aca="false">ROUND(AI202*$E$11/12,2)</f>
        <v>0</v>
      </c>
      <c r="AK202" s="55" t="n">
        <f aca="false">MIN($F$11,AI202+AJ202)</f>
        <v>0</v>
      </c>
      <c r="AL202" s="55" t="n">
        <f aca="false">MAX(0,MIN(AI202+AJ202-AK202,$D202-(H202+M202+R202+W202+AB202+AG202)))</f>
        <v>0</v>
      </c>
      <c r="AM202" s="55" t="n">
        <f aca="false">AK202+AL202</f>
        <v>0</v>
      </c>
      <c r="AN202" s="55" t="n">
        <f aca="false">ROUND(MAX(0,AN201+AO201-AR201),2)</f>
        <v>0</v>
      </c>
      <c r="AO202" s="55" t="n">
        <f aca="false">ROUND(AN202*$E$12/12,2)</f>
        <v>0</v>
      </c>
      <c r="AP202" s="55" t="n">
        <f aca="false">MIN($F$12,AN202+AO202)</f>
        <v>0</v>
      </c>
      <c r="AQ202" s="55" t="n">
        <f aca="false">MAX(0,MIN(AN202+AO202-AP202,$D202-(H202+M202+R202+W202+AB202+AG202+AL202)))</f>
        <v>0</v>
      </c>
      <c r="AR202" s="55" t="n">
        <f aca="false">AP202+AQ202</f>
        <v>0</v>
      </c>
      <c r="AS202" s="55" t="n">
        <f aca="false">ROUND(MAX(0,AS201+AT201-AW201),2)</f>
        <v>0</v>
      </c>
      <c r="AT202" s="55" t="n">
        <f aca="false">ROUND(AS202*$E$13/12,2)</f>
        <v>0</v>
      </c>
      <c r="AU202" s="55" t="n">
        <f aca="false">MIN($F$13,AS202+AT202)</f>
        <v>0</v>
      </c>
      <c r="AV202" s="55" t="n">
        <f aca="false">MAX(0,MIN(AS202+AT202-AU202,$D202-(H202+M202+R202+W202+AB202+AG202+AL202+AQ202)))</f>
        <v>0</v>
      </c>
      <c r="AW202" s="55" t="n">
        <f aca="false">AU202+AV202</f>
        <v>0</v>
      </c>
      <c r="AX202" s="55" t="n">
        <f aca="false">ROUND(MAX(0,AX201+AY201-BB201),2)</f>
        <v>0</v>
      </c>
      <c r="AY202" s="55" t="n">
        <f aca="false">ROUND(AX202*$E$14/12,2)</f>
        <v>0</v>
      </c>
      <c r="AZ202" s="55" t="n">
        <f aca="false">MIN($F$14,AX202+AY202)</f>
        <v>0</v>
      </c>
      <c r="BA202" s="55" t="n">
        <f aca="false">MAX(0,MIN(AX202+AY202-AZ202,$D202-(H202+M202+R202+W202+AB202+AG202+AL202+AQ202+AV202)))</f>
        <v>0</v>
      </c>
      <c r="BB202" s="55" t="n">
        <f aca="false">AZ202+BA202</f>
        <v>0</v>
      </c>
      <c r="BC202" s="55" t="n">
        <f aca="false">I202+N202+S202+X202+AC202+AH202+AM202+AR202+AW202+BB202</f>
        <v>0</v>
      </c>
      <c r="BD202" s="55" t="n">
        <f aca="false">ROUND((E202+F202-I202)+(J202+K202-N202)+(O202+P202-S202)+(T202+U202-X202)+(Y202+Z202-AC202)+(AD202+AE202-AH202)+(AI202+AJ202-AM202)+(AN202+AO202-AR202)+(AS202+AT202-AW202)+(AX202+AY202-BB202),2)</f>
        <v>0</v>
      </c>
      <c r="BE202" s="25" t="str">
        <f aca="false">IF(H202&gt;0.005,$C$5,IF(M202&gt;0.005,$C$6,IF(R202&gt;0.005,$C$7,IF(W202&gt;0.005,$C$8,IF(AB202&gt;0.005,$C$9,IF(AG202&gt;0.005,$C$10,IF(AL202&gt;0.005,$C$11,IF(AQ202&gt;0.005,$C$12,IF(AV202&gt;0.005,$C$13,IF(BA202&gt;0.005,$C$14,""))))))))))</f>
        <v/>
      </c>
    </row>
    <row r="203" customFormat="false" ht="15" hidden="false" customHeight="false" outlineLevel="0" collapsed="false">
      <c r="A203" s="24" t="n">
        <v>180</v>
      </c>
      <c r="B203" s="54" t="n">
        <f aca="false">EDATE($C$17,A203-1)</f>
        <v>51775</v>
      </c>
      <c r="C203" s="55" t="n">
        <f aca="false">G203+L203+Q203+V203+AA203+AF203+AK203+AP203+AU203+AZ203</f>
        <v>0</v>
      </c>
      <c r="D203" s="55" t="n">
        <f aca="false">MAX(0,$C$16-C203)</f>
        <v>5822</v>
      </c>
      <c r="E203" s="55" t="n">
        <f aca="false">ROUND(MAX(0,E202+F202-I202),2)</f>
        <v>0</v>
      </c>
      <c r="F203" s="55" t="n">
        <f aca="false">ROUND(E203*$E$5/12,2)</f>
        <v>0</v>
      </c>
      <c r="G203" s="55" t="n">
        <f aca="false">MIN($F$5,E203+F203)</f>
        <v>0</v>
      </c>
      <c r="H203" s="55" t="n">
        <f aca="false">MAX(0,MIN(E203+F203-G203,$D203))</f>
        <v>0</v>
      </c>
      <c r="I203" s="55" t="n">
        <f aca="false">G203+H203</f>
        <v>0</v>
      </c>
      <c r="J203" s="55" t="n">
        <f aca="false">ROUND(MAX(0,J202+K202-N202),2)</f>
        <v>0</v>
      </c>
      <c r="K203" s="55" t="n">
        <f aca="false">ROUND(J203*$E$6/12,2)</f>
        <v>0</v>
      </c>
      <c r="L203" s="55" t="n">
        <f aca="false">MIN($F$6,J203+K203)</f>
        <v>0</v>
      </c>
      <c r="M203" s="55" t="n">
        <f aca="false">MAX(0,MIN(J203+K203-L203,$D203-(H203)))</f>
        <v>0</v>
      </c>
      <c r="N203" s="55" t="n">
        <f aca="false">L203+M203</f>
        <v>0</v>
      </c>
      <c r="O203" s="55" t="n">
        <f aca="false">ROUND(MAX(0,O202+P202-S202),2)</f>
        <v>0</v>
      </c>
      <c r="P203" s="55" t="n">
        <f aca="false">ROUND(O203*$E$7/12,2)</f>
        <v>0</v>
      </c>
      <c r="Q203" s="55" t="n">
        <f aca="false">MIN($F$7,O203+P203)</f>
        <v>0</v>
      </c>
      <c r="R203" s="55" t="n">
        <f aca="false">MAX(0,MIN(O203+P203-Q203,$D203-(H203+M203)))</f>
        <v>0</v>
      </c>
      <c r="S203" s="55" t="n">
        <f aca="false">Q203+R203</f>
        <v>0</v>
      </c>
      <c r="T203" s="55" t="n">
        <f aca="false">ROUND(MAX(0,T202+U202-X202),2)</f>
        <v>0</v>
      </c>
      <c r="U203" s="55" t="n">
        <f aca="false">ROUND(T203*$E$8/12,2)</f>
        <v>0</v>
      </c>
      <c r="V203" s="55" t="n">
        <f aca="false">MIN($F$8,T203+U203)</f>
        <v>0</v>
      </c>
      <c r="W203" s="55" t="n">
        <f aca="false">MAX(0,MIN(T203+U203-V203,$D203-(H203+M203+R203)))</f>
        <v>0</v>
      </c>
      <c r="X203" s="55" t="n">
        <f aca="false">V203+W203</f>
        <v>0</v>
      </c>
      <c r="Y203" s="55" t="n">
        <f aca="false">ROUND(MAX(0,Y202+Z202-AC202),2)</f>
        <v>0</v>
      </c>
      <c r="Z203" s="55" t="n">
        <f aca="false">ROUND(Y203*$E$9/12,2)</f>
        <v>0</v>
      </c>
      <c r="AA203" s="55" t="n">
        <f aca="false">MIN($F$9,Y203+Z203)</f>
        <v>0</v>
      </c>
      <c r="AB203" s="55" t="n">
        <f aca="false">MAX(0,MIN(Y203+Z203-AA203,$D203-(H203+M203+R203+W203)))</f>
        <v>0</v>
      </c>
      <c r="AC203" s="55" t="n">
        <f aca="false">AA203+AB203</f>
        <v>0</v>
      </c>
      <c r="AD203" s="55" t="n">
        <f aca="false">ROUND(MAX(0,AD202+AE202-AH202),2)</f>
        <v>0</v>
      </c>
      <c r="AE203" s="55" t="n">
        <f aca="false">ROUND(AD203*$E$10/12,2)</f>
        <v>0</v>
      </c>
      <c r="AF203" s="55" t="n">
        <f aca="false">MIN($F$10,AD203+AE203)</f>
        <v>0</v>
      </c>
      <c r="AG203" s="55" t="n">
        <f aca="false">MAX(0,MIN(AD203+AE203-AF203,$D203-(H203+M203+R203+W203+AB203)))</f>
        <v>0</v>
      </c>
      <c r="AH203" s="55" t="n">
        <f aca="false">AF203+AG203</f>
        <v>0</v>
      </c>
      <c r="AI203" s="55" t="n">
        <f aca="false">ROUND(MAX(0,AI202+AJ202-AM202),2)</f>
        <v>0</v>
      </c>
      <c r="AJ203" s="55" t="n">
        <f aca="false">ROUND(AI203*$E$11/12,2)</f>
        <v>0</v>
      </c>
      <c r="AK203" s="55" t="n">
        <f aca="false">MIN($F$11,AI203+AJ203)</f>
        <v>0</v>
      </c>
      <c r="AL203" s="55" t="n">
        <f aca="false">MAX(0,MIN(AI203+AJ203-AK203,$D203-(H203+M203+R203+W203+AB203+AG203)))</f>
        <v>0</v>
      </c>
      <c r="AM203" s="55" t="n">
        <f aca="false">AK203+AL203</f>
        <v>0</v>
      </c>
      <c r="AN203" s="55" t="n">
        <f aca="false">ROUND(MAX(0,AN202+AO202-AR202),2)</f>
        <v>0</v>
      </c>
      <c r="AO203" s="55" t="n">
        <f aca="false">ROUND(AN203*$E$12/12,2)</f>
        <v>0</v>
      </c>
      <c r="AP203" s="55" t="n">
        <f aca="false">MIN($F$12,AN203+AO203)</f>
        <v>0</v>
      </c>
      <c r="AQ203" s="55" t="n">
        <f aca="false">MAX(0,MIN(AN203+AO203-AP203,$D203-(H203+M203+R203+W203+AB203+AG203+AL203)))</f>
        <v>0</v>
      </c>
      <c r="AR203" s="55" t="n">
        <f aca="false">AP203+AQ203</f>
        <v>0</v>
      </c>
      <c r="AS203" s="55" t="n">
        <f aca="false">ROUND(MAX(0,AS202+AT202-AW202),2)</f>
        <v>0</v>
      </c>
      <c r="AT203" s="55" t="n">
        <f aca="false">ROUND(AS203*$E$13/12,2)</f>
        <v>0</v>
      </c>
      <c r="AU203" s="55" t="n">
        <f aca="false">MIN($F$13,AS203+AT203)</f>
        <v>0</v>
      </c>
      <c r="AV203" s="55" t="n">
        <f aca="false">MAX(0,MIN(AS203+AT203-AU203,$D203-(H203+M203+R203+W203+AB203+AG203+AL203+AQ203)))</f>
        <v>0</v>
      </c>
      <c r="AW203" s="55" t="n">
        <f aca="false">AU203+AV203</f>
        <v>0</v>
      </c>
      <c r="AX203" s="55" t="n">
        <f aca="false">ROUND(MAX(0,AX202+AY202-BB202),2)</f>
        <v>0</v>
      </c>
      <c r="AY203" s="55" t="n">
        <f aca="false">ROUND(AX203*$E$14/12,2)</f>
        <v>0</v>
      </c>
      <c r="AZ203" s="55" t="n">
        <f aca="false">MIN($F$14,AX203+AY203)</f>
        <v>0</v>
      </c>
      <c r="BA203" s="55" t="n">
        <f aca="false">MAX(0,MIN(AX203+AY203-AZ203,$D203-(H203+M203+R203+W203+AB203+AG203+AL203+AQ203+AV203)))</f>
        <v>0</v>
      </c>
      <c r="BB203" s="55" t="n">
        <f aca="false">AZ203+BA203</f>
        <v>0</v>
      </c>
      <c r="BC203" s="55" t="n">
        <f aca="false">I203+N203+S203+X203+AC203+AH203+AM203+AR203+AW203+BB203</f>
        <v>0</v>
      </c>
      <c r="BD203" s="55" t="n">
        <f aca="false">ROUND((E203+F203-I203)+(J203+K203-N203)+(O203+P203-S203)+(T203+U203-X203)+(Y203+Z203-AC203)+(AD203+AE203-AH203)+(AI203+AJ203-AM203)+(AN203+AO203-AR203)+(AS203+AT203-AW203)+(AX203+AY203-BB203),2)</f>
        <v>0</v>
      </c>
      <c r="BE203" s="25" t="str">
        <f aca="false">IF(H203&gt;0.005,$C$5,IF(M203&gt;0.005,$C$6,IF(R203&gt;0.005,$C$7,IF(W203&gt;0.005,$C$8,IF(AB203&gt;0.005,$C$9,IF(AG203&gt;0.005,$C$10,IF(AL203&gt;0.005,$C$11,IF(AQ203&gt;0.005,$C$12,IF(AV203&gt;0.005,$C$13,IF(BA203&gt;0.005,$C$14,""))))))))))</f>
        <v/>
      </c>
    </row>
    <row r="204" customFormat="false" ht="15" hidden="false" customHeight="false" outlineLevel="0" collapsed="false">
      <c r="A204" s="24" t="n">
        <v>181</v>
      </c>
      <c r="B204" s="54" t="n">
        <f aca="false">EDATE($C$17,A204-1)</f>
        <v>51806</v>
      </c>
      <c r="C204" s="55" t="n">
        <f aca="false">G204+L204+Q204+V204+AA204+AF204+AK204+AP204+AU204+AZ204</f>
        <v>0</v>
      </c>
      <c r="D204" s="55" t="n">
        <f aca="false">MAX(0,$C$16-C204)</f>
        <v>5822</v>
      </c>
      <c r="E204" s="55" t="n">
        <f aca="false">ROUND(MAX(0,E203+F203-I203),2)</f>
        <v>0</v>
      </c>
      <c r="F204" s="55" t="n">
        <f aca="false">ROUND(E204*$E$5/12,2)</f>
        <v>0</v>
      </c>
      <c r="G204" s="55" t="n">
        <f aca="false">MIN($F$5,E204+F204)</f>
        <v>0</v>
      </c>
      <c r="H204" s="55" t="n">
        <f aca="false">MAX(0,MIN(E204+F204-G204,$D204))</f>
        <v>0</v>
      </c>
      <c r="I204" s="55" t="n">
        <f aca="false">G204+H204</f>
        <v>0</v>
      </c>
      <c r="J204" s="55" t="n">
        <f aca="false">ROUND(MAX(0,J203+K203-N203),2)</f>
        <v>0</v>
      </c>
      <c r="K204" s="55" t="n">
        <f aca="false">ROUND(J204*$E$6/12,2)</f>
        <v>0</v>
      </c>
      <c r="L204" s="55" t="n">
        <f aca="false">MIN($F$6,J204+K204)</f>
        <v>0</v>
      </c>
      <c r="M204" s="55" t="n">
        <f aca="false">MAX(0,MIN(J204+K204-L204,$D204-(H204)))</f>
        <v>0</v>
      </c>
      <c r="N204" s="55" t="n">
        <f aca="false">L204+M204</f>
        <v>0</v>
      </c>
      <c r="O204" s="55" t="n">
        <f aca="false">ROUND(MAX(0,O203+P203-S203),2)</f>
        <v>0</v>
      </c>
      <c r="P204" s="55" t="n">
        <f aca="false">ROUND(O204*$E$7/12,2)</f>
        <v>0</v>
      </c>
      <c r="Q204" s="55" t="n">
        <f aca="false">MIN($F$7,O204+P204)</f>
        <v>0</v>
      </c>
      <c r="R204" s="55" t="n">
        <f aca="false">MAX(0,MIN(O204+P204-Q204,$D204-(H204+M204)))</f>
        <v>0</v>
      </c>
      <c r="S204" s="55" t="n">
        <f aca="false">Q204+R204</f>
        <v>0</v>
      </c>
      <c r="T204" s="55" t="n">
        <f aca="false">ROUND(MAX(0,T203+U203-X203),2)</f>
        <v>0</v>
      </c>
      <c r="U204" s="55" t="n">
        <f aca="false">ROUND(T204*$E$8/12,2)</f>
        <v>0</v>
      </c>
      <c r="V204" s="55" t="n">
        <f aca="false">MIN($F$8,T204+U204)</f>
        <v>0</v>
      </c>
      <c r="W204" s="55" t="n">
        <f aca="false">MAX(0,MIN(T204+U204-V204,$D204-(H204+M204+R204)))</f>
        <v>0</v>
      </c>
      <c r="X204" s="55" t="n">
        <f aca="false">V204+W204</f>
        <v>0</v>
      </c>
      <c r="Y204" s="55" t="n">
        <f aca="false">ROUND(MAX(0,Y203+Z203-AC203),2)</f>
        <v>0</v>
      </c>
      <c r="Z204" s="55" t="n">
        <f aca="false">ROUND(Y204*$E$9/12,2)</f>
        <v>0</v>
      </c>
      <c r="AA204" s="55" t="n">
        <f aca="false">MIN($F$9,Y204+Z204)</f>
        <v>0</v>
      </c>
      <c r="AB204" s="55" t="n">
        <f aca="false">MAX(0,MIN(Y204+Z204-AA204,$D204-(H204+M204+R204+W204)))</f>
        <v>0</v>
      </c>
      <c r="AC204" s="55" t="n">
        <f aca="false">AA204+AB204</f>
        <v>0</v>
      </c>
      <c r="AD204" s="55" t="n">
        <f aca="false">ROUND(MAX(0,AD203+AE203-AH203),2)</f>
        <v>0</v>
      </c>
      <c r="AE204" s="55" t="n">
        <f aca="false">ROUND(AD204*$E$10/12,2)</f>
        <v>0</v>
      </c>
      <c r="AF204" s="55" t="n">
        <f aca="false">MIN($F$10,AD204+AE204)</f>
        <v>0</v>
      </c>
      <c r="AG204" s="55" t="n">
        <f aca="false">MAX(0,MIN(AD204+AE204-AF204,$D204-(H204+M204+R204+W204+AB204)))</f>
        <v>0</v>
      </c>
      <c r="AH204" s="55" t="n">
        <f aca="false">AF204+AG204</f>
        <v>0</v>
      </c>
      <c r="AI204" s="55" t="n">
        <f aca="false">ROUND(MAX(0,AI203+AJ203-AM203),2)</f>
        <v>0</v>
      </c>
      <c r="AJ204" s="55" t="n">
        <f aca="false">ROUND(AI204*$E$11/12,2)</f>
        <v>0</v>
      </c>
      <c r="AK204" s="55" t="n">
        <f aca="false">MIN($F$11,AI204+AJ204)</f>
        <v>0</v>
      </c>
      <c r="AL204" s="55" t="n">
        <f aca="false">MAX(0,MIN(AI204+AJ204-AK204,$D204-(H204+M204+R204+W204+AB204+AG204)))</f>
        <v>0</v>
      </c>
      <c r="AM204" s="55" t="n">
        <f aca="false">AK204+AL204</f>
        <v>0</v>
      </c>
      <c r="AN204" s="55" t="n">
        <f aca="false">ROUND(MAX(0,AN203+AO203-AR203),2)</f>
        <v>0</v>
      </c>
      <c r="AO204" s="55" t="n">
        <f aca="false">ROUND(AN204*$E$12/12,2)</f>
        <v>0</v>
      </c>
      <c r="AP204" s="55" t="n">
        <f aca="false">MIN($F$12,AN204+AO204)</f>
        <v>0</v>
      </c>
      <c r="AQ204" s="55" t="n">
        <f aca="false">MAX(0,MIN(AN204+AO204-AP204,$D204-(H204+M204+R204+W204+AB204+AG204+AL204)))</f>
        <v>0</v>
      </c>
      <c r="AR204" s="55" t="n">
        <f aca="false">AP204+AQ204</f>
        <v>0</v>
      </c>
      <c r="AS204" s="55" t="n">
        <f aca="false">ROUND(MAX(0,AS203+AT203-AW203),2)</f>
        <v>0</v>
      </c>
      <c r="AT204" s="55" t="n">
        <f aca="false">ROUND(AS204*$E$13/12,2)</f>
        <v>0</v>
      </c>
      <c r="AU204" s="55" t="n">
        <f aca="false">MIN($F$13,AS204+AT204)</f>
        <v>0</v>
      </c>
      <c r="AV204" s="55" t="n">
        <f aca="false">MAX(0,MIN(AS204+AT204-AU204,$D204-(H204+M204+R204+W204+AB204+AG204+AL204+AQ204)))</f>
        <v>0</v>
      </c>
      <c r="AW204" s="55" t="n">
        <f aca="false">AU204+AV204</f>
        <v>0</v>
      </c>
      <c r="AX204" s="55" t="n">
        <f aca="false">ROUND(MAX(0,AX203+AY203-BB203),2)</f>
        <v>0</v>
      </c>
      <c r="AY204" s="55" t="n">
        <f aca="false">ROUND(AX204*$E$14/12,2)</f>
        <v>0</v>
      </c>
      <c r="AZ204" s="55" t="n">
        <f aca="false">MIN($F$14,AX204+AY204)</f>
        <v>0</v>
      </c>
      <c r="BA204" s="55" t="n">
        <f aca="false">MAX(0,MIN(AX204+AY204-AZ204,$D204-(H204+M204+R204+W204+AB204+AG204+AL204+AQ204+AV204)))</f>
        <v>0</v>
      </c>
      <c r="BB204" s="55" t="n">
        <f aca="false">AZ204+BA204</f>
        <v>0</v>
      </c>
      <c r="BC204" s="55" t="n">
        <f aca="false">I204+N204+S204+X204+AC204+AH204+AM204+AR204+AW204+BB204</f>
        <v>0</v>
      </c>
      <c r="BD204" s="55" t="n">
        <f aca="false">ROUND((E204+F204-I204)+(J204+K204-N204)+(O204+P204-S204)+(T204+U204-X204)+(Y204+Z204-AC204)+(AD204+AE204-AH204)+(AI204+AJ204-AM204)+(AN204+AO204-AR204)+(AS204+AT204-AW204)+(AX204+AY204-BB204),2)</f>
        <v>0</v>
      </c>
      <c r="BE204" s="25" t="str">
        <f aca="false">IF(H204&gt;0.005,$C$5,IF(M204&gt;0.005,$C$6,IF(R204&gt;0.005,$C$7,IF(W204&gt;0.005,$C$8,IF(AB204&gt;0.005,$C$9,IF(AG204&gt;0.005,$C$10,IF(AL204&gt;0.005,$C$11,IF(AQ204&gt;0.005,$C$12,IF(AV204&gt;0.005,$C$13,IF(BA204&gt;0.005,$C$14,""))))))))))</f>
        <v/>
      </c>
    </row>
    <row r="205" customFormat="false" ht="15" hidden="false" customHeight="false" outlineLevel="0" collapsed="false">
      <c r="A205" s="24" t="n">
        <v>182</v>
      </c>
      <c r="B205" s="54" t="n">
        <f aca="false">EDATE($C$17,A205-1)</f>
        <v>51836</v>
      </c>
      <c r="C205" s="55" t="n">
        <f aca="false">G205+L205+Q205+V205+AA205+AF205+AK205+AP205+AU205+AZ205</f>
        <v>0</v>
      </c>
      <c r="D205" s="55" t="n">
        <f aca="false">MAX(0,$C$16-C205)</f>
        <v>5822</v>
      </c>
      <c r="E205" s="55" t="n">
        <f aca="false">ROUND(MAX(0,E204+F204-I204),2)</f>
        <v>0</v>
      </c>
      <c r="F205" s="55" t="n">
        <f aca="false">ROUND(E205*$E$5/12,2)</f>
        <v>0</v>
      </c>
      <c r="G205" s="55" t="n">
        <f aca="false">MIN($F$5,E205+F205)</f>
        <v>0</v>
      </c>
      <c r="H205" s="55" t="n">
        <f aca="false">MAX(0,MIN(E205+F205-G205,$D205))</f>
        <v>0</v>
      </c>
      <c r="I205" s="55" t="n">
        <f aca="false">G205+H205</f>
        <v>0</v>
      </c>
      <c r="J205" s="55" t="n">
        <f aca="false">ROUND(MAX(0,J204+K204-N204),2)</f>
        <v>0</v>
      </c>
      <c r="K205" s="55" t="n">
        <f aca="false">ROUND(J205*$E$6/12,2)</f>
        <v>0</v>
      </c>
      <c r="L205" s="55" t="n">
        <f aca="false">MIN($F$6,J205+K205)</f>
        <v>0</v>
      </c>
      <c r="M205" s="55" t="n">
        <f aca="false">MAX(0,MIN(J205+K205-L205,$D205-(H205)))</f>
        <v>0</v>
      </c>
      <c r="N205" s="55" t="n">
        <f aca="false">L205+M205</f>
        <v>0</v>
      </c>
      <c r="O205" s="55" t="n">
        <f aca="false">ROUND(MAX(0,O204+P204-S204),2)</f>
        <v>0</v>
      </c>
      <c r="P205" s="55" t="n">
        <f aca="false">ROUND(O205*$E$7/12,2)</f>
        <v>0</v>
      </c>
      <c r="Q205" s="55" t="n">
        <f aca="false">MIN($F$7,O205+P205)</f>
        <v>0</v>
      </c>
      <c r="R205" s="55" t="n">
        <f aca="false">MAX(0,MIN(O205+P205-Q205,$D205-(H205+M205)))</f>
        <v>0</v>
      </c>
      <c r="S205" s="55" t="n">
        <f aca="false">Q205+R205</f>
        <v>0</v>
      </c>
      <c r="T205" s="55" t="n">
        <f aca="false">ROUND(MAX(0,T204+U204-X204),2)</f>
        <v>0</v>
      </c>
      <c r="U205" s="55" t="n">
        <f aca="false">ROUND(T205*$E$8/12,2)</f>
        <v>0</v>
      </c>
      <c r="V205" s="55" t="n">
        <f aca="false">MIN($F$8,T205+U205)</f>
        <v>0</v>
      </c>
      <c r="W205" s="55" t="n">
        <f aca="false">MAX(0,MIN(T205+U205-V205,$D205-(H205+M205+R205)))</f>
        <v>0</v>
      </c>
      <c r="X205" s="55" t="n">
        <f aca="false">V205+W205</f>
        <v>0</v>
      </c>
      <c r="Y205" s="55" t="n">
        <f aca="false">ROUND(MAX(0,Y204+Z204-AC204),2)</f>
        <v>0</v>
      </c>
      <c r="Z205" s="55" t="n">
        <f aca="false">ROUND(Y205*$E$9/12,2)</f>
        <v>0</v>
      </c>
      <c r="AA205" s="55" t="n">
        <f aca="false">MIN($F$9,Y205+Z205)</f>
        <v>0</v>
      </c>
      <c r="AB205" s="55" t="n">
        <f aca="false">MAX(0,MIN(Y205+Z205-AA205,$D205-(H205+M205+R205+W205)))</f>
        <v>0</v>
      </c>
      <c r="AC205" s="55" t="n">
        <f aca="false">AA205+AB205</f>
        <v>0</v>
      </c>
      <c r="AD205" s="55" t="n">
        <f aca="false">ROUND(MAX(0,AD204+AE204-AH204),2)</f>
        <v>0</v>
      </c>
      <c r="AE205" s="55" t="n">
        <f aca="false">ROUND(AD205*$E$10/12,2)</f>
        <v>0</v>
      </c>
      <c r="AF205" s="55" t="n">
        <f aca="false">MIN($F$10,AD205+AE205)</f>
        <v>0</v>
      </c>
      <c r="AG205" s="55" t="n">
        <f aca="false">MAX(0,MIN(AD205+AE205-AF205,$D205-(H205+M205+R205+W205+AB205)))</f>
        <v>0</v>
      </c>
      <c r="AH205" s="55" t="n">
        <f aca="false">AF205+AG205</f>
        <v>0</v>
      </c>
      <c r="AI205" s="55" t="n">
        <f aca="false">ROUND(MAX(0,AI204+AJ204-AM204),2)</f>
        <v>0</v>
      </c>
      <c r="AJ205" s="55" t="n">
        <f aca="false">ROUND(AI205*$E$11/12,2)</f>
        <v>0</v>
      </c>
      <c r="AK205" s="55" t="n">
        <f aca="false">MIN($F$11,AI205+AJ205)</f>
        <v>0</v>
      </c>
      <c r="AL205" s="55" t="n">
        <f aca="false">MAX(0,MIN(AI205+AJ205-AK205,$D205-(H205+M205+R205+W205+AB205+AG205)))</f>
        <v>0</v>
      </c>
      <c r="AM205" s="55" t="n">
        <f aca="false">AK205+AL205</f>
        <v>0</v>
      </c>
      <c r="AN205" s="55" t="n">
        <f aca="false">ROUND(MAX(0,AN204+AO204-AR204),2)</f>
        <v>0</v>
      </c>
      <c r="AO205" s="55" t="n">
        <f aca="false">ROUND(AN205*$E$12/12,2)</f>
        <v>0</v>
      </c>
      <c r="AP205" s="55" t="n">
        <f aca="false">MIN($F$12,AN205+AO205)</f>
        <v>0</v>
      </c>
      <c r="AQ205" s="55" t="n">
        <f aca="false">MAX(0,MIN(AN205+AO205-AP205,$D205-(H205+M205+R205+W205+AB205+AG205+AL205)))</f>
        <v>0</v>
      </c>
      <c r="AR205" s="55" t="n">
        <f aca="false">AP205+AQ205</f>
        <v>0</v>
      </c>
      <c r="AS205" s="55" t="n">
        <f aca="false">ROUND(MAX(0,AS204+AT204-AW204),2)</f>
        <v>0</v>
      </c>
      <c r="AT205" s="55" t="n">
        <f aca="false">ROUND(AS205*$E$13/12,2)</f>
        <v>0</v>
      </c>
      <c r="AU205" s="55" t="n">
        <f aca="false">MIN($F$13,AS205+AT205)</f>
        <v>0</v>
      </c>
      <c r="AV205" s="55" t="n">
        <f aca="false">MAX(0,MIN(AS205+AT205-AU205,$D205-(H205+M205+R205+W205+AB205+AG205+AL205+AQ205)))</f>
        <v>0</v>
      </c>
      <c r="AW205" s="55" t="n">
        <f aca="false">AU205+AV205</f>
        <v>0</v>
      </c>
      <c r="AX205" s="55" t="n">
        <f aca="false">ROUND(MAX(0,AX204+AY204-BB204),2)</f>
        <v>0</v>
      </c>
      <c r="AY205" s="55" t="n">
        <f aca="false">ROUND(AX205*$E$14/12,2)</f>
        <v>0</v>
      </c>
      <c r="AZ205" s="55" t="n">
        <f aca="false">MIN($F$14,AX205+AY205)</f>
        <v>0</v>
      </c>
      <c r="BA205" s="55" t="n">
        <f aca="false">MAX(0,MIN(AX205+AY205-AZ205,$D205-(H205+M205+R205+W205+AB205+AG205+AL205+AQ205+AV205)))</f>
        <v>0</v>
      </c>
      <c r="BB205" s="55" t="n">
        <f aca="false">AZ205+BA205</f>
        <v>0</v>
      </c>
      <c r="BC205" s="55" t="n">
        <f aca="false">I205+N205+S205+X205+AC205+AH205+AM205+AR205+AW205+BB205</f>
        <v>0</v>
      </c>
      <c r="BD205" s="55" t="n">
        <f aca="false">ROUND((E205+F205-I205)+(J205+K205-N205)+(O205+P205-S205)+(T205+U205-X205)+(Y205+Z205-AC205)+(AD205+AE205-AH205)+(AI205+AJ205-AM205)+(AN205+AO205-AR205)+(AS205+AT205-AW205)+(AX205+AY205-BB205),2)</f>
        <v>0</v>
      </c>
      <c r="BE205" s="25" t="str">
        <f aca="false">IF(H205&gt;0.005,$C$5,IF(M205&gt;0.005,$C$6,IF(R205&gt;0.005,$C$7,IF(W205&gt;0.005,$C$8,IF(AB205&gt;0.005,$C$9,IF(AG205&gt;0.005,$C$10,IF(AL205&gt;0.005,$C$11,IF(AQ205&gt;0.005,$C$12,IF(AV205&gt;0.005,$C$13,IF(BA205&gt;0.005,$C$14,""))))))))))</f>
        <v/>
      </c>
    </row>
    <row r="206" customFormat="false" ht="15" hidden="false" customHeight="false" outlineLevel="0" collapsed="false">
      <c r="A206" s="24" t="n">
        <v>183</v>
      </c>
      <c r="B206" s="54" t="n">
        <f aca="false">EDATE($C$17,A206-1)</f>
        <v>51867</v>
      </c>
      <c r="C206" s="55" t="n">
        <f aca="false">G206+L206+Q206+V206+AA206+AF206+AK206+AP206+AU206+AZ206</f>
        <v>0</v>
      </c>
      <c r="D206" s="55" t="n">
        <f aca="false">MAX(0,$C$16-C206)</f>
        <v>5822</v>
      </c>
      <c r="E206" s="55" t="n">
        <f aca="false">ROUND(MAX(0,E205+F205-I205),2)</f>
        <v>0</v>
      </c>
      <c r="F206" s="55" t="n">
        <f aca="false">ROUND(E206*$E$5/12,2)</f>
        <v>0</v>
      </c>
      <c r="G206" s="55" t="n">
        <f aca="false">MIN($F$5,E206+F206)</f>
        <v>0</v>
      </c>
      <c r="H206" s="55" t="n">
        <f aca="false">MAX(0,MIN(E206+F206-G206,$D206))</f>
        <v>0</v>
      </c>
      <c r="I206" s="55" t="n">
        <f aca="false">G206+H206</f>
        <v>0</v>
      </c>
      <c r="J206" s="55" t="n">
        <f aca="false">ROUND(MAX(0,J205+K205-N205),2)</f>
        <v>0</v>
      </c>
      <c r="K206" s="55" t="n">
        <f aca="false">ROUND(J206*$E$6/12,2)</f>
        <v>0</v>
      </c>
      <c r="L206" s="55" t="n">
        <f aca="false">MIN($F$6,J206+K206)</f>
        <v>0</v>
      </c>
      <c r="M206" s="55" t="n">
        <f aca="false">MAX(0,MIN(J206+K206-L206,$D206-(H206)))</f>
        <v>0</v>
      </c>
      <c r="N206" s="55" t="n">
        <f aca="false">L206+M206</f>
        <v>0</v>
      </c>
      <c r="O206" s="55" t="n">
        <f aca="false">ROUND(MAX(0,O205+P205-S205),2)</f>
        <v>0</v>
      </c>
      <c r="P206" s="55" t="n">
        <f aca="false">ROUND(O206*$E$7/12,2)</f>
        <v>0</v>
      </c>
      <c r="Q206" s="55" t="n">
        <f aca="false">MIN($F$7,O206+P206)</f>
        <v>0</v>
      </c>
      <c r="R206" s="55" t="n">
        <f aca="false">MAX(0,MIN(O206+P206-Q206,$D206-(H206+M206)))</f>
        <v>0</v>
      </c>
      <c r="S206" s="55" t="n">
        <f aca="false">Q206+R206</f>
        <v>0</v>
      </c>
      <c r="T206" s="55" t="n">
        <f aca="false">ROUND(MAX(0,T205+U205-X205),2)</f>
        <v>0</v>
      </c>
      <c r="U206" s="55" t="n">
        <f aca="false">ROUND(T206*$E$8/12,2)</f>
        <v>0</v>
      </c>
      <c r="V206" s="55" t="n">
        <f aca="false">MIN($F$8,T206+U206)</f>
        <v>0</v>
      </c>
      <c r="W206" s="55" t="n">
        <f aca="false">MAX(0,MIN(T206+U206-V206,$D206-(H206+M206+R206)))</f>
        <v>0</v>
      </c>
      <c r="X206" s="55" t="n">
        <f aca="false">V206+W206</f>
        <v>0</v>
      </c>
      <c r="Y206" s="55" t="n">
        <f aca="false">ROUND(MAX(0,Y205+Z205-AC205),2)</f>
        <v>0</v>
      </c>
      <c r="Z206" s="55" t="n">
        <f aca="false">ROUND(Y206*$E$9/12,2)</f>
        <v>0</v>
      </c>
      <c r="AA206" s="55" t="n">
        <f aca="false">MIN($F$9,Y206+Z206)</f>
        <v>0</v>
      </c>
      <c r="AB206" s="55" t="n">
        <f aca="false">MAX(0,MIN(Y206+Z206-AA206,$D206-(H206+M206+R206+W206)))</f>
        <v>0</v>
      </c>
      <c r="AC206" s="55" t="n">
        <f aca="false">AA206+AB206</f>
        <v>0</v>
      </c>
      <c r="AD206" s="55" t="n">
        <f aca="false">ROUND(MAX(0,AD205+AE205-AH205),2)</f>
        <v>0</v>
      </c>
      <c r="AE206" s="55" t="n">
        <f aca="false">ROUND(AD206*$E$10/12,2)</f>
        <v>0</v>
      </c>
      <c r="AF206" s="55" t="n">
        <f aca="false">MIN($F$10,AD206+AE206)</f>
        <v>0</v>
      </c>
      <c r="AG206" s="55" t="n">
        <f aca="false">MAX(0,MIN(AD206+AE206-AF206,$D206-(H206+M206+R206+W206+AB206)))</f>
        <v>0</v>
      </c>
      <c r="AH206" s="55" t="n">
        <f aca="false">AF206+AG206</f>
        <v>0</v>
      </c>
      <c r="AI206" s="55" t="n">
        <f aca="false">ROUND(MAX(0,AI205+AJ205-AM205),2)</f>
        <v>0</v>
      </c>
      <c r="AJ206" s="55" t="n">
        <f aca="false">ROUND(AI206*$E$11/12,2)</f>
        <v>0</v>
      </c>
      <c r="AK206" s="55" t="n">
        <f aca="false">MIN($F$11,AI206+AJ206)</f>
        <v>0</v>
      </c>
      <c r="AL206" s="55" t="n">
        <f aca="false">MAX(0,MIN(AI206+AJ206-AK206,$D206-(H206+M206+R206+W206+AB206+AG206)))</f>
        <v>0</v>
      </c>
      <c r="AM206" s="55" t="n">
        <f aca="false">AK206+AL206</f>
        <v>0</v>
      </c>
      <c r="AN206" s="55" t="n">
        <f aca="false">ROUND(MAX(0,AN205+AO205-AR205),2)</f>
        <v>0</v>
      </c>
      <c r="AO206" s="55" t="n">
        <f aca="false">ROUND(AN206*$E$12/12,2)</f>
        <v>0</v>
      </c>
      <c r="AP206" s="55" t="n">
        <f aca="false">MIN($F$12,AN206+AO206)</f>
        <v>0</v>
      </c>
      <c r="AQ206" s="55" t="n">
        <f aca="false">MAX(0,MIN(AN206+AO206-AP206,$D206-(H206+M206+R206+W206+AB206+AG206+AL206)))</f>
        <v>0</v>
      </c>
      <c r="AR206" s="55" t="n">
        <f aca="false">AP206+AQ206</f>
        <v>0</v>
      </c>
      <c r="AS206" s="55" t="n">
        <f aca="false">ROUND(MAX(0,AS205+AT205-AW205),2)</f>
        <v>0</v>
      </c>
      <c r="AT206" s="55" t="n">
        <f aca="false">ROUND(AS206*$E$13/12,2)</f>
        <v>0</v>
      </c>
      <c r="AU206" s="55" t="n">
        <f aca="false">MIN($F$13,AS206+AT206)</f>
        <v>0</v>
      </c>
      <c r="AV206" s="55" t="n">
        <f aca="false">MAX(0,MIN(AS206+AT206-AU206,$D206-(H206+M206+R206+W206+AB206+AG206+AL206+AQ206)))</f>
        <v>0</v>
      </c>
      <c r="AW206" s="55" t="n">
        <f aca="false">AU206+AV206</f>
        <v>0</v>
      </c>
      <c r="AX206" s="55" t="n">
        <f aca="false">ROUND(MAX(0,AX205+AY205-BB205),2)</f>
        <v>0</v>
      </c>
      <c r="AY206" s="55" t="n">
        <f aca="false">ROUND(AX206*$E$14/12,2)</f>
        <v>0</v>
      </c>
      <c r="AZ206" s="55" t="n">
        <f aca="false">MIN($F$14,AX206+AY206)</f>
        <v>0</v>
      </c>
      <c r="BA206" s="55" t="n">
        <f aca="false">MAX(0,MIN(AX206+AY206-AZ206,$D206-(H206+M206+R206+W206+AB206+AG206+AL206+AQ206+AV206)))</f>
        <v>0</v>
      </c>
      <c r="BB206" s="55" t="n">
        <f aca="false">AZ206+BA206</f>
        <v>0</v>
      </c>
      <c r="BC206" s="55" t="n">
        <f aca="false">I206+N206+S206+X206+AC206+AH206+AM206+AR206+AW206+BB206</f>
        <v>0</v>
      </c>
      <c r="BD206" s="55" t="n">
        <f aca="false">ROUND((E206+F206-I206)+(J206+K206-N206)+(O206+P206-S206)+(T206+U206-X206)+(Y206+Z206-AC206)+(AD206+AE206-AH206)+(AI206+AJ206-AM206)+(AN206+AO206-AR206)+(AS206+AT206-AW206)+(AX206+AY206-BB206),2)</f>
        <v>0</v>
      </c>
      <c r="BE206" s="25" t="str">
        <f aca="false">IF(H206&gt;0.005,$C$5,IF(M206&gt;0.005,$C$6,IF(R206&gt;0.005,$C$7,IF(W206&gt;0.005,$C$8,IF(AB206&gt;0.005,$C$9,IF(AG206&gt;0.005,$C$10,IF(AL206&gt;0.005,$C$11,IF(AQ206&gt;0.005,$C$12,IF(AV206&gt;0.005,$C$13,IF(BA206&gt;0.005,$C$14,""))))))))))</f>
        <v/>
      </c>
    </row>
    <row r="207" customFormat="false" ht="15" hidden="false" customHeight="false" outlineLevel="0" collapsed="false">
      <c r="A207" s="24" t="n">
        <v>184</v>
      </c>
      <c r="B207" s="54" t="n">
        <f aca="false">EDATE($C$17,A207-1)</f>
        <v>51898</v>
      </c>
      <c r="C207" s="55" t="n">
        <f aca="false">G207+L207+Q207+V207+AA207+AF207+AK207+AP207+AU207+AZ207</f>
        <v>0</v>
      </c>
      <c r="D207" s="55" t="n">
        <f aca="false">MAX(0,$C$16-C207)</f>
        <v>5822</v>
      </c>
      <c r="E207" s="55" t="n">
        <f aca="false">ROUND(MAX(0,E206+F206-I206),2)</f>
        <v>0</v>
      </c>
      <c r="F207" s="55" t="n">
        <f aca="false">ROUND(E207*$E$5/12,2)</f>
        <v>0</v>
      </c>
      <c r="G207" s="55" t="n">
        <f aca="false">MIN($F$5,E207+F207)</f>
        <v>0</v>
      </c>
      <c r="H207" s="55" t="n">
        <f aca="false">MAX(0,MIN(E207+F207-G207,$D207))</f>
        <v>0</v>
      </c>
      <c r="I207" s="55" t="n">
        <f aca="false">G207+H207</f>
        <v>0</v>
      </c>
      <c r="J207" s="55" t="n">
        <f aca="false">ROUND(MAX(0,J206+K206-N206),2)</f>
        <v>0</v>
      </c>
      <c r="K207" s="55" t="n">
        <f aca="false">ROUND(J207*$E$6/12,2)</f>
        <v>0</v>
      </c>
      <c r="L207" s="55" t="n">
        <f aca="false">MIN($F$6,J207+K207)</f>
        <v>0</v>
      </c>
      <c r="M207" s="55" t="n">
        <f aca="false">MAX(0,MIN(J207+K207-L207,$D207-(H207)))</f>
        <v>0</v>
      </c>
      <c r="N207" s="55" t="n">
        <f aca="false">L207+M207</f>
        <v>0</v>
      </c>
      <c r="O207" s="55" t="n">
        <f aca="false">ROUND(MAX(0,O206+P206-S206),2)</f>
        <v>0</v>
      </c>
      <c r="P207" s="55" t="n">
        <f aca="false">ROUND(O207*$E$7/12,2)</f>
        <v>0</v>
      </c>
      <c r="Q207" s="55" t="n">
        <f aca="false">MIN($F$7,O207+P207)</f>
        <v>0</v>
      </c>
      <c r="R207" s="55" t="n">
        <f aca="false">MAX(0,MIN(O207+P207-Q207,$D207-(H207+M207)))</f>
        <v>0</v>
      </c>
      <c r="S207" s="55" t="n">
        <f aca="false">Q207+R207</f>
        <v>0</v>
      </c>
      <c r="T207" s="55" t="n">
        <f aca="false">ROUND(MAX(0,T206+U206-X206),2)</f>
        <v>0</v>
      </c>
      <c r="U207" s="55" t="n">
        <f aca="false">ROUND(T207*$E$8/12,2)</f>
        <v>0</v>
      </c>
      <c r="V207" s="55" t="n">
        <f aca="false">MIN($F$8,T207+U207)</f>
        <v>0</v>
      </c>
      <c r="W207" s="55" t="n">
        <f aca="false">MAX(0,MIN(T207+U207-V207,$D207-(H207+M207+R207)))</f>
        <v>0</v>
      </c>
      <c r="X207" s="55" t="n">
        <f aca="false">V207+W207</f>
        <v>0</v>
      </c>
      <c r="Y207" s="55" t="n">
        <f aca="false">ROUND(MAX(0,Y206+Z206-AC206),2)</f>
        <v>0</v>
      </c>
      <c r="Z207" s="55" t="n">
        <f aca="false">ROUND(Y207*$E$9/12,2)</f>
        <v>0</v>
      </c>
      <c r="AA207" s="55" t="n">
        <f aca="false">MIN($F$9,Y207+Z207)</f>
        <v>0</v>
      </c>
      <c r="AB207" s="55" t="n">
        <f aca="false">MAX(0,MIN(Y207+Z207-AA207,$D207-(H207+M207+R207+W207)))</f>
        <v>0</v>
      </c>
      <c r="AC207" s="55" t="n">
        <f aca="false">AA207+AB207</f>
        <v>0</v>
      </c>
      <c r="AD207" s="55" t="n">
        <f aca="false">ROUND(MAX(0,AD206+AE206-AH206),2)</f>
        <v>0</v>
      </c>
      <c r="AE207" s="55" t="n">
        <f aca="false">ROUND(AD207*$E$10/12,2)</f>
        <v>0</v>
      </c>
      <c r="AF207" s="55" t="n">
        <f aca="false">MIN($F$10,AD207+AE207)</f>
        <v>0</v>
      </c>
      <c r="AG207" s="55" t="n">
        <f aca="false">MAX(0,MIN(AD207+AE207-AF207,$D207-(H207+M207+R207+W207+AB207)))</f>
        <v>0</v>
      </c>
      <c r="AH207" s="55" t="n">
        <f aca="false">AF207+AG207</f>
        <v>0</v>
      </c>
      <c r="AI207" s="55" t="n">
        <f aca="false">ROUND(MAX(0,AI206+AJ206-AM206),2)</f>
        <v>0</v>
      </c>
      <c r="AJ207" s="55" t="n">
        <f aca="false">ROUND(AI207*$E$11/12,2)</f>
        <v>0</v>
      </c>
      <c r="AK207" s="55" t="n">
        <f aca="false">MIN($F$11,AI207+AJ207)</f>
        <v>0</v>
      </c>
      <c r="AL207" s="55" t="n">
        <f aca="false">MAX(0,MIN(AI207+AJ207-AK207,$D207-(H207+M207+R207+W207+AB207+AG207)))</f>
        <v>0</v>
      </c>
      <c r="AM207" s="55" t="n">
        <f aca="false">AK207+AL207</f>
        <v>0</v>
      </c>
      <c r="AN207" s="55" t="n">
        <f aca="false">ROUND(MAX(0,AN206+AO206-AR206),2)</f>
        <v>0</v>
      </c>
      <c r="AO207" s="55" t="n">
        <f aca="false">ROUND(AN207*$E$12/12,2)</f>
        <v>0</v>
      </c>
      <c r="AP207" s="55" t="n">
        <f aca="false">MIN($F$12,AN207+AO207)</f>
        <v>0</v>
      </c>
      <c r="AQ207" s="55" t="n">
        <f aca="false">MAX(0,MIN(AN207+AO207-AP207,$D207-(H207+M207+R207+W207+AB207+AG207+AL207)))</f>
        <v>0</v>
      </c>
      <c r="AR207" s="55" t="n">
        <f aca="false">AP207+AQ207</f>
        <v>0</v>
      </c>
      <c r="AS207" s="55" t="n">
        <f aca="false">ROUND(MAX(0,AS206+AT206-AW206),2)</f>
        <v>0</v>
      </c>
      <c r="AT207" s="55" t="n">
        <f aca="false">ROUND(AS207*$E$13/12,2)</f>
        <v>0</v>
      </c>
      <c r="AU207" s="55" t="n">
        <f aca="false">MIN($F$13,AS207+AT207)</f>
        <v>0</v>
      </c>
      <c r="AV207" s="55" t="n">
        <f aca="false">MAX(0,MIN(AS207+AT207-AU207,$D207-(H207+M207+R207+W207+AB207+AG207+AL207+AQ207)))</f>
        <v>0</v>
      </c>
      <c r="AW207" s="55" t="n">
        <f aca="false">AU207+AV207</f>
        <v>0</v>
      </c>
      <c r="AX207" s="55" t="n">
        <f aca="false">ROUND(MAX(0,AX206+AY206-BB206),2)</f>
        <v>0</v>
      </c>
      <c r="AY207" s="55" t="n">
        <f aca="false">ROUND(AX207*$E$14/12,2)</f>
        <v>0</v>
      </c>
      <c r="AZ207" s="55" t="n">
        <f aca="false">MIN($F$14,AX207+AY207)</f>
        <v>0</v>
      </c>
      <c r="BA207" s="55" t="n">
        <f aca="false">MAX(0,MIN(AX207+AY207-AZ207,$D207-(H207+M207+R207+W207+AB207+AG207+AL207+AQ207+AV207)))</f>
        <v>0</v>
      </c>
      <c r="BB207" s="55" t="n">
        <f aca="false">AZ207+BA207</f>
        <v>0</v>
      </c>
      <c r="BC207" s="55" t="n">
        <f aca="false">I207+N207+S207+X207+AC207+AH207+AM207+AR207+AW207+BB207</f>
        <v>0</v>
      </c>
      <c r="BD207" s="55" t="n">
        <f aca="false">ROUND((E207+F207-I207)+(J207+K207-N207)+(O207+P207-S207)+(T207+U207-X207)+(Y207+Z207-AC207)+(AD207+AE207-AH207)+(AI207+AJ207-AM207)+(AN207+AO207-AR207)+(AS207+AT207-AW207)+(AX207+AY207-BB207),2)</f>
        <v>0</v>
      </c>
      <c r="BE207" s="25" t="str">
        <f aca="false">IF(H207&gt;0.005,$C$5,IF(M207&gt;0.005,$C$6,IF(R207&gt;0.005,$C$7,IF(W207&gt;0.005,$C$8,IF(AB207&gt;0.005,$C$9,IF(AG207&gt;0.005,$C$10,IF(AL207&gt;0.005,$C$11,IF(AQ207&gt;0.005,$C$12,IF(AV207&gt;0.005,$C$13,IF(BA207&gt;0.005,$C$14,""))))))))))</f>
        <v/>
      </c>
    </row>
    <row r="208" customFormat="false" ht="15" hidden="false" customHeight="false" outlineLevel="0" collapsed="false">
      <c r="A208" s="24" t="n">
        <v>185</v>
      </c>
      <c r="B208" s="54" t="n">
        <f aca="false">EDATE($C$17,A208-1)</f>
        <v>51926</v>
      </c>
      <c r="C208" s="55" t="n">
        <f aca="false">G208+L208+Q208+V208+AA208+AF208+AK208+AP208+AU208+AZ208</f>
        <v>0</v>
      </c>
      <c r="D208" s="55" t="n">
        <f aca="false">MAX(0,$C$16-C208)</f>
        <v>5822</v>
      </c>
      <c r="E208" s="55" t="n">
        <f aca="false">ROUND(MAX(0,E207+F207-I207),2)</f>
        <v>0</v>
      </c>
      <c r="F208" s="55" t="n">
        <f aca="false">ROUND(E208*$E$5/12,2)</f>
        <v>0</v>
      </c>
      <c r="G208" s="55" t="n">
        <f aca="false">MIN($F$5,E208+F208)</f>
        <v>0</v>
      </c>
      <c r="H208" s="55" t="n">
        <f aca="false">MAX(0,MIN(E208+F208-G208,$D208))</f>
        <v>0</v>
      </c>
      <c r="I208" s="55" t="n">
        <f aca="false">G208+H208</f>
        <v>0</v>
      </c>
      <c r="J208" s="55" t="n">
        <f aca="false">ROUND(MAX(0,J207+K207-N207),2)</f>
        <v>0</v>
      </c>
      <c r="K208" s="55" t="n">
        <f aca="false">ROUND(J208*$E$6/12,2)</f>
        <v>0</v>
      </c>
      <c r="L208" s="55" t="n">
        <f aca="false">MIN($F$6,J208+K208)</f>
        <v>0</v>
      </c>
      <c r="M208" s="55" t="n">
        <f aca="false">MAX(0,MIN(J208+K208-L208,$D208-(H208)))</f>
        <v>0</v>
      </c>
      <c r="N208" s="55" t="n">
        <f aca="false">L208+M208</f>
        <v>0</v>
      </c>
      <c r="O208" s="55" t="n">
        <f aca="false">ROUND(MAX(0,O207+P207-S207),2)</f>
        <v>0</v>
      </c>
      <c r="P208" s="55" t="n">
        <f aca="false">ROUND(O208*$E$7/12,2)</f>
        <v>0</v>
      </c>
      <c r="Q208" s="55" t="n">
        <f aca="false">MIN($F$7,O208+P208)</f>
        <v>0</v>
      </c>
      <c r="R208" s="55" t="n">
        <f aca="false">MAX(0,MIN(O208+P208-Q208,$D208-(H208+M208)))</f>
        <v>0</v>
      </c>
      <c r="S208" s="55" t="n">
        <f aca="false">Q208+R208</f>
        <v>0</v>
      </c>
      <c r="T208" s="55" t="n">
        <f aca="false">ROUND(MAX(0,T207+U207-X207),2)</f>
        <v>0</v>
      </c>
      <c r="U208" s="55" t="n">
        <f aca="false">ROUND(T208*$E$8/12,2)</f>
        <v>0</v>
      </c>
      <c r="V208" s="55" t="n">
        <f aca="false">MIN($F$8,T208+U208)</f>
        <v>0</v>
      </c>
      <c r="W208" s="55" t="n">
        <f aca="false">MAX(0,MIN(T208+U208-V208,$D208-(H208+M208+R208)))</f>
        <v>0</v>
      </c>
      <c r="X208" s="55" t="n">
        <f aca="false">V208+W208</f>
        <v>0</v>
      </c>
      <c r="Y208" s="55" t="n">
        <f aca="false">ROUND(MAX(0,Y207+Z207-AC207),2)</f>
        <v>0</v>
      </c>
      <c r="Z208" s="55" t="n">
        <f aca="false">ROUND(Y208*$E$9/12,2)</f>
        <v>0</v>
      </c>
      <c r="AA208" s="55" t="n">
        <f aca="false">MIN($F$9,Y208+Z208)</f>
        <v>0</v>
      </c>
      <c r="AB208" s="55" t="n">
        <f aca="false">MAX(0,MIN(Y208+Z208-AA208,$D208-(H208+M208+R208+W208)))</f>
        <v>0</v>
      </c>
      <c r="AC208" s="55" t="n">
        <f aca="false">AA208+AB208</f>
        <v>0</v>
      </c>
      <c r="AD208" s="55" t="n">
        <f aca="false">ROUND(MAX(0,AD207+AE207-AH207),2)</f>
        <v>0</v>
      </c>
      <c r="AE208" s="55" t="n">
        <f aca="false">ROUND(AD208*$E$10/12,2)</f>
        <v>0</v>
      </c>
      <c r="AF208" s="55" t="n">
        <f aca="false">MIN($F$10,AD208+AE208)</f>
        <v>0</v>
      </c>
      <c r="AG208" s="55" t="n">
        <f aca="false">MAX(0,MIN(AD208+AE208-AF208,$D208-(H208+M208+R208+W208+AB208)))</f>
        <v>0</v>
      </c>
      <c r="AH208" s="55" t="n">
        <f aca="false">AF208+AG208</f>
        <v>0</v>
      </c>
      <c r="AI208" s="55" t="n">
        <f aca="false">ROUND(MAX(0,AI207+AJ207-AM207),2)</f>
        <v>0</v>
      </c>
      <c r="AJ208" s="55" t="n">
        <f aca="false">ROUND(AI208*$E$11/12,2)</f>
        <v>0</v>
      </c>
      <c r="AK208" s="55" t="n">
        <f aca="false">MIN($F$11,AI208+AJ208)</f>
        <v>0</v>
      </c>
      <c r="AL208" s="55" t="n">
        <f aca="false">MAX(0,MIN(AI208+AJ208-AK208,$D208-(H208+M208+R208+W208+AB208+AG208)))</f>
        <v>0</v>
      </c>
      <c r="AM208" s="55" t="n">
        <f aca="false">AK208+AL208</f>
        <v>0</v>
      </c>
      <c r="AN208" s="55" t="n">
        <f aca="false">ROUND(MAX(0,AN207+AO207-AR207),2)</f>
        <v>0</v>
      </c>
      <c r="AO208" s="55" t="n">
        <f aca="false">ROUND(AN208*$E$12/12,2)</f>
        <v>0</v>
      </c>
      <c r="AP208" s="55" t="n">
        <f aca="false">MIN($F$12,AN208+AO208)</f>
        <v>0</v>
      </c>
      <c r="AQ208" s="55" t="n">
        <f aca="false">MAX(0,MIN(AN208+AO208-AP208,$D208-(H208+M208+R208+W208+AB208+AG208+AL208)))</f>
        <v>0</v>
      </c>
      <c r="AR208" s="55" t="n">
        <f aca="false">AP208+AQ208</f>
        <v>0</v>
      </c>
      <c r="AS208" s="55" t="n">
        <f aca="false">ROUND(MAX(0,AS207+AT207-AW207),2)</f>
        <v>0</v>
      </c>
      <c r="AT208" s="55" t="n">
        <f aca="false">ROUND(AS208*$E$13/12,2)</f>
        <v>0</v>
      </c>
      <c r="AU208" s="55" t="n">
        <f aca="false">MIN($F$13,AS208+AT208)</f>
        <v>0</v>
      </c>
      <c r="AV208" s="55" t="n">
        <f aca="false">MAX(0,MIN(AS208+AT208-AU208,$D208-(H208+M208+R208+W208+AB208+AG208+AL208+AQ208)))</f>
        <v>0</v>
      </c>
      <c r="AW208" s="55" t="n">
        <f aca="false">AU208+AV208</f>
        <v>0</v>
      </c>
      <c r="AX208" s="55" t="n">
        <f aca="false">ROUND(MAX(0,AX207+AY207-BB207),2)</f>
        <v>0</v>
      </c>
      <c r="AY208" s="55" t="n">
        <f aca="false">ROUND(AX208*$E$14/12,2)</f>
        <v>0</v>
      </c>
      <c r="AZ208" s="55" t="n">
        <f aca="false">MIN($F$14,AX208+AY208)</f>
        <v>0</v>
      </c>
      <c r="BA208" s="55" t="n">
        <f aca="false">MAX(0,MIN(AX208+AY208-AZ208,$D208-(H208+M208+R208+W208+AB208+AG208+AL208+AQ208+AV208)))</f>
        <v>0</v>
      </c>
      <c r="BB208" s="55" t="n">
        <f aca="false">AZ208+BA208</f>
        <v>0</v>
      </c>
      <c r="BC208" s="55" t="n">
        <f aca="false">I208+N208+S208+X208+AC208+AH208+AM208+AR208+AW208+BB208</f>
        <v>0</v>
      </c>
      <c r="BD208" s="55" t="n">
        <f aca="false">ROUND((E208+F208-I208)+(J208+K208-N208)+(O208+P208-S208)+(T208+U208-X208)+(Y208+Z208-AC208)+(AD208+AE208-AH208)+(AI208+AJ208-AM208)+(AN208+AO208-AR208)+(AS208+AT208-AW208)+(AX208+AY208-BB208),2)</f>
        <v>0</v>
      </c>
      <c r="BE208" s="25" t="str">
        <f aca="false">IF(H208&gt;0.005,$C$5,IF(M208&gt;0.005,$C$6,IF(R208&gt;0.005,$C$7,IF(W208&gt;0.005,$C$8,IF(AB208&gt;0.005,$C$9,IF(AG208&gt;0.005,$C$10,IF(AL208&gt;0.005,$C$11,IF(AQ208&gt;0.005,$C$12,IF(AV208&gt;0.005,$C$13,IF(BA208&gt;0.005,$C$14,""))))))))))</f>
        <v/>
      </c>
    </row>
    <row r="209" customFormat="false" ht="15" hidden="false" customHeight="false" outlineLevel="0" collapsed="false">
      <c r="A209" s="24" t="n">
        <v>186</v>
      </c>
      <c r="B209" s="54" t="n">
        <f aca="false">EDATE($C$17,A209-1)</f>
        <v>51957</v>
      </c>
      <c r="C209" s="55" t="n">
        <f aca="false">G209+L209+Q209+V209+AA209+AF209+AK209+AP209+AU209+AZ209</f>
        <v>0</v>
      </c>
      <c r="D209" s="55" t="n">
        <f aca="false">MAX(0,$C$16-C209)</f>
        <v>5822</v>
      </c>
      <c r="E209" s="55" t="n">
        <f aca="false">ROUND(MAX(0,E208+F208-I208),2)</f>
        <v>0</v>
      </c>
      <c r="F209" s="55" t="n">
        <f aca="false">ROUND(E209*$E$5/12,2)</f>
        <v>0</v>
      </c>
      <c r="G209" s="55" t="n">
        <f aca="false">MIN($F$5,E209+F209)</f>
        <v>0</v>
      </c>
      <c r="H209" s="55" t="n">
        <f aca="false">MAX(0,MIN(E209+F209-G209,$D209))</f>
        <v>0</v>
      </c>
      <c r="I209" s="55" t="n">
        <f aca="false">G209+H209</f>
        <v>0</v>
      </c>
      <c r="J209" s="55" t="n">
        <f aca="false">ROUND(MAX(0,J208+K208-N208),2)</f>
        <v>0</v>
      </c>
      <c r="K209" s="55" t="n">
        <f aca="false">ROUND(J209*$E$6/12,2)</f>
        <v>0</v>
      </c>
      <c r="L209" s="55" t="n">
        <f aca="false">MIN($F$6,J209+K209)</f>
        <v>0</v>
      </c>
      <c r="M209" s="55" t="n">
        <f aca="false">MAX(0,MIN(J209+K209-L209,$D209-(H209)))</f>
        <v>0</v>
      </c>
      <c r="N209" s="55" t="n">
        <f aca="false">L209+M209</f>
        <v>0</v>
      </c>
      <c r="O209" s="55" t="n">
        <f aca="false">ROUND(MAX(0,O208+P208-S208),2)</f>
        <v>0</v>
      </c>
      <c r="P209" s="55" t="n">
        <f aca="false">ROUND(O209*$E$7/12,2)</f>
        <v>0</v>
      </c>
      <c r="Q209" s="55" t="n">
        <f aca="false">MIN($F$7,O209+P209)</f>
        <v>0</v>
      </c>
      <c r="R209" s="55" t="n">
        <f aca="false">MAX(0,MIN(O209+P209-Q209,$D209-(H209+M209)))</f>
        <v>0</v>
      </c>
      <c r="S209" s="55" t="n">
        <f aca="false">Q209+R209</f>
        <v>0</v>
      </c>
      <c r="T209" s="55" t="n">
        <f aca="false">ROUND(MAX(0,T208+U208-X208),2)</f>
        <v>0</v>
      </c>
      <c r="U209" s="55" t="n">
        <f aca="false">ROUND(T209*$E$8/12,2)</f>
        <v>0</v>
      </c>
      <c r="V209" s="55" t="n">
        <f aca="false">MIN($F$8,T209+U209)</f>
        <v>0</v>
      </c>
      <c r="W209" s="55" t="n">
        <f aca="false">MAX(0,MIN(T209+U209-V209,$D209-(H209+M209+R209)))</f>
        <v>0</v>
      </c>
      <c r="X209" s="55" t="n">
        <f aca="false">V209+W209</f>
        <v>0</v>
      </c>
      <c r="Y209" s="55" t="n">
        <f aca="false">ROUND(MAX(0,Y208+Z208-AC208),2)</f>
        <v>0</v>
      </c>
      <c r="Z209" s="55" t="n">
        <f aca="false">ROUND(Y209*$E$9/12,2)</f>
        <v>0</v>
      </c>
      <c r="AA209" s="55" t="n">
        <f aca="false">MIN($F$9,Y209+Z209)</f>
        <v>0</v>
      </c>
      <c r="AB209" s="55" t="n">
        <f aca="false">MAX(0,MIN(Y209+Z209-AA209,$D209-(H209+M209+R209+W209)))</f>
        <v>0</v>
      </c>
      <c r="AC209" s="55" t="n">
        <f aca="false">AA209+AB209</f>
        <v>0</v>
      </c>
      <c r="AD209" s="55" t="n">
        <f aca="false">ROUND(MAX(0,AD208+AE208-AH208),2)</f>
        <v>0</v>
      </c>
      <c r="AE209" s="55" t="n">
        <f aca="false">ROUND(AD209*$E$10/12,2)</f>
        <v>0</v>
      </c>
      <c r="AF209" s="55" t="n">
        <f aca="false">MIN($F$10,AD209+AE209)</f>
        <v>0</v>
      </c>
      <c r="AG209" s="55" t="n">
        <f aca="false">MAX(0,MIN(AD209+AE209-AF209,$D209-(H209+M209+R209+W209+AB209)))</f>
        <v>0</v>
      </c>
      <c r="AH209" s="55" t="n">
        <f aca="false">AF209+AG209</f>
        <v>0</v>
      </c>
      <c r="AI209" s="55" t="n">
        <f aca="false">ROUND(MAX(0,AI208+AJ208-AM208),2)</f>
        <v>0</v>
      </c>
      <c r="AJ209" s="55" t="n">
        <f aca="false">ROUND(AI209*$E$11/12,2)</f>
        <v>0</v>
      </c>
      <c r="AK209" s="55" t="n">
        <f aca="false">MIN($F$11,AI209+AJ209)</f>
        <v>0</v>
      </c>
      <c r="AL209" s="55" t="n">
        <f aca="false">MAX(0,MIN(AI209+AJ209-AK209,$D209-(H209+M209+R209+W209+AB209+AG209)))</f>
        <v>0</v>
      </c>
      <c r="AM209" s="55" t="n">
        <f aca="false">AK209+AL209</f>
        <v>0</v>
      </c>
      <c r="AN209" s="55" t="n">
        <f aca="false">ROUND(MAX(0,AN208+AO208-AR208),2)</f>
        <v>0</v>
      </c>
      <c r="AO209" s="55" t="n">
        <f aca="false">ROUND(AN209*$E$12/12,2)</f>
        <v>0</v>
      </c>
      <c r="AP209" s="55" t="n">
        <f aca="false">MIN($F$12,AN209+AO209)</f>
        <v>0</v>
      </c>
      <c r="AQ209" s="55" t="n">
        <f aca="false">MAX(0,MIN(AN209+AO209-AP209,$D209-(H209+M209+R209+W209+AB209+AG209+AL209)))</f>
        <v>0</v>
      </c>
      <c r="AR209" s="55" t="n">
        <f aca="false">AP209+AQ209</f>
        <v>0</v>
      </c>
      <c r="AS209" s="55" t="n">
        <f aca="false">ROUND(MAX(0,AS208+AT208-AW208),2)</f>
        <v>0</v>
      </c>
      <c r="AT209" s="55" t="n">
        <f aca="false">ROUND(AS209*$E$13/12,2)</f>
        <v>0</v>
      </c>
      <c r="AU209" s="55" t="n">
        <f aca="false">MIN($F$13,AS209+AT209)</f>
        <v>0</v>
      </c>
      <c r="AV209" s="55" t="n">
        <f aca="false">MAX(0,MIN(AS209+AT209-AU209,$D209-(H209+M209+R209+W209+AB209+AG209+AL209+AQ209)))</f>
        <v>0</v>
      </c>
      <c r="AW209" s="55" t="n">
        <f aca="false">AU209+AV209</f>
        <v>0</v>
      </c>
      <c r="AX209" s="55" t="n">
        <f aca="false">ROUND(MAX(0,AX208+AY208-BB208),2)</f>
        <v>0</v>
      </c>
      <c r="AY209" s="55" t="n">
        <f aca="false">ROUND(AX209*$E$14/12,2)</f>
        <v>0</v>
      </c>
      <c r="AZ209" s="55" t="n">
        <f aca="false">MIN($F$14,AX209+AY209)</f>
        <v>0</v>
      </c>
      <c r="BA209" s="55" t="n">
        <f aca="false">MAX(0,MIN(AX209+AY209-AZ209,$D209-(H209+M209+R209+W209+AB209+AG209+AL209+AQ209+AV209)))</f>
        <v>0</v>
      </c>
      <c r="BB209" s="55" t="n">
        <f aca="false">AZ209+BA209</f>
        <v>0</v>
      </c>
      <c r="BC209" s="55" t="n">
        <f aca="false">I209+N209+S209+X209+AC209+AH209+AM209+AR209+AW209+BB209</f>
        <v>0</v>
      </c>
      <c r="BD209" s="55" t="n">
        <f aca="false">ROUND((E209+F209-I209)+(J209+K209-N209)+(O209+P209-S209)+(T209+U209-X209)+(Y209+Z209-AC209)+(AD209+AE209-AH209)+(AI209+AJ209-AM209)+(AN209+AO209-AR209)+(AS209+AT209-AW209)+(AX209+AY209-BB209),2)</f>
        <v>0</v>
      </c>
      <c r="BE209" s="25" t="str">
        <f aca="false">IF(H209&gt;0.005,$C$5,IF(M209&gt;0.005,$C$6,IF(R209&gt;0.005,$C$7,IF(W209&gt;0.005,$C$8,IF(AB209&gt;0.005,$C$9,IF(AG209&gt;0.005,$C$10,IF(AL209&gt;0.005,$C$11,IF(AQ209&gt;0.005,$C$12,IF(AV209&gt;0.005,$C$13,IF(BA209&gt;0.005,$C$14,""))))))))))</f>
        <v/>
      </c>
    </row>
    <row r="210" customFormat="false" ht="15" hidden="false" customHeight="false" outlineLevel="0" collapsed="false">
      <c r="A210" s="24" t="n">
        <v>187</v>
      </c>
      <c r="B210" s="54" t="n">
        <f aca="false">EDATE($C$17,A210-1)</f>
        <v>51987</v>
      </c>
      <c r="C210" s="55" t="n">
        <f aca="false">G210+L210+Q210+V210+AA210+AF210+AK210+AP210+AU210+AZ210</f>
        <v>0</v>
      </c>
      <c r="D210" s="55" t="n">
        <f aca="false">MAX(0,$C$16-C210)</f>
        <v>5822</v>
      </c>
      <c r="E210" s="55" t="n">
        <f aca="false">ROUND(MAX(0,E209+F209-I209),2)</f>
        <v>0</v>
      </c>
      <c r="F210" s="55" t="n">
        <f aca="false">ROUND(E210*$E$5/12,2)</f>
        <v>0</v>
      </c>
      <c r="G210" s="55" t="n">
        <f aca="false">MIN($F$5,E210+F210)</f>
        <v>0</v>
      </c>
      <c r="H210" s="55" t="n">
        <f aca="false">MAX(0,MIN(E210+F210-G210,$D210))</f>
        <v>0</v>
      </c>
      <c r="I210" s="55" t="n">
        <f aca="false">G210+H210</f>
        <v>0</v>
      </c>
      <c r="J210" s="55" t="n">
        <f aca="false">ROUND(MAX(0,J209+K209-N209),2)</f>
        <v>0</v>
      </c>
      <c r="K210" s="55" t="n">
        <f aca="false">ROUND(J210*$E$6/12,2)</f>
        <v>0</v>
      </c>
      <c r="L210" s="55" t="n">
        <f aca="false">MIN($F$6,J210+K210)</f>
        <v>0</v>
      </c>
      <c r="M210" s="55" t="n">
        <f aca="false">MAX(0,MIN(J210+K210-L210,$D210-(H210)))</f>
        <v>0</v>
      </c>
      <c r="N210" s="55" t="n">
        <f aca="false">L210+M210</f>
        <v>0</v>
      </c>
      <c r="O210" s="55" t="n">
        <f aca="false">ROUND(MAX(0,O209+P209-S209),2)</f>
        <v>0</v>
      </c>
      <c r="P210" s="55" t="n">
        <f aca="false">ROUND(O210*$E$7/12,2)</f>
        <v>0</v>
      </c>
      <c r="Q210" s="55" t="n">
        <f aca="false">MIN($F$7,O210+P210)</f>
        <v>0</v>
      </c>
      <c r="R210" s="55" t="n">
        <f aca="false">MAX(0,MIN(O210+P210-Q210,$D210-(H210+M210)))</f>
        <v>0</v>
      </c>
      <c r="S210" s="55" t="n">
        <f aca="false">Q210+R210</f>
        <v>0</v>
      </c>
      <c r="T210" s="55" t="n">
        <f aca="false">ROUND(MAX(0,T209+U209-X209),2)</f>
        <v>0</v>
      </c>
      <c r="U210" s="55" t="n">
        <f aca="false">ROUND(T210*$E$8/12,2)</f>
        <v>0</v>
      </c>
      <c r="V210" s="55" t="n">
        <f aca="false">MIN($F$8,T210+U210)</f>
        <v>0</v>
      </c>
      <c r="W210" s="55" t="n">
        <f aca="false">MAX(0,MIN(T210+U210-V210,$D210-(H210+M210+R210)))</f>
        <v>0</v>
      </c>
      <c r="X210" s="55" t="n">
        <f aca="false">V210+W210</f>
        <v>0</v>
      </c>
      <c r="Y210" s="55" t="n">
        <f aca="false">ROUND(MAX(0,Y209+Z209-AC209),2)</f>
        <v>0</v>
      </c>
      <c r="Z210" s="55" t="n">
        <f aca="false">ROUND(Y210*$E$9/12,2)</f>
        <v>0</v>
      </c>
      <c r="AA210" s="55" t="n">
        <f aca="false">MIN($F$9,Y210+Z210)</f>
        <v>0</v>
      </c>
      <c r="AB210" s="55" t="n">
        <f aca="false">MAX(0,MIN(Y210+Z210-AA210,$D210-(H210+M210+R210+W210)))</f>
        <v>0</v>
      </c>
      <c r="AC210" s="55" t="n">
        <f aca="false">AA210+AB210</f>
        <v>0</v>
      </c>
      <c r="AD210" s="55" t="n">
        <f aca="false">ROUND(MAX(0,AD209+AE209-AH209),2)</f>
        <v>0</v>
      </c>
      <c r="AE210" s="55" t="n">
        <f aca="false">ROUND(AD210*$E$10/12,2)</f>
        <v>0</v>
      </c>
      <c r="AF210" s="55" t="n">
        <f aca="false">MIN($F$10,AD210+AE210)</f>
        <v>0</v>
      </c>
      <c r="AG210" s="55" t="n">
        <f aca="false">MAX(0,MIN(AD210+AE210-AF210,$D210-(H210+M210+R210+W210+AB210)))</f>
        <v>0</v>
      </c>
      <c r="AH210" s="55" t="n">
        <f aca="false">AF210+AG210</f>
        <v>0</v>
      </c>
      <c r="AI210" s="55" t="n">
        <f aca="false">ROUND(MAX(0,AI209+AJ209-AM209),2)</f>
        <v>0</v>
      </c>
      <c r="AJ210" s="55" t="n">
        <f aca="false">ROUND(AI210*$E$11/12,2)</f>
        <v>0</v>
      </c>
      <c r="AK210" s="55" t="n">
        <f aca="false">MIN($F$11,AI210+AJ210)</f>
        <v>0</v>
      </c>
      <c r="AL210" s="55" t="n">
        <f aca="false">MAX(0,MIN(AI210+AJ210-AK210,$D210-(H210+M210+R210+W210+AB210+AG210)))</f>
        <v>0</v>
      </c>
      <c r="AM210" s="55" t="n">
        <f aca="false">AK210+AL210</f>
        <v>0</v>
      </c>
      <c r="AN210" s="55" t="n">
        <f aca="false">ROUND(MAX(0,AN209+AO209-AR209),2)</f>
        <v>0</v>
      </c>
      <c r="AO210" s="55" t="n">
        <f aca="false">ROUND(AN210*$E$12/12,2)</f>
        <v>0</v>
      </c>
      <c r="AP210" s="55" t="n">
        <f aca="false">MIN($F$12,AN210+AO210)</f>
        <v>0</v>
      </c>
      <c r="AQ210" s="55" t="n">
        <f aca="false">MAX(0,MIN(AN210+AO210-AP210,$D210-(H210+M210+R210+W210+AB210+AG210+AL210)))</f>
        <v>0</v>
      </c>
      <c r="AR210" s="55" t="n">
        <f aca="false">AP210+AQ210</f>
        <v>0</v>
      </c>
      <c r="AS210" s="55" t="n">
        <f aca="false">ROUND(MAX(0,AS209+AT209-AW209),2)</f>
        <v>0</v>
      </c>
      <c r="AT210" s="55" t="n">
        <f aca="false">ROUND(AS210*$E$13/12,2)</f>
        <v>0</v>
      </c>
      <c r="AU210" s="55" t="n">
        <f aca="false">MIN($F$13,AS210+AT210)</f>
        <v>0</v>
      </c>
      <c r="AV210" s="55" t="n">
        <f aca="false">MAX(0,MIN(AS210+AT210-AU210,$D210-(H210+M210+R210+W210+AB210+AG210+AL210+AQ210)))</f>
        <v>0</v>
      </c>
      <c r="AW210" s="55" t="n">
        <f aca="false">AU210+AV210</f>
        <v>0</v>
      </c>
      <c r="AX210" s="55" t="n">
        <f aca="false">ROUND(MAX(0,AX209+AY209-BB209),2)</f>
        <v>0</v>
      </c>
      <c r="AY210" s="55" t="n">
        <f aca="false">ROUND(AX210*$E$14/12,2)</f>
        <v>0</v>
      </c>
      <c r="AZ210" s="55" t="n">
        <f aca="false">MIN($F$14,AX210+AY210)</f>
        <v>0</v>
      </c>
      <c r="BA210" s="55" t="n">
        <f aca="false">MAX(0,MIN(AX210+AY210-AZ210,$D210-(H210+M210+R210+W210+AB210+AG210+AL210+AQ210+AV210)))</f>
        <v>0</v>
      </c>
      <c r="BB210" s="55" t="n">
        <f aca="false">AZ210+BA210</f>
        <v>0</v>
      </c>
      <c r="BC210" s="55" t="n">
        <f aca="false">I210+N210+S210+X210+AC210+AH210+AM210+AR210+AW210+BB210</f>
        <v>0</v>
      </c>
      <c r="BD210" s="55" t="n">
        <f aca="false">ROUND((E210+F210-I210)+(J210+K210-N210)+(O210+P210-S210)+(T210+U210-X210)+(Y210+Z210-AC210)+(AD210+AE210-AH210)+(AI210+AJ210-AM210)+(AN210+AO210-AR210)+(AS210+AT210-AW210)+(AX210+AY210-BB210),2)</f>
        <v>0</v>
      </c>
      <c r="BE210" s="25" t="str">
        <f aca="false">IF(H210&gt;0.005,$C$5,IF(M210&gt;0.005,$C$6,IF(R210&gt;0.005,$C$7,IF(W210&gt;0.005,$C$8,IF(AB210&gt;0.005,$C$9,IF(AG210&gt;0.005,$C$10,IF(AL210&gt;0.005,$C$11,IF(AQ210&gt;0.005,$C$12,IF(AV210&gt;0.005,$C$13,IF(BA210&gt;0.005,$C$14,""))))))))))</f>
        <v/>
      </c>
    </row>
    <row r="211" customFormat="false" ht="15" hidden="false" customHeight="false" outlineLevel="0" collapsed="false">
      <c r="A211" s="24" t="n">
        <v>188</v>
      </c>
      <c r="B211" s="54" t="n">
        <f aca="false">EDATE($C$17,A211-1)</f>
        <v>52018</v>
      </c>
      <c r="C211" s="55" t="n">
        <f aca="false">G211+L211+Q211+V211+AA211+AF211+AK211+AP211+AU211+AZ211</f>
        <v>0</v>
      </c>
      <c r="D211" s="55" t="n">
        <f aca="false">MAX(0,$C$16-C211)</f>
        <v>5822</v>
      </c>
      <c r="E211" s="55" t="n">
        <f aca="false">ROUND(MAX(0,E210+F210-I210),2)</f>
        <v>0</v>
      </c>
      <c r="F211" s="55" t="n">
        <f aca="false">ROUND(E211*$E$5/12,2)</f>
        <v>0</v>
      </c>
      <c r="G211" s="55" t="n">
        <f aca="false">MIN($F$5,E211+F211)</f>
        <v>0</v>
      </c>
      <c r="H211" s="55" t="n">
        <f aca="false">MAX(0,MIN(E211+F211-G211,$D211))</f>
        <v>0</v>
      </c>
      <c r="I211" s="55" t="n">
        <f aca="false">G211+H211</f>
        <v>0</v>
      </c>
      <c r="J211" s="55" t="n">
        <f aca="false">ROUND(MAX(0,J210+K210-N210),2)</f>
        <v>0</v>
      </c>
      <c r="K211" s="55" t="n">
        <f aca="false">ROUND(J211*$E$6/12,2)</f>
        <v>0</v>
      </c>
      <c r="L211" s="55" t="n">
        <f aca="false">MIN($F$6,J211+K211)</f>
        <v>0</v>
      </c>
      <c r="M211" s="55" t="n">
        <f aca="false">MAX(0,MIN(J211+K211-L211,$D211-(H211)))</f>
        <v>0</v>
      </c>
      <c r="N211" s="55" t="n">
        <f aca="false">L211+M211</f>
        <v>0</v>
      </c>
      <c r="O211" s="55" t="n">
        <f aca="false">ROUND(MAX(0,O210+P210-S210),2)</f>
        <v>0</v>
      </c>
      <c r="P211" s="55" t="n">
        <f aca="false">ROUND(O211*$E$7/12,2)</f>
        <v>0</v>
      </c>
      <c r="Q211" s="55" t="n">
        <f aca="false">MIN($F$7,O211+P211)</f>
        <v>0</v>
      </c>
      <c r="R211" s="55" t="n">
        <f aca="false">MAX(0,MIN(O211+P211-Q211,$D211-(H211+M211)))</f>
        <v>0</v>
      </c>
      <c r="S211" s="55" t="n">
        <f aca="false">Q211+R211</f>
        <v>0</v>
      </c>
      <c r="T211" s="55" t="n">
        <f aca="false">ROUND(MAX(0,T210+U210-X210),2)</f>
        <v>0</v>
      </c>
      <c r="U211" s="55" t="n">
        <f aca="false">ROUND(T211*$E$8/12,2)</f>
        <v>0</v>
      </c>
      <c r="V211" s="55" t="n">
        <f aca="false">MIN($F$8,T211+U211)</f>
        <v>0</v>
      </c>
      <c r="W211" s="55" t="n">
        <f aca="false">MAX(0,MIN(T211+U211-V211,$D211-(H211+M211+R211)))</f>
        <v>0</v>
      </c>
      <c r="X211" s="55" t="n">
        <f aca="false">V211+W211</f>
        <v>0</v>
      </c>
      <c r="Y211" s="55" t="n">
        <f aca="false">ROUND(MAX(0,Y210+Z210-AC210),2)</f>
        <v>0</v>
      </c>
      <c r="Z211" s="55" t="n">
        <f aca="false">ROUND(Y211*$E$9/12,2)</f>
        <v>0</v>
      </c>
      <c r="AA211" s="55" t="n">
        <f aca="false">MIN($F$9,Y211+Z211)</f>
        <v>0</v>
      </c>
      <c r="AB211" s="55" t="n">
        <f aca="false">MAX(0,MIN(Y211+Z211-AA211,$D211-(H211+M211+R211+W211)))</f>
        <v>0</v>
      </c>
      <c r="AC211" s="55" t="n">
        <f aca="false">AA211+AB211</f>
        <v>0</v>
      </c>
      <c r="AD211" s="55" t="n">
        <f aca="false">ROUND(MAX(0,AD210+AE210-AH210),2)</f>
        <v>0</v>
      </c>
      <c r="AE211" s="55" t="n">
        <f aca="false">ROUND(AD211*$E$10/12,2)</f>
        <v>0</v>
      </c>
      <c r="AF211" s="55" t="n">
        <f aca="false">MIN($F$10,AD211+AE211)</f>
        <v>0</v>
      </c>
      <c r="AG211" s="55" t="n">
        <f aca="false">MAX(0,MIN(AD211+AE211-AF211,$D211-(H211+M211+R211+W211+AB211)))</f>
        <v>0</v>
      </c>
      <c r="AH211" s="55" t="n">
        <f aca="false">AF211+AG211</f>
        <v>0</v>
      </c>
      <c r="AI211" s="55" t="n">
        <f aca="false">ROUND(MAX(0,AI210+AJ210-AM210),2)</f>
        <v>0</v>
      </c>
      <c r="AJ211" s="55" t="n">
        <f aca="false">ROUND(AI211*$E$11/12,2)</f>
        <v>0</v>
      </c>
      <c r="AK211" s="55" t="n">
        <f aca="false">MIN($F$11,AI211+AJ211)</f>
        <v>0</v>
      </c>
      <c r="AL211" s="55" t="n">
        <f aca="false">MAX(0,MIN(AI211+AJ211-AK211,$D211-(H211+M211+R211+W211+AB211+AG211)))</f>
        <v>0</v>
      </c>
      <c r="AM211" s="55" t="n">
        <f aca="false">AK211+AL211</f>
        <v>0</v>
      </c>
      <c r="AN211" s="55" t="n">
        <f aca="false">ROUND(MAX(0,AN210+AO210-AR210),2)</f>
        <v>0</v>
      </c>
      <c r="AO211" s="55" t="n">
        <f aca="false">ROUND(AN211*$E$12/12,2)</f>
        <v>0</v>
      </c>
      <c r="AP211" s="55" t="n">
        <f aca="false">MIN($F$12,AN211+AO211)</f>
        <v>0</v>
      </c>
      <c r="AQ211" s="55" t="n">
        <f aca="false">MAX(0,MIN(AN211+AO211-AP211,$D211-(H211+M211+R211+W211+AB211+AG211+AL211)))</f>
        <v>0</v>
      </c>
      <c r="AR211" s="55" t="n">
        <f aca="false">AP211+AQ211</f>
        <v>0</v>
      </c>
      <c r="AS211" s="55" t="n">
        <f aca="false">ROUND(MAX(0,AS210+AT210-AW210),2)</f>
        <v>0</v>
      </c>
      <c r="AT211" s="55" t="n">
        <f aca="false">ROUND(AS211*$E$13/12,2)</f>
        <v>0</v>
      </c>
      <c r="AU211" s="55" t="n">
        <f aca="false">MIN($F$13,AS211+AT211)</f>
        <v>0</v>
      </c>
      <c r="AV211" s="55" t="n">
        <f aca="false">MAX(0,MIN(AS211+AT211-AU211,$D211-(H211+M211+R211+W211+AB211+AG211+AL211+AQ211)))</f>
        <v>0</v>
      </c>
      <c r="AW211" s="55" t="n">
        <f aca="false">AU211+AV211</f>
        <v>0</v>
      </c>
      <c r="AX211" s="55" t="n">
        <f aca="false">ROUND(MAX(0,AX210+AY210-BB210),2)</f>
        <v>0</v>
      </c>
      <c r="AY211" s="55" t="n">
        <f aca="false">ROUND(AX211*$E$14/12,2)</f>
        <v>0</v>
      </c>
      <c r="AZ211" s="55" t="n">
        <f aca="false">MIN($F$14,AX211+AY211)</f>
        <v>0</v>
      </c>
      <c r="BA211" s="55" t="n">
        <f aca="false">MAX(0,MIN(AX211+AY211-AZ211,$D211-(H211+M211+R211+W211+AB211+AG211+AL211+AQ211+AV211)))</f>
        <v>0</v>
      </c>
      <c r="BB211" s="55" t="n">
        <f aca="false">AZ211+BA211</f>
        <v>0</v>
      </c>
      <c r="BC211" s="55" t="n">
        <f aca="false">I211+N211+S211+X211+AC211+AH211+AM211+AR211+AW211+BB211</f>
        <v>0</v>
      </c>
      <c r="BD211" s="55" t="n">
        <f aca="false">ROUND((E211+F211-I211)+(J211+K211-N211)+(O211+P211-S211)+(T211+U211-X211)+(Y211+Z211-AC211)+(AD211+AE211-AH211)+(AI211+AJ211-AM211)+(AN211+AO211-AR211)+(AS211+AT211-AW211)+(AX211+AY211-BB211),2)</f>
        <v>0</v>
      </c>
      <c r="BE211" s="25" t="str">
        <f aca="false">IF(H211&gt;0.005,$C$5,IF(M211&gt;0.005,$C$6,IF(R211&gt;0.005,$C$7,IF(W211&gt;0.005,$C$8,IF(AB211&gt;0.005,$C$9,IF(AG211&gt;0.005,$C$10,IF(AL211&gt;0.005,$C$11,IF(AQ211&gt;0.005,$C$12,IF(AV211&gt;0.005,$C$13,IF(BA211&gt;0.005,$C$14,""))))))))))</f>
        <v/>
      </c>
    </row>
    <row r="212" customFormat="false" ht="15" hidden="false" customHeight="false" outlineLevel="0" collapsed="false">
      <c r="A212" s="24" t="n">
        <v>189</v>
      </c>
      <c r="B212" s="54" t="n">
        <f aca="false">EDATE($C$17,A212-1)</f>
        <v>52048</v>
      </c>
      <c r="C212" s="55" t="n">
        <f aca="false">G212+L212+Q212+V212+AA212+AF212+AK212+AP212+AU212+AZ212</f>
        <v>0</v>
      </c>
      <c r="D212" s="55" t="n">
        <f aca="false">MAX(0,$C$16-C212)</f>
        <v>5822</v>
      </c>
      <c r="E212" s="55" t="n">
        <f aca="false">ROUND(MAX(0,E211+F211-I211),2)</f>
        <v>0</v>
      </c>
      <c r="F212" s="55" t="n">
        <f aca="false">ROUND(E212*$E$5/12,2)</f>
        <v>0</v>
      </c>
      <c r="G212" s="55" t="n">
        <f aca="false">MIN($F$5,E212+F212)</f>
        <v>0</v>
      </c>
      <c r="H212" s="55" t="n">
        <f aca="false">MAX(0,MIN(E212+F212-G212,$D212))</f>
        <v>0</v>
      </c>
      <c r="I212" s="55" t="n">
        <f aca="false">G212+H212</f>
        <v>0</v>
      </c>
      <c r="J212" s="55" t="n">
        <f aca="false">ROUND(MAX(0,J211+K211-N211),2)</f>
        <v>0</v>
      </c>
      <c r="K212" s="55" t="n">
        <f aca="false">ROUND(J212*$E$6/12,2)</f>
        <v>0</v>
      </c>
      <c r="L212" s="55" t="n">
        <f aca="false">MIN($F$6,J212+K212)</f>
        <v>0</v>
      </c>
      <c r="M212" s="55" t="n">
        <f aca="false">MAX(0,MIN(J212+K212-L212,$D212-(H212)))</f>
        <v>0</v>
      </c>
      <c r="N212" s="55" t="n">
        <f aca="false">L212+M212</f>
        <v>0</v>
      </c>
      <c r="O212" s="55" t="n">
        <f aca="false">ROUND(MAX(0,O211+P211-S211),2)</f>
        <v>0</v>
      </c>
      <c r="P212" s="55" t="n">
        <f aca="false">ROUND(O212*$E$7/12,2)</f>
        <v>0</v>
      </c>
      <c r="Q212" s="55" t="n">
        <f aca="false">MIN($F$7,O212+P212)</f>
        <v>0</v>
      </c>
      <c r="R212" s="55" t="n">
        <f aca="false">MAX(0,MIN(O212+P212-Q212,$D212-(H212+M212)))</f>
        <v>0</v>
      </c>
      <c r="S212" s="55" t="n">
        <f aca="false">Q212+R212</f>
        <v>0</v>
      </c>
      <c r="T212" s="55" t="n">
        <f aca="false">ROUND(MAX(0,T211+U211-X211),2)</f>
        <v>0</v>
      </c>
      <c r="U212" s="55" t="n">
        <f aca="false">ROUND(T212*$E$8/12,2)</f>
        <v>0</v>
      </c>
      <c r="V212" s="55" t="n">
        <f aca="false">MIN($F$8,T212+U212)</f>
        <v>0</v>
      </c>
      <c r="W212" s="55" t="n">
        <f aca="false">MAX(0,MIN(T212+U212-V212,$D212-(H212+M212+R212)))</f>
        <v>0</v>
      </c>
      <c r="X212" s="55" t="n">
        <f aca="false">V212+W212</f>
        <v>0</v>
      </c>
      <c r="Y212" s="55" t="n">
        <f aca="false">ROUND(MAX(0,Y211+Z211-AC211),2)</f>
        <v>0</v>
      </c>
      <c r="Z212" s="55" t="n">
        <f aca="false">ROUND(Y212*$E$9/12,2)</f>
        <v>0</v>
      </c>
      <c r="AA212" s="55" t="n">
        <f aca="false">MIN($F$9,Y212+Z212)</f>
        <v>0</v>
      </c>
      <c r="AB212" s="55" t="n">
        <f aca="false">MAX(0,MIN(Y212+Z212-AA212,$D212-(H212+M212+R212+W212)))</f>
        <v>0</v>
      </c>
      <c r="AC212" s="55" t="n">
        <f aca="false">AA212+AB212</f>
        <v>0</v>
      </c>
      <c r="AD212" s="55" t="n">
        <f aca="false">ROUND(MAX(0,AD211+AE211-AH211),2)</f>
        <v>0</v>
      </c>
      <c r="AE212" s="55" t="n">
        <f aca="false">ROUND(AD212*$E$10/12,2)</f>
        <v>0</v>
      </c>
      <c r="AF212" s="55" t="n">
        <f aca="false">MIN($F$10,AD212+AE212)</f>
        <v>0</v>
      </c>
      <c r="AG212" s="55" t="n">
        <f aca="false">MAX(0,MIN(AD212+AE212-AF212,$D212-(H212+M212+R212+W212+AB212)))</f>
        <v>0</v>
      </c>
      <c r="AH212" s="55" t="n">
        <f aca="false">AF212+AG212</f>
        <v>0</v>
      </c>
      <c r="AI212" s="55" t="n">
        <f aca="false">ROUND(MAX(0,AI211+AJ211-AM211),2)</f>
        <v>0</v>
      </c>
      <c r="AJ212" s="55" t="n">
        <f aca="false">ROUND(AI212*$E$11/12,2)</f>
        <v>0</v>
      </c>
      <c r="AK212" s="55" t="n">
        <f aca="false">MIN($F$11,AI212+AJ212)</f>
        <v>0</v>
      </c>
      <c r="AL212" s="55" t="n">
        <f aca="false">MAX(0,MIN(AI212+AJ212-AK212,$D212-(H212+M212+R212+W212+AB212+AG212)))</f>
        <v>0</v>
      </c>
      <c r="AM212" s="55" t="n">
        <f aca="false">AK212+AL212</f>
        <v>0</v>
      </c>
      <c r="AN212" s="55" t="n">
        <f aca="false">ROUND(MAX(0,AN211+AO211-AR211),2)</f>
        <v>0</v>
      </c>
      <c r="AO212" s="55" t="n">
        <f aca="false">ROUND(AN212*$E$12/12,2)</f>
        <v>0</v>
      </c>
      <c r="AP212" s="55" t="n">
        <f aca="false">MIN($F$12,AN212+AO212)</f>
        <v>0</v>
      </c>
      <c r="AQ212" s="55" t="n">
        <f aca="false">MAX(0,MIN(AN212+AO212-AP212,$D212-(H212+M212+R212+W212+AB212+AG212+AL212)))</f>
        <v>0</v>
      </c>
      <c r="AR212" s="55" t="n">
        <f aca="false">AP212+AQ212</f>
        <v>0</v>
      </c>
      <c r="AS212" s="55" t="n">
        <f aca="false">ROUND(MAX(0,AS211+AT211-AW211),2)</f>
        <v>0</v>
      </c>
      <c r="AT212" s="55" t="n">
        <f aca="false">ROUND(AS212*$E$13/12,2)</f>
        <v>0</v>
      </c>
      <c r="AU212" s="55" t="n">
        <f aca="false">MIN($F$13,AS212+AT212)</f>
        <v>0</v>
      </c>
      <c r="AV212" s="55" t="n">
        <f aca="false">MAX(0,MIN(AS212+AT212-AU212,$D212-(H212+M212+R212+W212+AB212+AG212+AL212+AQ212)))</f>
        <v>0</v>
      </c>
      <c r="AW212" s="55" t="n">
        <f aca="false">AU212+AV212</f>
        <v>0</v>
      </c>
      <c r="AX212" s="55" t="n">
        <f aca="false">ROUND(MAX(0,AX211+AY211-BB211),2)</f>
        <v>0</v>
      </c>
      <c r="AY212" s="55" t="n">
        <f aca="false">ROUND(AX212*$E$14/12,2)</f>
        <v>0</v>
      </c>
      <c r="AZ212" s="55" t="n">
        <f aca="false">MIN($F$14,AX212+AY212)</f>
        <v>0</v>
      </c>
      <c r="BA212" s="55" t="n">
        <f aca="false">MAX(0,MIN(AX212+AY212-AZ212,$D212-(H212+M212+R212+W212+AB212+AG212+AL212+AQ212+AV212)))</f>
        <v>0</v>
      </c>
      <c r="BB212" s="55" t="n">
        <f aca="false">AZ212+BA212</f>
        <v>0</v>
      </c>
      <c r="BC212" s="55" t="n">
        <f aca="false">I212+N212+S212+X212+AC212+AH212+AM212+AR212+AW212+BB212</f>
        <v>0</v>
      </c>
      <c r="BD212" s="55" t="n">
        <f aca="false">ROUND((E212+F212-I212)+(J212+K212-N212)+(O212+P212-S212)+(T212+U212-X212)+(Y212+Z212-AC212)+(AD212+AE212-AH212)+(AI212+AJ212-AM212)+(AN212+AO212-AR212)+(AS212+AT212-AW212)+(AX212+AY212-BB212),2)</f>
        <v>0</v>
      </c>
      <c r="BE212" s="25" t="str">
        <f aca="false">IF(H212&gt;0.005,$C$5,IF(M212&gt;0.005,$C$6,IF(R212&gt;0.005,$C$7,IF(W212&gt;0.005,$C$8,IF(AB212&gt;0.005,$C$9,IF(AG212&gt;0.005,$C$10,IF(AL212&gt;0.005,$C$11,IF(AQ212&gt;0.005,$C$12,IF(AV212&gt;0.005,$C$13,IF(BA212&gt;0.005,$C$14,""))))))))))</f>
        <v/>
      </c>
    </row>
    <row r="213" customFormat="false" ht="15" hidden="false" customHeight="false" outlineLevel="0" collapsed="false">
      <c r="A213" s="24" t="n">
        <v>190</v>
      </c>
      <c r="B213" s="54" t="n">
        <f aca="false">EDATE($C$17,A213-1)</f>
        <v>52079</v>
      </c>
      <c r="C213" s="55" t="n">
        <f aca="false">G213+L213+Q213+V213+AA213+AF213+AK213+AP213+AU213+AZ213</f>
        <v>0</v>
      </c>
      <c r="D213" s="55" t="n">
        <f aca="false">MAX(0,$C$16-C213)</f>
        <v>5822</v>
      </c>
      <c r="E213" s="55" t="n">
        <f aca="false">ROUND(MAX(0,E212+F212-I212),2)</f>
        <v>0</v>
      </c>
      <c r="F213" s="55" t="n">
        <f aca="false">ROUND(E213*$E$5/12,2)</f>
        <v>0</v>
      </c>
      <c r="G213" s="55" t="n">
        <f aca="false">MIN($F$5,E213+F213)</f>
        <v>0</v>
      </c>
      <c r="H213" s="55" t="n">
        <f aca="false">MAX(0,MIN(E213+F213-G213,$D213))</f>
        <v>0</v>
      </c>
      <c r="I213" s="55" t="n">
        <f aca="false">G213+H213</f>
        <v>0</v>
      </c>
      <c r="J213" s="55" t="n">
        <f aca="false">ROUND(MAX(0,J212+K212-N212),2)</f>
        <v>0</v>
      </c>
      <c r="K213" s="55" t="n">
        <f aca="false">ROUND(J213*$E$6/12,2)</f>
        <v>0</v>
      </c>
      <c r="L213" s="55" t="n">
        <f aca="false">MIN($F$6,J213+K213)</f>
        <v>0</v>
      </c>
      <c r="M213" s="55" t="n">
        <f aca="false">MAX(0,MIN(J213+K213-L213,$D213-(H213)))</f>
        <v>0</v>
      </c>
      <c r="N213" s="55" t="n">
        <f aca="false">L213+M213</f>
        <v>0</v>
      </c>
      <c r="O213" s="55" t="n">
        <f aca="false">ROUND(MAX(0,O212+P212-S212),2)</f>
        <v>0</v>
      </c>
      <c r="P213" s="55" t="n">
        <f aca="false">ROUND(O213*$E$7/12,2)</f>
        <v>0</v>
      </c>
      <c r="Q213" s="55" t="n">
        <f aca="false">MIN($F$7,O213+P213)</f>
        <v>0</v>
      </c>
      <c r="R213" s="55" t="n">
        <f aca="false">MAX(0,MIN(O213+P213-Q213,$D213-(H213+M213)))</f>
        <v>0</v>
      </c>
      <c r="S213" s="55" t="n">
        <f aca="false">Q213+R213</f>
        <v>0</v>
      </c>
      <c r="T213" s="55" t="n">
        <f aca="false">ROUND(MAX(0,T212+U212-X212),2)</f>
        <v>0</v>
      </c>
      <c r="U213" s="55" t="n">
        <f aca="false">ROUND(T213*$E$8/12,2)</f>
        <v>0</v>
      </c>
      <c r="V213" s="55" t="n">
        <f aca="false">MIN($F$8,T213+U213)</f>
        <v>0</v>
      </c>
      <c r="W213" s="55" t="n">
        <f aca="false">MAX(0,MIN(T213+U213-V213,$D213-(H213+M213+R213)))</f>
        <v>0</v>
      </c>
      <c r="X213" s="55" t="n">
        <f aca="false">V213+W213</f>
        <v>0</v>
      </c>
      <c r="Y213" s="55" t="n">
        <f aca="false">ROUND(MAX(0,Y212+Z212-AC212),2)</f>
        <v>0</v>
      </c>
      <c r="Z213" s="55" t="n">
        <f aca="false">ROUND(Y213*$E$9/12,2)</f>
        <v>0</v>
      </c>
      <c r="AA213" s="55" t="n">
        <f aca="false">MIN($F$9,Y213+Z213)</f>
        <v>0</v>
      </c>
      <c r="AB213" s="55" t="n">
        <f aca="false">MAX(0,MIN(Y213+Z213-AA213,$D213-(H213+M213+R213+W213)))</f>
        <v>0</v>
      </c>
      <c r="AC213" s="55" t="n">
        <f aca="false">AA213+AB213</f>
        <v>0</v>
      </c>
      <c r="AD213" s="55" t="n">
        <f aca="false">ROUND(MAX(0,AD212+AE212-AH212),2)</f>
        <v>0</v>
      </c>
      <c r="AE213" s="55" t="n">
        <f aca="false">ROUND(AD213*$E$10/12,2)</f>
        <v>0</v>
      </c>
      <c r="AF213" s="55" t="n">
        <f aca="false">MIN($F$10,AD213+AE213)</f>
        <v>0</v>
      </c>
      <c r="AG213" s="55" t="n">
        <f aca="false">MAX(0,MIN(AD213+AE213-AF213,$D213-(H213+M213+R213+W213+AB213)))</f>
        <v>0</v>
      </c>
      <c r="AH213" s="55" t="n">
        <f aca="false">AF213+AG213</f>
        <v>0</v>
      </c>
      <c r="AI213" s="55" t="n">
        <f aca="false">ROUND(MAX(0,AI212+AJ212-AM212),2)</f>
        <v>0</v>
      </c>
      <c r="AJ213" s="55" t="n">
        <f aca="false">ROUND(AI213*$E$11/12,2)</f>
        <v>0</v>
      </c>
      <c r="AK213" s="55" t="n">
        <f aca="false">MIN($F$11,AI213+AJ213)</f>
        <v>0</v>
      </c>
      <c r="AL213" s="55" t="n">
        <f aca="false">MAX(0,MIN(AI213+AJ213-AK213,$D213-(H213+M213+R213+W213+AB213+AG213)))</f>
        <v>0</v>
      </c>
      <c r="AM213" s="55" t="n">
        <f aca="false">AK213+AL213</f>
        <v>0</v>
      </c>
      <c r="AN213" s="55" t="n">
        <f aca="false">ROUND(MAX(0,AN212+AO212-AR212),2)</f>
        <v>0</v>
      </c>
      <c r="AO213" s="55" t="n">
        <f aca="false">ROUND(AN213*$E$12/12,2)</f>
        <v>0</v>
      </c>
      <c r="AP213" s="55" t="n">
        <f aca="false">MIN($F$12,AN213+AO213)</f>
        <v>0</v>
      </c>
      <c r="AQ213" s="55" t="n">
        <f aca="false">MAX(0,MIN(AN213+AO213-AP213,$D213-(H213+M213+R213+W213+AB213+AG213+AL213)))</f>
        <v>0</v>
      </c>
      <c r="AR213" s="55" t="n">
        <f aca="false">AP213+AQ213</f>
        <v>0</v>
      </c>
      <c r="AS213" s="55" t="n">
        <f aca="false">ROUND(MAX(0,AS212+AT212-AW212),2)</f>
        <v>0</v>
      </c>
      <c r="AT213" s="55" t="n">
        <f aca="false">ROUND(AS213*$E$13/12,2)</f>
        <v>0</v>
      </c>
      <c r="AU213" s="55" t="n">
        <f aca="false">MIN($F$13,AS213+AT213)</f>
        <v>0</v>
      </c>
      <c r="AV213" s="55" t="n">
        <f aca="false">MAX(0,MIN(AS213+AT213-AU213,$D213-(H213+M213+R213+W213+AB213+AG213+AL213+AQ213)))</f>
        <v>0</v>
      </c>
      <c r="AW213" s="55" t="n">
        <f aca="false">AU213+AV213</f>
        <v>0</v>
      </c>
      <c r="AX213" s="55" t="n">
        <f aca="false">ROUND(MAX(0,AX212+AY212-BB212),2)</f>
        <v>0</v>
      </c>
      <c r="AY213" s="55" t="n">
        <f aca="false">ROUND(AX213*$E$14/12,2)</f>
        <v>0</v>
      </c>
      <c r="AZ213" s="55" t="n">
        <f aca="false">MIN($F$14,AX213+AY213)</f>
        <v>0</v>
      </c>
      <c r="BA213" s="55" t="n">
        <f aca="false">MAX(0,MIN(AX213+AY213-AZ213,$D213-(H213+M213+R213+W213+AB213+AG213+AL213+AQ213+AV213)))</f>
        <v>0</v>
      </c>
      <c r="BB213" s="55" t="n">
        <f aca="false">AZ213+BA213</f>
        <v>0</v>
      </c>
      <c r="BC213" s="55" t="n">
        <f aca="false">I213+N213+S213+X213+AC213+AH213+AM213+AR213+AW213+BB213</f>
        <v>0</v>
      </c>
      <c r="BD213" s="55" t="n">
        <f aca="false">ROUND((E213+F213-I213)+(J213+K213-N213)+(O213+P213-S213)+(T213+U213-X213)+(Y213+Z213-AC213)+(AD213+AE213-AH213)+(AI213+AJ213-AM213)+(AN213+AO213-AR213)+(AS213+AT213-AW213)+(AX213+AY213-BB213),2)</f>
        <v>0</v>
      </c>
      <c r="BE213" s="25" t="str">
        <f aca="false">IF(H213&gt;0.005,$C$5,IF(M213&gt;0.005,$C$6,IF(R213&gt;0.005,$C$7,IF(W213&gt;0.005,$C$8,IF(AB213&gt;0.005,$C$9,IF(AG213&gt;0.005,$C$10,IF(AL213&gt;0.005,$C$11,IF(AQ213&gt;0.005,$C$12,IF(AV213&gt;0.005,$C$13,IF(BA213&gt;0.005,$C$14,""))))))))))</f>
        <v/>
      </c>
    </row>
    <row r="214" customFormat="false" ht="15" hidden="false" customHeight="false" outlineLevel="0" collapsed="false">
      <c r="A214" s="24" t="n">
        <v>191</v>
      </c>
      <c r="B214" s="54" t="n">
        <f aca="false">EDATE($C$17,A214-1)</f>
        <v>52110</v>
      </c>
      <c r="C214" s="55" t="n">
        <f aca="false">G214+L214+Q214+V214+AA214+AF214+AK214+AP214+AU214+AZ214</f>
        <v>0</v>
      </c>
      <c r="D214" s="55" t="n">
        <f aca="false">MAX(0,$C$16-C214)</f>
        <v>5822</v>
      </c>
      <c r="E214" s="55" t="n">
        <f aca="false">ROUND(MAX(0,E213+F213-I213),2)</f>
        <v>0</v>
      </c>
      <c r="F214" s="55" t="n">
        <f aca="false">ROUND(E214*$E$5/12,2)</f>
        <v>0</v>
      </c>
      <c r="G214" s="55" t="n">
        <f aca="false">MIN($F$5,E214+F214)</f>
        <v>0</v>
      </c>
      <c r="H214" s="55" t="n">
        <f aca="false">MAX(0,MIN(E214+F214-G214,$D214))</f>
        <v>0</v>
      </c>
      <c r="I214" s="55" t="n">
        <f aca="false">G214+H214</f>
        <v>0</v>
      </c>
      <c r="J214" s="55" t="n">
        <f aca="false">ROUND(MAX(0,J213+K213-N213),2)</f>
        <v>0</v>
      </c>
      <c r="K214" s="55" t="n">
        <f aca="false">ROUND(J214*$E$6/12,2)</f>
        <v>0</v>
      </c>
      <c r="L214" s="55" t="n">
        <f aca="false">MIN($F$6,J214+K214)</f>
        <v>0</v>
      </c>
      <c r="M214" s="55" t="n">
        <f aca="false">MAX(0,MIN(J214+K214-L214,$D214-(H214)))</f>
        <v>0</v>
      </c>
      <c r="N214" s="55" t="n">
        <f aca="false">L214+M214</f>
        <v>0</v>
      </c>
      <c r="O214" s="55" t="n">
        <f aca="false">ROUND(MAX(0,O213+P213-S213),2)</f>
        <v>0</v>
      </c>
      <c r="P214" s="55" t="n">
        <f aca="false">ROUND(O214*$E$7/12,2)</f>
        <v>0</v>
      </c>
      <c r="Q214" s="55" t="n">
        <f aca="false">MIN($F$7,O214+P214)</f>
        <v>0</v>
      </c>
      <c r="R214" s="55" t="n">
        <f aca="false">MAX(0,MIN(O214+P214-Q214,$D214-(H214+M214)))</f>
        <v>0</v>
      </c>
      <c r="S214" s="55" t="n">
        <f aca="false">Q214+R214</f>
        <v>0</v>
      </c>
      <c r="T214" s="55" t="n">
        <f aca="false">ROUND(MAX(0,T213+U213-X213),2)</f>
        <v>0</v>
      </c>
      <c r="U214" s="55" t="n">
        <f aca="false">ROUND(T214*$E$8/12,2)</f>
        <v>0</v>
      </c>
      <c r="V214" s="55" t="n">
        <f aca="false">MIN($F$8,T214+U214)</f>
        <v>0</v>
      </c>
      <c r="W214" s="55" t="n">
        <f aca="false">MAX(0,MIN(T214+U214-V214,$D214-(H214+M214+R214)))</f>
        <v>0</v>
      </c>
      <c r="X214" s="55" t="n">
        <f aca="false">V214+W214</f>
        <v>0</v>
      </c>
      <c r="Y214" s="55" t="n">
        <f aca="false">ROUND(MAX(0,Y213+Z213-AC213),2)</f>
        <v>0</v>
      </c>
      <c r="Z214" s="55" t="n">
        <f aca="false">ROUND(Y214*$E$9/12,2)</f>
        <v>0</v>
      </c>
      <c r="AA214" s="55" t="n">
        <f aca="false">MIN($F$9,Y214+Z214)</f>
        <v>0</v>
      </c>
      <c r="AB214" s="55" t="n">
        <f aca="false">MAX(0,MIN(Y214+Z214-AA214,$D214-(H214+M214+R214+W214)))</f>
        <v>0</v>
      </c>
      <c r="AC214" s="55" t="n">
        <f aca="false">AA214+AB214</f>
        <v>0</v>
      </c>
      <c r="AD214" s="55" t="n">
        <f aca="false">ROUND(MAX(0,AD213+AE213-AH213),2)</f>
        <v>0</v>
      </c>
      <c r="AE214" s="55" t="n">
        <f aca="false">ROUND(AD214*$E$10/12,2)</f>
        <v>0</v>
      </c>
      <c r="AF214" s="55" t="n">
        <f aca="false">MIN($F$10,AD214+AE214)</f>
        <v>0</v>
      </c>
      <c r="AG214" s="55" t="n">
        <f aca="false">MAX(0,MIN(AD214+AE214-AF214,$D214-(H214+M214+R214+W214+AB214)))</f>
        <v>0</v>
      </c>
      <c r="AH214" s="55" t="n">
        <f aca="false">AF214+AG214</f>
        <v>0</v>
      </c>
      <c r="AI214" s="55" t="n">
        <f aca="false">ROUND(MAX(0,AI213+AJ213-AM213),2)</f>
        <v>0</v>
      </c>
      <c r="AJ214" s="55" t="n">
        <f aca="false">ROUND(AI214*$E$11/12,2)</f>
        <v>0</v>
      </c>
      <c r="AK214" s="55" t="n">
        <f aca="false">MIN($F$11,AI214+AJ214)</f>
        <v>0</v>
      </c>
      <c r="AL214" s="55" t="n">
        <f aca="false">MAX(0,MIN(AI214+AJ214-AK214,$D214-(H214+M214+R214+W214+AB214+AG214)))</f>
        <v>0</v>
      </c>
      <c r="AM214" s="55" t="n">
        <f aca="false">AK214+AL214</f>
        <v>0</v>
      </c>
      <c r="AN214" s="55" t="n">
        <f aca="false">ROUND(MAX(0,AN213+AO213-AR213),2)</f>
        <v>0</v>
      </c>
      <c r="AO214" s="55" t="n">
        <f aca="false">ROUND(AN214*$E$12/12,2)</f>
        <v>0</v>
      </c>
      <c r="AP214" s="55" t="n">
        <f aca="false">MIN($F$12,AN214+AO214)</f>
        <v>0</v>
      </c>
      <c r="AQ214" s="55" t="n">
        <f aca="false">MAX(0,MIN(AN214+AO214-AP214,$D214-(H214+M214+R214+W214+AB214+AG214+AL214)))</f>
        <v>0</v>
      </c>
      <c r="AR214" s="55" t="n">
        <f aca="false">AP214+AQ214</f>
        <v>0</v>
      </c>
      <c r="AS214" s="55" t="n">
        <f aca="false">ROUND(MAX(0,AS213+AT213-AW213),2)</f>
        <v>0</v>
      </c>
      <c r="AT214" s="55" t="n">
        <f aca="false">ROUND(AS214*$E$13/12,2)</f>
        <v>0</v>
      </c>
      <c r="AU214" s="55" t="n">
        <f aca="false">MIN($F$13,AS214+AT214)</f>
        <v>0</v>
      </c>
      <c r="AV214" s="55" t="n">
        <f aca="false">MAX(0,MIN(AS214+AT214-AU214,$D214-(H214+M214+R214+W214+AB214+AG214+AL214+AQ214)))</f>
        <v>0</v>
      </c>
      <c r="AW214" s="55" t="n">
        <f aca="false">AU214+AV214</f>
        <v>0</v>
      </c>
      <c r="AX214" s="55" t="n">
        <f aca="false">ROUND(MAX(0,AX213+AY213-BB213),2)</f>
        <v>0</v>
      </c>
      <c r="AY214" s="55" t="n">
        <f aca="false">ROUND(AX214*$E$14/12,2)</f>
        <v>0</v>
      </c>
      <c r="AZ214" s="55" t="n">
        <f aca="false">MIN($F$14,AX214+AY214)</f>
        <v>0</v>
      </c>
      <c r="BA214" s="55" t="n">
        <f aca="false">MAX(0,MIN(AX214+AY214-AZ214,$D214-(H214+M214+R214+W214+AB214+AG214+AL214+AQ214+AV214)))</f>
        <v>0</v>
      </c>
      <c r="BB214" s="55" t="n">
        <f aca="false">AZ214+BA214</f>
        <v>0</v>
      </c>
      <c r="BC214" s="55" t="n">
        <f aca="false">I214+N214+S214+X214+AC214+AH214+AM214+AR214+AW214+BB214</f>
        <v>0</v>
      </c>
      <c r="BD214" s="55" t="n">
        <f aca="false">ROUND((E214+F214-I214)+(J214+K214-N214)+(O214+P214-S214)+(T214+U214-X214)+(Y214+Z214-AC214)+(AD214+AE214-AH214)+(AI214+AJ214-AM214)+(AN214+AO214-AR214)+(AS214+AT214-AW214)+(AX214+AY214-BB214),2)</f>
        <v>0</v>
      </c>
      <c r="BE214" s="25" t="str">
        <f aca="false">IF(H214&gt;0.005,$C$5,IF(M214&gt;0.005,$C$6,IF(R214&gt;0.005,$C$7,IF(W214&gt;0.005,$C$8,IF(AB214&gt;0.005,$C$9,IF(AG214&gt;0.005,$C$10,IF(AL214&gt;0.005,$C$11,IF(AQ214&gt;0.005,$C$12,IF(AV214&gt;0.005,$C$13,IF(BA214&gt;0.005,$C$14,""))))))))))</f>
        <v/>
      </c>
    </row>
    <row r="215" customFormat="false" ht="15" hidden="false" customHeight="false" outlineLevel="0" collapsed="false">
      <c r="A215" s="24" t="n">
        <v>192</v>
      </c>
      <c r="B215" s="54" t="n">
        <f aca="false">EDATE($C$17,A215-1)</f>
        <v>52140</v>
      </c>
      <c r="C215" s="55" t="n">
        <f aca="false">G215+L215+Q215+V215+AA215+AF215+AK215+AP215+AU215+AZ215</f>
        <v>0</v>
      </c>
      <c r="D215" s="55" t="n">
        <f aca="false">MAX(0,$C$16-C215)</f>
        <v>5822</v>
      </c>
      <c r="E215" s="55" t="n">
        <f aca="false">ROUND(MAX(0,E214+F214-I214),2)</f>
        <v>0</v>
      </c>
      <c r="F215" s="55" t="n">
        <f aca="false">ROUND(E215*$E$5/12,2)</f>
        <v>0</v>
      </c>
      <c r="G215" s="55" t="n">
        <f aca="false">MIN($F$5,E215+F215)</f>
        <v>0</v>
      </c>
      <c r="H215" s="55" t="n">
        <f aca="false">MAX(0,MIN(E215+F215-G215,$D215))</f>
        <v>0</v>
      </c>
      <c r="I215" s="55" t="n">
        <f aca="false">G215+H215</f>
        <v>0</v>
      </c>
      <c r="J215" s="55" t="n">
        <f aca="false">ROUND(MAX(0,J214+K214-N214),2)</f>
        <v>0</v>
      </c>
      <c r="K215" s="55" t="n">
        <f aca="false">ROUND(J215*$E$6/12,2)</f>
        <v>0</v>
      </c>
      <c r="L215" s="55" t="n">
        <f aca="false">MIN($F$6,J215+K215)</f>
        <v>0</v>
      </c>
      <c r="M215" s="55" t="n">
        <f aca="false">MAX(0,MIN(J215+K215-L215,$D215-(H215)))</f>
        <v>0</v>
      </c>
      <c r="N215" s="55" t="n">
        <f aca="false">L215+M215</f>
        <v>0</v>
      </c>
      <c r="O215" s="55" t="n">
        <f aca="false">ROUND(MAX(0,O214+P214-S214),2)</f>
        <v>0</v>
      </c>
      <c r="P215" s="55" t="n">
        <f aca="false">ROUND(O215*$E$7/12,2)</f>
        <v>0</v>
      </c>
      <c r="Q215" s="55" t="n">
        <f aca="false">MIN($F$7,O215+P215)</f>
        <v>0</v>
      </c>
      <c r="R215" s="55" t="n">
        <f aca="false">MAX(0,MIN(O215+P215-Q215,$D215-(H215+M215)))</f>
        <v>0</v>
      </c>
      <c r="S215" s="55" t="n">
        <f aca="false">Q215+R215</f>
        <v>0</v>
      </c>
      <c r="T215" s="55" t="n">
        <f aca="false">ROUND(MAX(0,T214+U214-X214),2)</f>
        <v>0</v>
      </c>
      <c r="U215" s="55" t="n">
        <f aca="false">ROUND(T215*$E$8/12,2)</f>
        <v>0</v>
      </c>
      <c r="V215" s="55" t="n">
        <f aca="false">MIN($F$8,T215+U215)</f>
        <v>0</v>
      </c>
      <c r="W215" s="55" t="n">
        <f aca="false">MAX(0,MIN(T215+U215-V215,$D215-(H215+M215+R215)))</f>
        <v>0</v>
      </c>
      <c r="X215" s="55" t="n">
        <f aca="false">V215+W215</f>
        <v>0</v>
      </c>
      <c r="Y215" s="55" t="n">
        <f aca="false">ROUND(MAX(0,Y214+Z214-AC214),2)</f>
        <v>0</v>
      </c>
      <c r="Z215" s="55" t="n">
        <f aca="false">ROUND(Y215*$E$9/12,2)</f>
        <v>0</v>
      </c>
      <c r="AA215" s="55" t="n">
        <f aca="false">MIN($F$9,Y215+Z215)</f>
        <v>0</v>
      </c>
      <c r="AB215" s="55" t="n">
        <f aca="false">MAX(0,MIN(Y215+Z215-AA215,$D215-(H215+M215+R215+W215)))</f>
        <v>0</v>
      </c>
      <c r="AC215" s="55" t="n">
        <f aca="false">AA215+AB215</f>
        <v>0</v>
      </c>
      <c r="AD215" s="55" t="n">
        <f aca="false">ROUND(MAX(0,AD214+AE214-AH214),2)</f>
        <v>0</v>
      </c>
      <c r="AE215" s="55" t="n">
        <f aca="false">ROUND(AD215*$E$10/12,2)</f>
        <v>0</v>
      </c>
      <c r="AF215" s="55" t="n">
        <f aca="false">MIN($F$10,AD215+AE215)</f>
        <v>0</v>
      </c>
      <c r="AG215" s="55" t="n">
        <f aca="false">MAX(0,MIN(AD215+AE215-AF215,$D215-(H215+M215+R215+W215+AB215)))</f>
        <v>0</v>
      </c>
      <c r="AH215" s="55" t="n">
        <f aca="false">AF215+AG215</f>
        <v>0</v>
      </c>
      <c r="AI215" s="55" t="n">
        <f aca="false">ROUND(MAX(0,AI214+AJ214-AM214),2)</f>
        <v>0</v>
      </c>
      <c r="AJ215" s="55" t="n">
        <f aca="false">ROUND(AI215*$E$11/12,2)</f>
        <v>0</v>
      </c>
      <c r="AK215" s="55" t="n">
        <f aca="false">MIN($F$11,AI215+AJ215)</f>
        <v>0</v>
      </c>
      <c r="AL215" s="55" t="n">
        <f aca="false">MAX(0,MIN(AI215+AJ215-AK215,$D215-(H215+M215+R215+W215+AB215+AG215)))</f>
        <v>0</v>
      </c>
      <c r="AM215" s="55" t="n">
        <f aca="false">AK215+AL215</f>
        <v>0</v>
      </c>
      <c r="AN215" s="55" t="n">
        <f aca="false">ROUND(MAX(0,AN214+AO214-AR214),2)</f>
        <v>0</v>
      </c>
      <c r="AO215" s="55" t="n">
        <f aca="false">ROUND(AN215*$E$12/12,2)</f>
        <v>0</v>
      </c>
      <c r="AP215" s="55" t="n">
        <f aca="false">MIN($F$12,AN215+AO215)</f>
        <v>0</v>
      </c>
      <c r="AQ215" s="55" t="n">
        <f aca="false">MAX(0,MIN(AN215+AO215-AP215,$D215-(H215+M215+R215+W215+AB215+AG215+AL215)))</f>
        <v>0</v>
      </c>
      <c r="AR215" s="55" t="n">
        <f aca="false">AP215+AQ215</f>
        <v>0</v>
      </c>
      <c r="AS215" s="55" t="n">
        <f aca="false">ROUND(MAX(0,AS214+AT214-AW214),2)</f>
        <v>0</v>
      </c>
      <c r="AT215" s="55" t="n">
        <f aca="false">ROUND(AS215*$E$13/12,2)</f>
        <v>0</v>
      </c>
      <c r="AU215" s="55" t="n">
        <f aca="false">MIN($F$13,AS215+AT215)</f>
        <v>0</v>
      </c>
      <c r="AV215" s="55" t="n">
        <f aca="false">MAX(0,MIN(AS215+AT215-AU215,$D215-(H215+M215+R215+W215+AB215+AG215+AL215+AQ215)))</f>
        <v>0</v>
      </c>
      <c r="AW215" s="55" t="n">
        <f aca="false">AU215+AV215</f>
        <v>0</v>
      </c>
      <c r="AX215" s="55" t="n">
        <f aca="false">ROUND(MAX(0,AX214+AY214-BB214),2)</f>
        <v>0</v>
      </c>
      <c r="AY215" s="55" t="n">
        <f aca="false">ROUND(AX215*$E$14/12,2)</f>
        <v>0</v>
      </c>
      <c r="AZ215" s="55" t="n">
        <f aca="false">MIN($F$14,AX215+AY215)</f>
        <v>0</v>
      </c>
      <c r="BA215" s="55" t="n">
        <f aca="false">MAX(0,MIN(AX215+AY215-AZ215,$D215-(H215+M215+R215+W215+AB215+AG215+AL215+AQ215+AV215)))</f>
        <v>0</v>
      </c>
      <c r="BB215" s="55" t="n">
        <f aca="false">AZ215+BA215</f>
        <v>0</v>
      </c>
      <c r="BC215" s="55" t="n">
        <f aca="false">I215+N215+S215+X215+AC215+AH215+AM215+AR215+AW215+BB215</f>
        <v>0</v>
      </c>
      <c r="BD215" s="55" t="n">
        <f aca="false">ROUND((E215+F215-I215)+(J215+K215-N215)+(O215+P215-S215)+(T215+U215-X215)+(Y215+Z215-AC215)+(AD215+AE215-AH215)+(AI215+AJ215-AM215)+(AN215+AO215-AR215)+(AS215+AT215-AW215)+(AX215+AY215-BB215),2)</f>
        <v>0</v>
      </c>
      <c r="BE215" s="25" t="str">
        <f aca="false">IF(H215&gt;0.005,$C$5,IF(M215&gt;0.005,$C$6,IF(R215&gt;0.005,$C$7,IF(W215&gt;0.005,$C$8,IF(AB215&gt;0.005,$C$9,IF(AG215&gt;0.005,$C$10,IF(AL215&gt;0.005,$C$11,IF(AQ215&gt;0.005,$C$12,IF(AV215&gt;0.005,$C$13,IF(BA215&gt;0.005,$C$14,""))))))))))</f>
        <v/>
      </c>
    </row>
    <row r="216" customFormat="false" ht="15" hidden="false" customHeight="false" outlineLevel="0" collapsed="false">
      <c r="A216" s="24" t="n">
        <v>193</v>
      </c>
      <c r="B216" s="54" t="n">
        <f aca="false">EDATE($C$17,A216-1)</f>
        <v>52171</v>
      </c>
      <c r="C216" s="55" t="n">
        <f aca="false">G216+L216+Q216+V216+AA216+AF216+AK216+AP216+AU216+AZ216</f>
        <v>0</v>
      </c>
      <c r="D216" s="55" t="n">
        <f aca="false">MAX(0,$C$16-C216)</f>
        <v>5822</v>
      </c>
      <c r="E216" s="55" t="n">
        <f aca="false">ROUND(MAX(0,E215+F215-I215),2)</f>
        <v>0</v>
      </c>
      <c r="F216" s="55" t="n">
        <f aca="false">ROUND(E216*$E$5/12,2)</f>
        <v>0</v>
      </c>
      <c r="G216" s="55" t="n">
        <f aca="false">MIN($F$5,E216+F216)</f>
        <v>0</v>
      </c>
      <c r="H216" s="55" t="n">
        <f aca="false">MAX(0,MIN(E216+F216-G216,$D216))</f>
        <v>0</v>
      </c>
      <c r="I216" s="55" t="n">
        <f aca="false">G216+H216</f>
        <v>0</v>
      </c>
      <c r="J216" s="55" t="n">
        <f aca="false">ROUND(MAX(0,J215+K215-N215),2)</f>
        <v>0</v>
      </c>
      <c r="K216" s="55" t="n">
        <f aca="false">ROUND(J216*$E$6/12,2)</f>
        <v>0</v>
      </c>
      <c r="L216" s="55" t="n">
        <f aca="false">MIN($F$6,J216+K216)</f>
        <v>0</v>
      </c>
      <c r="M216" s="55" t="n">
        <f aca="false">MAX(0,MIN(J216+K216-L216,$D216-(H216)))</f>
        <v>0</v>
      </c>
      <c r="N216" s="55" t="n">
        <f aca="false">L216+M216</f>
        <v>0</v>
      </c>
      <c r="O216" s="55" t="n">
        <f aca="false">ROUND(MAX(0,O215+P215-S215),2)</f>
        <v>0</v>
      </c>
      <c r="P216" s="55" t="n">
        <f aca="false">ROUND(O216*$E$7/12,2)</f>
        <v>0</v>
      </c>
      <c r="Q216" s="55" t="n">
        <f aca="false">MIN($F$7,O216+P216)</f>
        <v>0</v>
      </c>
      <c r="R216" s="55" t="n">
        <f aca="false">MAX(0,MIN(O216+P216-Q216,$D216-(H216+M216)))</f>
        <v>0</v>
      </c>
      <c r="S216" s="55" t="n">
        <f aca="false">Q216+R216</f>
        <v>0</v>
      </c>
      <c r="T216" s="55" t="n">
        <f aca="false">ROUND(MAX(0,T215+U215-X215),2)</f>
        <v>0</v>
      </c>
      <c r="U216" s="55" t="n">
        <f aca="false">ROUND(T216*$E$8/12,2)</f>
        <v>0</v>
      </c>
      <c r="V216" s="55" t="n">
        <f aca="false">MIN($F$8,T216+U216)</f>
        <v>0</v>
      </c>
      <c r="W216" s="55" t="n">
        <f aca="false">MAX(0,MIN(T216+U216-V216,$D216-(H216+M216+R216)))</f>
        <v>0</v>
      </c>
      <c r="X216" s="55" t="n">
        <f aca="false">V216+W216</f>
        <v>0</v>
      </c>
      <c r="Y216" s="55" t="n">
        <f aca="false">ROUND(MAX(0,Y215+Z215-AC215),2)</f>
        <v>0</v>
      </c>
      <c r="Z216" s="55" t="n">
        <f aca="false">ROUND(Y216*$E$9/12,2)</f>
        <v>0</v>
      </c>
      <c r="AA216" s="55" t="n">
        <f aca="false">MIN($F$9,Y216+Z216)</f>
        <v>0</v>
      </c>
      <c r="AB216" s="55" t="n">
        <f aca="false">MAX(0,MIN(Y216+Z216-AA216,$D216-(H216+M216+R216+W216)))</f>
        <v>0</v>
      </c>
      <c r="AC216" s="55" t="n">
        <f aca="false">AA216+AB216</f>
        <v>0</v>
      </c>
      <c r="AD216" s="55" t="n">
        <f aca="false">ROUND(MAX(0,AD215+AE215-AH215),2)</f>
        <v>0</v>
      </c>
      <c r="AE216" s="55" t="n">
        <f aca="false">ROUND(AD216*$E$10/12,2)</f>
        <v>0</v>
      </c>
      <c r="AF216" s="55" t="n">
        <f aca="false">MIN($F$10,AD216+AE216)</f>
        <v>0</v>
      </c>
      <c r="AG216" s="55" t="n">
        <f aca="false">MAX(0,MIN(AD216+AE216-AF216,$D216-(H216+M216+R216+W216+AB216)))</f>
        <v>0</v>
      </c>
      <c r="AH216" s="55" t="n">
        <f aca="false">AF216+AG216</f>
        <v>0</v>
      </c>
      <c r="AI216" s="55" t="n">
        <f aca="false">ROUND(MAX(0,AI215+AJ215-AM215),2)</f>
        <v>0</v>
      </c>
      <c r="AJ216" s="55" t="n">
        <f aca="false">ROUND(AI216*$E$11/12,2)</f>
        <v>0</v>
      </c>
      <c r="AK216" s="55" t="n">
        <f aca="false">MIN($F$11,AI216+AJ216)</f>
        <v>0</v>
      </c>
      <c r="AL216" s="55" t="n">
        <f aca="false">MAX(0,MIN(AI216+AJ216-AK216,$D216-(H216+M216+R216+W216+AB216+AG216)))</f>
        <v>0</v>
      </c>
      <c r="AM216" s="55" t="n">
        <f aca="false">AK216+AL216</f>
        <v>0</v>
      </c>
      <c r="AN216" s="55" t="n">
        <f aca="false">ROUND(MAX(0,AN215+AO215-AR215),2)</f>
        <v>0</v>
      </c>
      <c r="AO216" s="55" t="n">
        <f aca="false">ROUND(AN216*$E$12/12,2)</f>
        <v>0</v>
      </c>
      <c r="AP216" s="55" t="n">
        <f aca="false">MIN($F$12,AN216+AO216)</f>
        <v>0</v>
      </c>
      <c r="AQ216" s="55" t="n">
        <f aca="false">MAX(0,MIN(AN216+AO216-AP216,$D216-(H216+M216+R216+W216+AB216+AG216+AL216)))</f>
        <v>0</v>
      </c>
      <c r="AR216" s="55" t="n">
        <f aca="false">AP216+AQ216</f>
        <v>0</v>
      </c>
      <c r="AS216" s="55" t="n">
        <f aca="false">ROUND(MAX(0,AS215+AT215-AW215),2)</f>
        <v>0</v>
      </c>
      <c r="AT216" s="55" t="n">
        <f aca="false">ROUND(AS216*$E$13/12,2)</f>
        <v>0</v>
      </c>
      <c r="AU216" s="55" t="n">
        <f aca="false">MIN($F$13,AS216+AT216)</f>
        <v>0</v>
      </c>
      <c r="AV216" s="55" t="n">
        <f aca="false">MAX(0,MIN(AS216+AT216-AU216,$D216-(H216+M216+R216+W216+AB216+AG216+AL216+AQ216)))</f>
        <v>0</v>
      </c>
      <c r="AW216" s="55" t="n">
        <f aca="false">AU216+AV216</f>
        <v>0</v>
      </c>
      <c r="AX216" s="55" t="n">
        <f aca="false">ROUND(MAX(0,AX215+AY215-BB215),2)</f>
        <v>0</v>
      </c>
      <c r="AY216" s="55" t="n">
        <f aca="false">ROUND(AX216*$E$14/12,2)</f>
        <v>0</v>
      </c>
      <c r="AZ216" s="55" t="n">
        <f aca="false">MIN($F$14,AX216+AY216)</f>
        <v>0</v>
      </c>
      <c r="BA216" s="55" t="n">
        <f aca="false">MAX(0,MIN(AX216+AY216-AZ216,$D216-(H216+M216+R216+W216+AB216+AG216+AL216+AQ216+AV216)))</f>
        <v>0</v>
      </c>
      <c r="BB216" s="55" t="n">
        <f aca="false">AZ216+BA216</f>
        <v>0</v>
      </c>
      <c r="BC216" s="55" t="n">
        <f aca="false">I216+N216+S216+X216+AC216+AH216+AM216+AR216+AW216+BB216</f>
        <v>0</v>
      </c>
      <c r="BD216" s="55" t="n">
        <f aca="false">ROUND((E216+F216-I216)+(J216+K216-N216)+(O216+P216-S216)+(T216+U216-X216)+(Y216+Z216-AC216)+(AD216+AE216-AH216)+(AI216+AJ216-AM216)+(AN216+AO216-AR216)+(AS216+AT216-AW216)+(AX216+AY216-BB216),2)</f>
        <v>0</v>
      </c>
      <c r="BE216" s="25" t="str">
        <f aca="false">IF(H216&gt;0.005,$C$5,IF(M216&gt;0.005,$C$6,IF(R216&gt;0.005,$C$7,IF(W216&gt;0.005,$C$8,IF(AB216&gt;0.005,$C$9,IF(AG216&gt;0.005,$C$10,IF(AL216&gt;0.005,$C$11,IF(AQ216&gt;0.005,$C$12,IF(AV216&gt;0.005,$C$13,IF(BA216&gt;0.005,$C$14,""))))))))))</f>
        <v/>
      </c>
    </row>
    <row r="217" customFormat="false" ht="15" hidden="false" customHeight="false" outlineLevel="0" collapsed="false">
      <c r="A217" s="24" t="n">
        <v>194</v>
      </c>
      <c r="B217" s="54" t="n">
        <f aca="false">EDATE($C$17,A217-1)</f>
        <v>52201</v>
      </c>
      <c r="C217" s="55" t="n">
        <f aca="false">G217+L217+Q217+V217+AA217+AF217+AK217+AP217+AU217+AZ217</f>
        <v>0</v>
      </c>
      <c r="D217" s="55" t="n">
        <f aca="false">MAX(0,$C$16-C217)</f>
        <v>5822</v>
      </c>
      <c r="E217" s="55" t="n">
        <f aca="false">ROUND(MAX(0,E216+F216-I216),2)</f>
        <v>0</v>
      </c>
      <c r="F217" s="55" t="n">
        <f aca="false">ROUND(E217*$E$5/12,2)</f>
        <v>0</v>
      </c>
      <c r="G217" s="55" t="n">
        <f aca="false">MIN($F$5,E217+F217)</f>
        <v>0</v>
      </c>
      <c r="H217" s="55" t="n">
        <f aca="false">MAX(0,MIN(E217+F217-G217,$D217))</f>
        <v>0</v>
      </c>
      <c r="I217" s="55" t="n">
        <f aca="false">G217+H217</f>
        <v>0</v>
      </c>
      <c r="J217" s="55" t="n">
        <f aca="false">ROUND(MAX(0,J216+K216-N216),2)</f>
        <v>0</v>
      </c>
      <c r="K217" s="55" t="n">
        <f aca="false">ROUND(J217*$E$6/12,2)</f>
        <v>0</v>
      </c>
      <c r="L217" s="55" t="n">
        <f aca="false">MIN($F$6,J217+K217)</f>
        <v>0</v>
      </c>
      <c r="M217" s="55" t="n">
        <f aca="false">MAX(0,MIN(J217+K217-L217,$D217-(H217)))</f>
        <v>0</v>
      </c>
      <c r="N217" s="55" t="n">
        <f aca="false">L217+M217</f>
        <v>0</v>
      </c>
      <c r="O217" s="55" t="n">
        <f aca="false">ROUND(MAX(0,O216+P216-S216),2)</f>
        <v>0</v>
      </c>
      <c r="P217" s="55" t="n">
        <f aca="false">ROUND(O217*$E$7/12,2)</f>
        <v>0</v>
      </c>
      <c r="Q217" s="55" t="n">
        <f aca="false">MIN($F$7,O217+P217)</f>
        <v>0</v>
      </c>
      <c r="R217" s="55" t="n">
        <f aca="false">MAX(0,MIN(O217+P217-Q217,$D217-(H217+M217)))</f>
        <v>0</v>
      </c>
      <c r="S217" s="55" t="n">
        <f aca="false">Q217+R217</f>
        <v>0</v>
      </c>
      <c r="T217" s="55" t="n">
        <f aca="false">ROUND(MAX(0,T216+U216-X216),2)</f>
        <v>0</v>
      </c>
      <c r="U217" s="55" t="n">
        <f aca="false">ROUND(T217*$E$8/12,2)</f>
        <v>0</v>
      </c>
      <c r="V217" s="55" t="n">
        <f aca="false">MIN($F$8,T217+U217)</f>
        <v>0</v>
      </c>
      <c r="W217" s="55" t="n">
        <f aca="false">MAX(0,MIN(T217+U217-V217,$D217-(H217+M217+R217)))</f>
        <v>0</v>
      </c>
      <c r="X217" s="55" t="n">
        <f aca="false">V217+W217</f>
        <v>0</v>
      </c>
      <c r="Y217" s="55" t="n">
        <f aca="false">ROUND(MAX(0,Y216+Z216-AC216),2)</f>
        <v>0</v>
      </c>
      <c r="Z217" s="55" t="n">
        <f aca="false">ROUND(Y217*$E$9/12,2)</f>
        <v>0</v>
      </c>
      <c r="AA217" s="55" t="n">
        <f aca="false">MIN($F$9,Y217+Z217)</f>
        <v>0</v>
      </c>
      <c r="AB217" s="55" t="n">
        <f aca="false">MAX(0,MIN(Y217+Z217-AA217,$D217-(H217+M217+R217+W217)))</f>
        <v>0</v>
      </c>
      <c r="AC217" s="55" t="n">
        <f aca="false">AA217+AB217</f>
        <v>0</v>
      </c>
      <c r="AD217" s="55" t="n">
        <f aca="false">ROUND(MAX(0,AD216+AE216-AH216),2)</f>
        <v>0</v>
      </c>
      <c r="AE217" s="55" t="n">
        <f aca="false">ROUND(AD217*$E$10/12,2)</f>
        <v>0</v>
      </c>
      <c r="AF217" s="55" t="n">
        <f aca="false">MIN($F$10,AD217+AE217)</f>
        <v>0</v>
      </c>
      <c r="AG217" s="55" t="n">
        <f aca="false">MAX(0,MIN(AD217+AE217-AF217,$D217-(H217+M217+R217+W217+AB217)))</f>
        <v>0</v>
      </c>
      <c r="AH217" s="55" t="n">
        <f aca="false">AF217+AG217</f>
        <v>0</v>
      </c>
      <c r="AI217" s="55" t="n">
        <f aca="false">ROUND(MAX(0,AI216+AJ216-AM216),2)</f>
        <v>0</v>
      </c>
      <c r="AJ217" s="55" t="n">
        <f aca="false">ROUND(AI217*$E$11/12,2)</f>
        <v>0</v>
      </c>
      <c r="AK217" s="55" t="n">
        <f aca="false">MIN($F$11,AI217+AJ217)</f>
        <v>0</v>
      </c>
      <c r="AL217" s="55" t="n">
        <f aca="false">MAX(0,MIN(AI217+AJ217-AK217,$D217-(H217+M217+R217+W217+AB217+AG217)))</f>
        <v>0</v>
      </c>
      <c r="AM217" s="55" t="n">
        <f aca="false">AK217+AL217</f>
        <v>0</v>
      </c>
      <c r="AN217" s="55" t="n">
        <f aca="false">ROUND(MAX(0,AN216+AO216-AR216),2)</f>
        <v>0</v>
      </c>
      <c r="AO217" s="55" t="n">
        <f aca="false">ROUND(AN217*$E$12/12,2)</f>
        <v>0</v>
      </c>
      <c r="AP217" s="55" t="n">
        <f aca="false">MIN($F$12,AN217+AO217)</f>
        <v>0</v>
      </c>
      <c r="AQ217" s="55" t="n">
        <f aca="false">MAX(0,MIN(AN217+AO217-AP217,$D217-(H217+M217+R217+W217+AB217+AG217+AL217)))</f>
        <v>0</v>
      </c>
      <c r="AR217" s="55" t="n">
        <f aca="false">AP217+AQ217</f>
        <v>0</v>
      </c>
      <c r="AS217" s="55" t="n">
        <f aca="false">ROUND(MAX(0,AS216+AT216-AW216),2)</f>
        <v>0</v>
      </c>
      <c r="AT217" s="55" t="n">
        <f aca="false">ROUND(AS217*$E$13/12,2)</f>
        <v>0</v>
      </c>
      <c r="AU217" s="55" t="n">
        <f aca="false">MIN($F$13,AS217+AT217)</f>
        <v>0</v>
      </c>
      <c r="AV217" s="55" t="n">
        <f aca="false">MAX(0,MIN(AS217+AT217-AU217,$D217-(H217+M217+R217+W217+AB217+AG217+AL217+AQ217)))</f>
        <v>0</v>
      </c>
      <c r="AW217" s="55" t="n">
        <f aca="false">AU217+AV217</f>
        <v>0</v>
      </c>
      <c r="AX217" s="55" t="n">
        <f aca="false">ROUND(MAX(0,AX216+AY216-BB216),2)</f>
        <v>0</v>
      </c>
      <c r="AY217" s="55" t="n">
        <f aca="false">ROUND(AX217*$E$14/12,2)</f>
        <v>0</v>
      </c>
      <c r="AZ217" s="55" t="n">
        <f aca="false">MIN($F$14,AX217+AY217)</f>
        <v>0</v>
      </c>
      <c r="BA217" s="55" t="n">
        <f aca="false">MAX(0,MIN(AX217+AY217-AZ217,$D217-(H217+M217+R217+W217+AB217+AG217+AL217+AQ217+AV217)))</f>
        <v>0</v>
      </c>
      <c r="BB217" s="55" t="n">
        <f aca="false">AZ217+BA217</f>
        <v>0</v>
      </c>
      <c r="BC217" s="55" t="n">
        <f aca="false">I217+N217+S217+X217+AC217+AH217+AM217+AR217+AW217+BB217</f>
        <v>0</v>
      </c>
      <c r="BD217" s="55" t="n">
        <f aca="false">ROUND((E217+F217-I217)+(J217+K217-N217)+(O217+P217-S217)+(T217+U217-X217)+(Y217+Z217-AC217)+(AD217+AE217-AH217)+(AI217+AJ217-AM217)+(AN217+AO217-AR217)+(AS217+AT217-AW217)+(AX217+AY217-BB217),2)</f>
        <v>0</v>
      </c>
      <c r="BE217" s="25" t="str">
        <f aca="false">IF(H217&gt;0.005,$C$5,IF(M217&gt;0.005,$C$6,IF(R217&gt;0.005,$C$7,IF(W217&gt;0.005,$C$8,IF(AB217&gt;0.005,$C$9,IF(AG217&gt;0.005,$C$10,IF(AL217&gt;0.005,$C$11,IF(AQ217&gt;0.005,$C$12,IF(AV217&gt;0.005,$C$13,IF(BA217&gt;0.005,$C$14,""))))))))))</f>
        <v/>
      </c>
    </row>
    <row r="218" customFormat="false" ht="15" hidden="false" customHeight="false" outlineLevel="0" collapsed="false">
      <c r="A218" s="24" t="n">
        <v>195</v>
      </c>
      <c r="B218" s="54" t="n">
        <f aca="false">EDATE($C$17,A218-1)</f>
        <v>52232</v>
      </c>
      <c r="C218" s="55" t="n">
        <f aca="false">G218+L218+Q218+V218+AA218+AF218+AK218+AP218+AU218+AZ218</f>
        <v>0</v>
      </c>
      <c r="D218" s="55" t="n">
        <f aca="false">MAX(0,$C$16-C218)</f>
        <v>5822</v>
      </c>
      <c r="E218" s="55" t="n">
        <f aca="false">ROUND(MAX(0,E217+F217-I217),2)</f>
        <v>0</v>
      </c>
      <c r="F218" s="55" t="n">
        <f aca="false">ROUND(E218*$E$5/12,2)</f>
        <v>0</v>
      </c>
      <c r="G218" s="55" t="n">
        <f aca="false">MIN($F$5,E218+F218)</f>
        <v>0</v>
      </c>
      <c r="H218" s="55" t="n">
        <f aca="false">MAX(0,MIN(E218+F218-G218,$D218))</f>
        <v>0</v>
      </c>
      <c r="I218" s="55" t="n">
        <f aca="false">G218+H218</f>
        <v>0</v>
      </c>
      <c r="J218" s="55" t="n">
        <f aca="false">ROUND(MAX(0,J217+K217-N217),2)</f>
        <v>0</v>
      </c>
      <c r="K218" s="55" t="n">
        <f aca="false">ROUND(J218*$E$6/12,2)</f>
        <v>0</v>
      </c>
      <c r="L218" s="55" t="n">
        <f aca="false">MIN($F$6,J218+K218)</f>
        <v>0</v>
      </c>
      <c r="M218" s="55" t="n">
        <f aca="false">MAX(0,MIN(J218+K218-L218,$D218-(H218)))</f>
        <v>0</v>
      </c>
      <c r="N218" s="55" t="n">
        <f aca="false">L218+M218</f>
        <v>0</v>
      </c>
      <c r="O218" s="55" t="n">
        <f aca="false">ROUND(MAX(0,O217+P217-S217),2)</f>
        <v>0</v>
      </c>
      <c r="P218" s="55" t="n">
        <f aca="false">ROUND(O218*$E$7/12,2)</f>
        <v>0</v>
      </c>
      <c r="Q218" s="55" t="n">
        <f aca="false">MIN($F$7,O218+P218)</f>
        <v>0</v>
      </c>
      <c r="R218" s="55" t="n">
        <f aca="false">MAX(0,MIN(O218+P218-Q218,$D218-(H218+M218)))</f>
        <v>0</v>
      </c>
      <c r="S218" s="55" t="n">
        <f aca="false">Q218+R218</f>
        <v>0</v>
      </c>
      <c r="T218" s="55" t="n">
        <f aca="false">ROUND(MAX(0,T217+U217-X217),2)</f>
        <v>0</v>
      </c>
      <c r="U218" s="55" t="n">
        <f aca="false">ROUND(T218*$E$8/12,2)</f>
        <v>0</v>
      </c>
      <c r="V218" s="55" t="n">
        <f aca="false">MIN($F$8,T218+U218)</f>
        <v>0</v>
      </c>
      <c r="W218" s="55" t="n">
        <f aca="false">MAX(0,MIN(T218+U218-V218,$D218-(H218+M218+R218)))</f>
        <v>0</v>
      </c>
      <c r="X218" s="55" t="n">
        <f aca="false">V218+W218</f>
        <v>0</v>
      </c>
      <c r="Y218" s="55" t="n">
        <f aca="false">ROUND(MAX(0,Y217+Z217-AC217),2)</f>
        <v>0</v>
      </c>
      <c r="Z218" s="55" t="n">
        <f aca="false">ROUND(Y218*$E$9/12,2)</f>
        <v>0</v>
      </c>
      <c r="AA218" s="55" t="n">
        <f aca="false">MIN($F$9,Y218+Z218)</f>
        <v>0</v>
      </c>
      <c r="AB218" s="55" t="n">
        <f aca="false">MAX(0,MIN(Y218+Z218-AA218,$D218-(H218+M218+R218+W218)))</f>
        <v>0</v>
      </c>
      <c r="AC218" s="55" t="n">
        <f aca="false">AA218+AB218</f>
        <v>0</v>
      </c>
      <c r="AD218" s="55" t="n">
        <f aca="false">ROUND(MAX(0,AD217+AE217-AH217),2)</f>
        <v>0</v>
      </c>
      <c r="AE218" s="55" t="n">
        <f aca="false">ROUND(AD218*$E$10/12,2)</f>
        <v>0</v>
      </c>
      <c r="AF218" s="55" t="n">
        <f aca="false">MIN($F$10,AD218+AE218)</f>
        <v>0</v>
      </c>
      <c r="AG218" s="55" t="n">
        <f aca="false">MAX(0,MIN(AD218+AE218-AF218,$D218-(H218+M218+R218+W218+AB218)))</f>
        <v>0</v>
      </c>
      <c r="AH218" s="55" t="n">
        <f aca="false">AF218+AG218</f>
        <v>0</v>
      </c>
      <c r="AI218" s="55" t="n">
        <f aca="false">ROUND(MAX(0,AI217+AJ217-AM217),2)</f>
        <v>0</v>
      </c>
      <c r="AJ218" s="55" t="n">
        <f aca="false">ROUND(AI218*$E$11/12,2)</f>
        <v>0</v>
      </c>
      <c r="AK218" s="55" t="n">
        <f aca="false">MIN($F$11,AI218+AJ218)</f>
        <v>0</v>
      </c>
      <c r="AL218" s="55" t="n">
        <f aca="false">MAX(0,MIN(AI218+AJ218-AK218,$D218-(H218+M218+R218+W218+AB218+AG218)))</f>
        <v>0</v>
      </c>
      <c r="AM218" s="55" t="n">
        <f aca="false">AK218+AL218</f>
        <v>0</v>
      </c>
      <c r="AN218" s="55" t="n">
        <f aca="false">ROUND(MAX(0,AN217+AO217-AR217),2)</f>
        <v>0</v>
      </c>
      <c r="AO218" s="55" t="n">
        <f aca="false">ROUND(AN218*$E$12/12,2)</f>
        <v>0</v>
      </c>
      <c r="AP218" s="55" t="n">
        <f aca="false">MIN($F$12,AN218+AO218)</f>
        <v>0</v>
      </c>
      <c r="AQ218" s="55" t="n">
        <f aca="false">MAX(0,MIN(AN218+AO218-AP218,$D218-(H218+M218+R218+W218+AB218+AG218+AL218)))</f>
        <v>0</v>
      </c>
      <c r="AR218" s="55" t="n">
        <f aca="false">AP218+AQ218</f>
        <v>0</v>
      </c>
      <c r="AS218" s="55" t="n">
        <f aca="false">ROUND(MAX(0,AS217+AT217-AW217),2)</f>
        <v>0</v>
      </c>
      <c r="AT218" s="55" t="n">
        <f aca="false">ROUND(AS218*$E$13/12,2)</f>
        <v>0</v>
      </c>
      <c r="AU218" s="55" t="n">
        <f aca="false">MIN($F$13,AS218+AT218)</f>
        <v>0</v>
      </c>
      <c r="AV218" s="55" t="n">
        <f aca="false">MAX(0,MIN(AS218+AT218-AU218,$D218-(H218+M218+R218+W218+AB218+AG218+AL218+AQ218)))</f>
        <v>0</v>
      </c>
      <c r="AW218" s="55" t="n">
        <f aca="false">AU218+AV218</f>
        <v>0</v>
      </c>
      <c r="AX218" s="55" t="n">
        <f aca="false">ROUND(MAX(0,AX217+AY217-BB217),2)</f>
        <v>0</v>
      </c>
      <c r="AY218" s="55" t="n">
        <f aca="false">ROUND(AX218*$E$14/12,2)</f>
        <v>0</v>
      </c>
      <c r="AZ218" s="55" t="n">
        <f aca="false">MIN($F$14,AX218+AY218)</f>
        <v>0</v>
      </c>
      <c r="BA218" s="55" t="n">
        <f aca="false">MAX(0,MIN(AX218+AY218-AZ218,$D218-(H218+M218+R218+W218+AB218+AG218+AL218+AQ218+AV218)))</f>
        <v>0</v>
      </c>
      <c r="BB218" s="55" t="n">
        <f aca="false">AZ218+BA218</f>
        <v>0</v>
      </c>
      <c r="BC218" s="55" t="n">
        <f aca="false">I218+N218+S218+X218+AC218+AH218+AM218+AR218+AW218+BB218</f>
        <v>0</v>
      </c>
      <c r="BD218" s="55" t="n">
        <f aca="false">ROUND((E218+F218-I218)+(J218+K218-N218)+(O218+P218-S218)+(T218+U218-X218)+(Y218+Z218-AC218)+(AD218+AE218-AH218)+(AI218+AJ218-AM218)+(AN218+AO218-AR218)+(AS218+AT218-AW218)+(AX218+AY218-BB218),2)</f>
        <v>0</v>
      </c>
      <c r="BE218" s="25" t="str">
        <f aca="false">IF(H218&gt;0.005,$C$5,IF(M218&gt;0.005,$C$6,IF(R218&gt;0.005,$C$7,IF(W218&gt;0.005,$C$8,IF(AB218&gt;0.005,$C$9,IF(AG218&gt;0.005,$C$10,IF(AL218&gt;0.005,$C$11,IF(AQ218&gt;0.005,$C$12,IF(AV218&gt;0.005,$C$13,IF(BA218&gt;0.005,$C$14,""))))))))))</f>
        <v/>
      </c>
    </row>
    <row r="219" customFormat="false" ht="15" hidden="false" customHeight="false" outlineLevel="0" collapsed="false">
      <c r="A219" s="24" t="n">
        <v>196</v>
      </c>
      <c r="B219" s="54" t="n">
        <f aca="false">EDATE($C$17,A219-1)</f>
        <v>52263</v>
      </c>
      <c r="C219" s="55" t="n">
        <f aca="false">G219+L219+Q219+V219+AA219+AF219+AK219+AP219+AU219+AZ219</f>
        <v>0</v>
      </c>
      <c r="D219" s="55" t="n">
        <f aca="false">MAX(0,$C$16-C219)</f>
        <v>5822</v>
      </c>
      <c r="E219" s="55" t="n">
        <f aca="false">ROUND(MAX(0,E218+F218-I218),2)</f>
        <v>0</v>
      </c>
      <c r="F219" s="55" t="n">
        <f aca="false">ROUND(E219*$E$5/12,2)</f>
        <v>0</v>
      </c>
      <c r="G219" s="55" t="n">
        <f aca="false">MIN($F$5,E219+F219)</f>
        <v>0</v>
      </c>
      <c r="H219" s="55" t="n">
        <f aca="false">MAX(0,MIN(E219+F219-G219,$D219))</f>
        <v>0</v>
      </c>
      <c r="I219" s="55" t="n">
        <f aca="false">G219+H219</f>
        <v>0</v>
      </c>
      <c r="J219" s="55" t="n">
        <f aca="false">ROUND(MAX(0,J218+K218-N218),2)</f>
        <v>0</v>
      </c>
      <c r="K219" s="55" t="n">
        <f aca="false">ROUND(J219*$E$6/12,2)</f>
        <v>0</v>
      </c>
      <c r="L219" s="55" t="n">
        <f aca="false">MIN($F$6,J219+K219)</f>
        <v>0</v>
      </c>
      <c r="M219" s="55" t="n">
        <f aca="false">MAX(0,MIN(J219+K219-L219,$D219-(H219)))</f>
        <v>0</v>
      </c>
      <c r="N219" s="55" t="n">
        <f aca="false">L219+M219</f>
        <v>0</v>
      </c>
      <c r="O219" s="55" t="n">
        <f aca="false">ROUND(MAX(0,O218+P218-S218),2)</f>
        <v>0</v>
      </c>
      <c r="P219" s="55" t="n">
        <f aca="false">ROUND(O219*$E$7/12,2)</f>
        <v>0</v>
      </c>
      <c r="Q219" s="55" t="n">
        <f aca="false">MIN($F$7,O219+P219)</f>
        <v>0</v>
      </c>
      <c r="R219" s="55" t="n">
        <f aca="false">MAX(0,MIN(O219+P219-Q219,$D219-(H219+M219)))</f>
        <v>0</v>
      </c>
      <c r="S219" s="55" t="n">
        <f aca="false">Q219+R219</f>
        <v>0</v>
      </c>
      <c r="T219" s="55" t="n">
        <f aca="false">ROUND(MAX(0,T218+U218-X218),2)</f>
        <v>0</v>
      </c>
      <c r="U219" s="55" t="n">
        <f aca="false">ROUND(T219*$E$8/12,2)</f>
        <v>0</v>
      </c>
      <c r="V219" s="55" t="n">
        <f aca="false">MIN($F$8,T219+U219)</f>
        <v>0</v>
      </c>
      <c r="W219" s="55" t="n">
        <f aca="false">MAX(0,MIN(T219+U219-V219,$D219-(H219+M219+R219)))</f>
        <v>0</v>
      </c>
      <c r="X219" s="55" t="n">
        <f aca="false">V219+W219</f>
        <v>0</v>
      </c>
      <c r="Y219" s="55" t="n">
        <f aca="false">ROUND(MAX(0,Y218+Z218-AC218),2)</f>
        <v>0</v>
      </c>
      <c r="Z219" s="55" t="n">
        <f aca="false">ROUND(Y219*$E$9/12,2)</f>
        <v>0</v>
      </c>
      <c r="AA219" s="55" t="n">
        <f aca="false">MIN($F$9,Y219+Z219)</f>
        <v>0</v>
      </c>
      <c r="AB219" s="55" t="n">
        <f aca="false">MAX(0,MIN(Y219+Z219-AA219,$D219-(H219+M219+R219+W219)))</f>
        <v>0</v>
      </c>
      <c r="AC219" s="55" t="n">
        <f aca="false">AA219+AB219</f>
        <v>0</v>
      </c>
      <c r="AD219" s="55" t="n">
        <f aca="false">ROUND(MAX(0,AD218+AE218-AH218),2)</f>
        <v>0</v>
      </c>
      <c r="AE219" s="55" t="n">
        <f aca="false">ROUND(AD219*$E$10/12,2)</f>
        <v>0</v>
      </c>
      <c r="AF219" s="55" t="n">
        <f aca="false">MIN($F$10,AD219+AE219)</f>
        <v>0</v>
      </c>
      <c r="AG219" s="55" t="n">
        <f aca="false">MAX(0,MIN(AD219+AE219-AF219,$D219-(H219+M219+R219+W219+AB219)))</f>
        <v>0</v>
      </c>
      <c r="AH219" s="55" t="n">
        <f aca="false">AF219+AG219</f>
        <v>0</v>
      </c>
      <c r="AI219" s="55" t="n">
        <f aca="false">ROUND(MAX(0,AI218+AJ218-AM218),2)</f>
        <v>0</v>
      </c>
      <c r="AJ219" s="55" t="n">
        <f aca="false">ROUND(AI219*$E$11/12,2)</f>
        <v>0</v>
      </c>
      <c r="AK219" s="55" t="n">
        <f aca="false">MIN($F$11,AI219+AJ219)</f>
        <v>0</v>
      </c>
      <c r="AL219" s="55" t="n">
        <f aca="false">MAX(0,MIN(AI219+AJ219-AK219,$D219-(H219+M219+R219+W219+AB219+AG219)))</f>
        <v>0</v>
      </c>
      <c r="AM219" s="55" t="n">
        <f aca="false">AK219+AL219</f>
        <v>0</v>
      </c>
      <c r="AN219" s="55" t="n">
        <f aca="false">ROUND(MAX(0,AN218+AO218-AR218),2)</f>
        <v>0</v>
      </c>
      <c r="AO219" s="55" t="n">
        <f aca="false">ROUND(AN219*$E$12/12,2)</f>
        <v>0</v>
      </c>
      <c r="AP219" s="55" t="n">
        <f aca="false">MIN($F$12,AN219+AO219)</f>
        <v>0</v>
      </c>
      <c r="AQ219" s="55" t="n">
        <f aca="false">MAX(0,MIN(AN219+AO219-AP219,$D219-(H219+M219+R219+W219+AB219+AG219+AL219)))</f>
        <v>0</v>
      </c>
      <c r="AR219" s="55" t="n">
        <f aca="false">AP219+AQ219</f>
        <v>0</v>
      </c>
      <c r="AS219" s="55" t="n">
        <f aca="false">ROUND(MAX(0,AS218+AT218-AW218),2)</f>
        <v>0</v>
      </c>
      <c r="AT219" s="55" t="n">
        <f aca="false">ROUND(AS219*$E$13/12,2)</f>
        <v>0</v>
      </c>
      <c r="AU219" s="55" t="n">
        <f aca="false">MIN($F$13,AS219+AT219)</f>
        <v>0</v>
      </c>
      <c r="AV219" s="55" t="n">
        <f aca="false">MAX(0,MIN(AS219+AT219-AU219,$D219-(H219+M219+R219+W219+AB219+AG219+AL219+AQ219)))</f>
        <v>0</v>
      </c>
      <c r="AW219" s="55" t="n">
        <f aca="false">AU219+AV219</f>
        <v>0</v>
      </c>
      <c r="AX219" s="55" t="n">
        <f aca="false">ROUND(MAX(0,AX218+AY218-BB218),2)</f>
        <v>0</v>
      </c>
      <c r="AY219" s="55" t="n">
        <f aca="false">ROUND(AX219*$E$14/12,2)</f>
        <v>0</v>
      </c>
      <c r="AZ219" s="55" t="n">
        <f aca="false">MIN($F$14,AX219+AY219)</f>
        <v>0</v>
      </c>
      <c r="BA219" s="55" t="n">
        <f aca="false">MAX(0,MIN(AX219+AY219-AZ219,$D219-(H219+M219+R219+W219+AB219+AG219+AL219+AQ219+AV219)))</f>
        <v>0</v>
      </c>
      <c r="BB219" s="55" t="n">
        <f aca="false">AZ219+BA219</f>
        <v>0</v>
      </c>
      <c r="BC219" s="55" t="n">
        <f aca="false">I219+N219+S219+X219+AC219+AH219+AM219+AR219+AW219+BB219</f>
        <v>0</v>
      </c>
      <c r="BD219" s="55" t="n">
        <f aca="false">ROUND((E219+F219-I219)+(J219+K219-N219)+(O219+P219-S219)+(T219+U219-X219)+(Y219+Z219-AC219)+(AD219+AE219-AH219)+(AI219+AJ219-AM219)+(AN219+AO219-AR219)+(AS219+AT219-AW219)+(AX219+AY219-BB219),2)</f>
        <v>0</v>
      </c>
      <c r="BE219" s="25" t="str">
        <f aca="false">IF(H219&gt;0.005,$C$5,IF(M219&gt;0.005,$C$6,IF(R219&gt;0.005,$C$7,IF(W219&gt;0.005,$C$8,IF(AB219&gt;0.005,$C$9,IF(AG219&gt;0.005,$C$10,IF(AL219&gt;0.005,$C$11,IF(AQ219&gt;0.005,$C$12,IF(AV219&gt;0.005,$C$13,IF(BA219&gt;0.005,$C$14,""))))))))))</f>
        <v/>
      </c>
    </row>
    <row r="220" customFormat="false" ht="15" hidden="false" customHeight="false" outlineLevel="0" collapsed="false">
      <c r="A220" s="24" t="n">
        <v>197</v>
      </c>
      <c r="B220" s="54" t="n">
        <f aca="false">EDATE($C$17,A220-1)</f>
        <v>52291</v>
      </c>
      <c r="C220" s="55" t="n">
        <f aca="false">G220+L220+Q220+V220+AA220+AF220+AK220+AP220+AU220+AZ220</f>
        <v>0</v>
      </c>
      <c r="D220" s="55" t="n">
        <f aca="false">MAX(0,$C$16-C220)</f>
        <v>5822</v>
      </c>
      <c r="E220" s="55" t="n">
        <f aca="false">ROUND(MAX(0,E219+F219-I219),2)</f>
        <v>0</v>
      </c>
      <c r="F220" s="55" t="n">
        <f aca="false">ROUND(E220*$E$5/12,2)</f>
        <v>0</v>
      </c>
      <c r="G220" s="55" t="n">
        <f aca="false">MIN($F$5,E220+F220)</f>
        <v>0</v>
      </c>
      <c r="H220" s="55" t="n">
        <f aca="false">MAX(0,MIN(E220+F220-G220,$D220))</f>
        <v>0</v>
      </c>
      <c r="I220" s="55" t="n">
        <f aca="false">G220+H220</f>
        <v>0</v>
      </c>
      <c r="J220" s="55" t="n">
        <f aca="false">ROUND(MAX(0,J219+K219-N219),2)</f>
        <v>0</v>
      </c>
      <c r="K220" s="55" t="n">
        <f aca="false">ROUND(J220*$E$6/12,2)</f>
        <v>0</v>
      </c>
      <c r="L220" s="55" t="n">
        <f aca="false">MIN($F$6,J220+K220)</f>
        <v>0</v>
      </c>
      <c r="M220" s="55" t="n">
        <f aca="false">MAX(0,MIN(J220+K220-L220,$D220-(H220)))</f>
        <v>0</v>
      </c>
      <c r="N220" s="55" t="n">
        <f aca="false">L220+M220</f>
        <v>0</v>
      </c>
      <c r="O220" s="55" t="n">
        <f aca="false">ROUND(MAX(0,O219+P219-S219),2)</f>
        <v>0</v>
      </c>
      <c r="P220" s="55" t="n">
        <f aca="false">ROUND(O220*$E$7/12,2)</f>
        <v>0</v>
      </c>
      <c r="Q220" s="55" t="n">
        <f aca="false">MIN($F$7,O220+P220)</f>
        <v>0</v>
      </c>
      <c r="R220" s="55" t="n">
        <f aca="false">MAX(0,MIN(O220+P220-Q220,$D220-(H220+M220)))</f>
        <v>0</v>
      </c>
      <c r="S220" s="55" t="n">
        <f aca="false">Q220+R220</f>
        <v>0</v>
      </c>
      <c r="T220" s="55" t="n">
        <f aca="false">ROUND(MAX(0,T219+U219-X219),2)</f>
        <v>0</v>
      </c>
      <c r="U220" s="55" t="n">
        <f aca="false">ROUND(T220*$E$8/12,2)</f>
        <v>0</v>
      </c>
      <c r="V220" s="55" t="n">
        <f aca="false">MIN($F$8,T220+U220)</f>
        <v>0</v>
      </c>
      <c r="W220" s="55" t="n">
        <f aca="false">MAX(0,MIN(T220+U220-V220,$D220-(H220+M220+R220)))</f>
        <v>0</v>
      </c>
      <c r="X220" s="55" t="n">
        <f aca="false">V220+W220</f>
        <v>0</v>
      </c>
      <c r="Y220" s="55" t="n">
        <f aca="false">ROUND(MAX(0,Y219+Z219-AC219),2)</f>
        <v>0</v>
      </c>
      <c r="Z220" s="55" t="n">
        <f aca="false">ROUND(Y220*$E$9/12,2)</f>
        <v>0</v>
      </c>
      <c r="AA220" s="55" t="n">
        <f aca="false">MIN($F$9,Y220+Z220)</f>
        <v>0</v>
      </c>
      <c r="AB220" s="55" t="n">
        <f aca="false">MAX(0,MIN(Y220+Z220-AA220,$D220-(H220+M220+R220+W220)))</f>
        <v>0</v>
      </c>
      <c r="AC220" s="55" t="n">
        <f aca="false">AA220+AB220</f>
        <v>0</v>
      </c>
      <c r="AD220" s="55" t="n">
        <f aca="false">ROUND(MAX(0,AD219+AE219-AH219),2)</f>
        <v>0</v>
      </c>
      <c r="AE220" s="55" t="n">
        <f aca="false">ROUND(AD220*$E$10/12,2)</f>
        <v>0</v>
      </c>
      <c r="AF220" s="55" t="n">
        <f aca="false">MIN($F$10,AD220+AE220)</f>
        <v>0</v>
      </c>
      <c r="AG220" s="55" t="n">
        <f aca="false">MAX(0,MIN(AD220+AE220-AF220,$D220-(H220+M220+R220+W220+AB220)))</f>
        <v>0</v>
      </c>
      <c r="AH220" s="55" t="n">
        <f aca="false">AF220+AG220</f>
        <v>0</v>
      </c>
      <c r="AI220" s="55" t="n">
        <f aca="false">ROUND(MAX(0,AI219+AJ219-AM219),2)</f>
        <v>0</v>
      </c>
      <c r="AJ220" s="55" t="n">
        <f aca="false">ROUND(AI220*$E$11/12,2)</f>
        <v>0</v>
      </c>
      <c r="AK220" s="55" t="n">
        <f aca="false">MIN($F$11,AI220+AJ220)</f>
        <v>0</v>
      </c>
      <c r="AL220" s="55" t="n">
        <f aca="false">MAX(0,MIN(AI220+AJ220-AK220,$D220-(H220+M220+R220+W220+AB220+AG220)))</f>
        <v>0</v>
      </c>
      <c r="AM220" s="55" t="n">
        <f aca="false">AK220+AL220</f>
        <v>0</v>
      </c>
      <c r="AN220" s="55" t="n">
        <f aca="false">ROUND(MAX(0,AN219+AO219-AR219),2)</f>
        <v>0</v>
      </c>
      <c r="AO220" s="55" t="n">
        <f aca="false">ROUND(AN220*$E$12/12,2)</f>
        <v>0</v>
      </c>
      <c r="AP220" s="55" t="n">
        <f aca="false">MIN($F$12,AN220+AO220)</f>
        <v>0</v>
      </c>
      <c r="AQ220" s="55" t="n">
        <f aca="false">MAX(0,MIN(AN220+AO220-AP220,$D220-(H220+M220+R220+W220+AB220+AG220+AL220)))</f>
        <v>0</v>
      </c>
      <c r="AR220" s="55" t="n">
        <f aca="false">AP220+AQ220</f>
        <v>0</v>
      </c>
      <c r="AS220" s="55" t="n">
        <f aca="false">ROUND(MAX(0,AS219+AT219-AW219),2)</f>
        <v>0</v>
      </c>
      <c r="AT220" s="55" t="n">
        <f aca="false">ROUND(AS220*$E$13/12,2)</f>
        <v>0</v>
      </c>
      <c r="AU220" s="55" t="n">
        <f aca="false">MIN($F$13,AS220+AT220)</f>
        <v>0</v>
      </c>
      <c r="AV220" s="55" t="n">
        <f aca="false">MAX(0,MIN(AS220+AT220-AU220,$D220-(H220+M220+R220+W220+AB220+AG220+AL220+AQ220)))</f>
        <v>0</v>
      </c>
      <c r="AW220" s="55" t="n">
        <f aca="false">AU220+AV220</f>
        <v>0</v>
      </c>
      <c r="AX220" s="55" t="n">
        <f aca="false">ROUND(MAX(0,AX219+AY219-BB219),2)</f>
        <v>0</v>
      </c>
      <c r="AY220" s="55" t="n">
        <f aca="false">ROUND(AX220*$E$14/12,2)</f>
        <v>0</v>
      </c>
      <c r="AZ220" s="55" t="n">
        <f aca="false">MIN($F$14,AX220+AY220)</f>
        <v>0</v>
      </c>
      <c r="BA220" s="55" t="n">
        <f aca="false">MAX(0,MIN(AX220+AY220-AZ220,$D220-(H220+M220+R220+W220+AB220+AG220+AL220+AQ220+AV220)))</f>
        <v>0</v>
      </c>
      <c r="BB220" s="55" t="n">
        <f aca="false">AZ220+BA220</f>
        <v>0</v>
      </c>
      <c r="BC220" s="55" t="n">
        <f aca="false">I220+N220+S220+X220+AC220+AH220+AM220+AR220+AW220+BB220</f>
        <v>0</v>
      </c>
      <c r="BD220" s="55" t="n">
        <f aca="false">ROUND((E220+F220-I220)+(J220+K220-N220)+(O220+P220-S220)+(T220+U220-X220)+(Y220+Z220-AC220)+(AD220+AE220-AH220)+(AI220+AJ220-AM220)+(AN220+AO220-AR220)+(AS220+AT220-AW220)+(AX220+AY220-BB220),2)</f>
        <v>0</v>
      </c>
      <c r="BE220" s="25" t="str">
        <f aca="false">IF(H220&gt;0.005,$C$5,IF(M220&gt;0.005,$C$6,IF(R220&gt;0.005,$C$7,IF(W220&gt;0.005,$C$8,IF(AB220&gt;0.005,$C$9,IF(AG220&gt;0.005,$C$10,IF(AL220&gt;0.005,$C$11,IF(AQ220&gt;0.005,$C$12,IF(AV220&gt;0.005,$C$13,IF(BA220&gt;0.005,$C$14,""))))))))))</f>
        <v/>
      </c>
    </row>
    <row r="221" customFormat="false" ht="15" hidden="false" customHeight="false" outlineLevel="0" collapsed="false">
      <c r="A221" s="24" t="n">
        <v>198</v>
      </c>
      <c r="B221" s="54" t="n">
        <f aca="false">EDATE($C$17,A221-1)</f>
        <v>52322</v>
      </c>
      <c r="C221" s="55" t="n">
        <f aca="false">G221+L221+Q221+V221+AA221+AF221+AK221+AP221+AU221+AZ221</f>
        <v>0</v>
      </c>
      <c r="D221" s="55" t="n">
        <f aca="false">MAX(0,$C$16-C221)</f>
        <v>5822</v>
      </c>
      <c r="E221" s="55" t="n">
        <f aca="false">ROUND(MAX(0,E220+F220-I220),2)</f>
        <v>0</v>
      </c>
      <c r="F221" s="55" t="n">
        <f aca="false">ROUND(E221*$E$5/12,2)</f>
        <v>0</v>
      </c>
      <c r="G221" s="55" t="n">
        <f aca="false">MIN($F$5,E221+F221)</f>
        <v>0</v>
      </c>
      <c r="H221" s="55" t="n">
        <f aca="false">MAX(0,MIN(E221+F221-G221,$D221))</f>
        <v>0</v>
      </c>
      <c r="I221" s="55" t="n">
        <f aca="false">G221+H221</f>
        <v>0</v>
      </c>
      <c r="J221" s="55" t="n">
        <f aca="false">ROUND(MAX(0,J220+K220-N220),2)</f>
        <v>0</v>
      </c>
      <c r="K221" s="55" t="n">
        <f aca="false">ROUND(J221*$E$6/12,2)</f>
        <v>0</v>
      </c>
      <c r="L221" s="55" t="n">
        <f aca="false">MIN($F$6,J221+K221)</f>
        <v>0</v>
      </c>
      <c r="M221" s="55" t="n">
        <f aca="false">MAX(0,MIN(J221+K221-L221,$D221-(H221)))</f>
        <v>0</v>
      </c>
      <c r="N221" s="55" t="n">
        <f aca="false">L221+M221</f>
        <v>0</v>
      </c>
      <c r="O221" s="55" t="n">
        <f aca="false">ROUND(MAX(0,O220+P220-S220),2)</f>
        <v>0</v>
      </c>
      <c r="P221" s="55" t="n">
        <f aca="false">ROUND(O221*$E$7/12,2)</f>
        <v>0</v>
      </c>
      <c r="Q221" s="55" t="n">
        <f aca="false">MIN($F$7,O221+P221)</f>
        <v>0</v>
      </c>
      <c r="R221" s="55" t="n">
        <f aca="false">MAX(0,MIN(O221+P221-Q221,$D221-(H221+M221)))</f>
        <v>0</v>
      </c>
      <c r="S221" s="55" t="n">
        <f aca="false">Q221+R221</f>
        <v>0</v>
      </c>
      <c r="T221" s="55" t="n">
        <f aca="false">ROUND(MAX(0,T220+U220-X220),2)</f>
        <v>0</v>
      </c>
      <c r="U221" s="55" t="n">
        <f aca="false">ROUND(T221*$E$8/12,2)</f>
        <v>0</v>
      </c>
      <c r="V221" s="55" t="n">
        <f aca="false">MIN($F$8,T221+U221)</f>
        <v>0</v>
      </c>
      <c r="W221" s="55" t="n">
        <f aca="false">MAX(0,MIN(T221+U221-V221,$D221-(H221+M221+R221)))</f>
        <v>0</v>
      </c>
      <c r="X221" s="55" t="n">
        <f aca="false">V221+W221</f>
        <v>0</v>
      </c>
      <c r="Y221" s="55" t="n">
        <f aca="false">ROUND(MAX(0,Y220+Z220-AC220),2)</f>
        <v>0</v>
      </c>
      <c r="Z221" s="55" t="n">
        <f aca="false">ROUND(Y221*$E$9/12,2)</f>
        <v>0</v>
      </c>
      <c r="AA221" s="55" t="n">
        <f aca="false">MIN($F$9,Y221+Z221)</f>
        <v>0</v>
      </c>
      <c r="AB221" s="55" t="n">
        <f aca="false">MAX(0,MIN(Y221+Z221-AA221,$D221-(H221+M221+R221+W221)))</f>
        <v>0</v>
      </c>
      <c r="AC221" s="55" t="n">
        <f aca="false">AA221+AB221</f>
        <v>0</v>
      </c>
      <c r="AD221" s="55" t="n">
        <f aca="false">ROUND(MAX(0,AD220+AE220-AH220),2)</f>
        <v>0</v>
      </c>
      <c r="AE221" s="55" t="n">
        <f aca="false">ROUND(AD221*$E$10/12,2)</f>
        <v>0</v>
      </c>
      <c r="AF221" s="55" t="n">
        <f aca="false">MIN($F$10,AD221+AE221)</f>
        <v>0</v>
      </c>
      <c r="AG221" s="55" t="n">
        <f aca="false">MAX(0,MIN(AD221+AE221-AF221,$D221-(H221+M221+R221+W221+AB221)))</f>
        <v>0</v>
      </c>
      <c r="AH221" s="55" t="n">
        <f aca="false">AF221+AG221</f>
        <v>0</v>
      </c>
      <c r="AI221" s="55" t="n">
        <f aca="false">ROUND(MAX(0,AI220+AJ220-AM220),2)</f>
        <v>0</v>
      </c>
      <c r="AJ221" s="55" t="n">
        <f aca="false">ROUND(AI221*$E$11/12,2)</f>
        <v>0</v>
      </c>
      <c r="AK221" s="55" t="n">
        <f aca="false">MIN($F$11,AI221+AJ221)</f>
        <v>0</v>
      </c>
      <c r="AL221" s="55" t="n">
        <f aca="false">MAX(0,MIN(AI221+AJ221-AK221,$D221-(H221+M221+R221+W221+AB221+AG221)))</f>
        <v>0</v>
      </c>
      <c r="AM221" s="55" t="n">
        <f aca="false">AK221+AL221</f>
        <v>0</v>
      </c>
      <c r="AN221" s="55" t="n">
        <f aca="false">ROUND(MAX(0,AN220+AO220-AR220),2)</f>
        <v>0</v>
      </c>
      <c r="AO221" s="55" t="n">
        <f aca="false">ROUND(AN221*$E$12/12,2)</f>
        <v>0</v>
      </c>
      <c r="AP221" s="55" t="n">
        <f aca="false">MIN($F$12,AN221+AO221)</f>
        <v>0</v>
      </c>
      <c r="AQ221" s="55" t="n">
        <f aca="false">MAX(0,MIN(AN221+AO221-AP221,$D221-(H221+M221+R221+W221+AB221+AG221+AL221)))</f>
        <v>0</v>
      </c>
      <c r="AR221" s="55" t="n">
        <f aca="false">AP221+AQ221</f>
        <v>0</v>
      </c>
      <c r="AS221" s="55" t="n">
        <f aca="false">ROUND(MAX(0,AS220+AT220-AW220),2)</f>
        <v>0</v>
      </c>
      <c r="AT221" s="55" t="n">
        <f aca="false">ROUND(AS221*$E$13/12,2)</f>
        <v>0</v>
      </c>
      <c r="AU221" s="55" t="n">
        <f aca="false">MIN($F$13,AS221+AT221)</f>
        <v>0</v>
      </c>
      <c r="AV221" s="55" t="n">
        <f aca="false">MAX(0,MIN(AS221+AT221-AU221,$D221-(H221+M221+R221+W221+AB221+AG221+AL221+AQ221)))</f>
        <v>0</v>
      </c>
      <c r="AW221" s="55" t="n">
        <f aca="false">AU221+AV221</f>
        <v>0</v>
      </c>
      <c r="AX221" s="55" t="n">
        <f aca="false">ROUND(MAX(0,AX220+AY220-BB220),2)</f>
        <v>0</v>
      </c>
      <c r="AY221" s="55" t="n">
        <f aca="false">ROUND(AX221*$E$14/12,2)</f>
        <v>0</v>
      </c>
      <c r="AZ221" s="55" t="n">
        <f aca="false">MIN($F$14,AX221+AY221)</f>
        <v>0</v>
      </c>
      <c r="BA221" s="55" t="n">
        <f aca="false">MAX(0,MIN(AX221+AY221-AZ221,$D221-(H221+M221+R221+W221+AB221+AG221+AL221+AQ221+AV221)))</f>
        <v>0</v>
      </c>
      <c r="BB221" s="55" t="n">
        <f aca="false">AZ221+BA221</f>
        <v>0</v>
      </c>
      <c r="BC221" s="55" t="n">
        <f aca="false">I221+N221+S221+X221+AC221+AH221+AM221+AR221+AW221+BB221</f>
        <v>0</v>
      </c>
      <c r="BD221" s="55" t="n">
        <f aca="false">ROUND((E221+F221-I221)+(J221+K221-N221)+(O221+P221-S221)+(T221+U221-X221)+(Y221+Z221-AC221)+(AD221+AE221-AH221)+(AI221+AJ221-AM221)+(AN221+AO221-AR221)+(AS221+AT221-AW221)+(AX221+AY221-BB221),2)</f>
        <v>0</v>
      </c>
      <c r="BE221" s="25" t="str">
        <f aca="false">IF(H221&gt;0.005,$C$5,IF(M221&gt;0.005,$C$6,IF(R221&gt;0.005,$C$7,IF(W221&gt;0.005,$C$8,IF(AB221&gt;0.005,$C$9,IF(AG221&gt;0.005,$C$10,IF(AL221&gt;0.005,$C$11,IF(AQ221&gt;0.005,$C$12,IF(AV221&gt;0.005,$C$13,IF(BA221&gt;0.005,$C$14,""))))))))))</f>
        <v/>
      </c>
    </row>
    <row r="222" customFormat="false" ht="15" hidden="false" customHeight="false" outlineLevel="0" collapsed="false">
      <c r="A222" s="24" t="n">
        <v>199</v>
      </c>
      <c r="B222" s="54" t="n">
        <f aca="false">EDATE($C$17,A222-1)</f>
        <v>52352</v>
      </c>
      <c r="C222" s="55" t="n">
        <f aca="false">G222+L222+Q222+V222+AA222+AF222+AK222+AP222+AU222+AZ222</f>
        <v>0</v>
      </c>
      <c r="D222" s="55" t="n">
        <f aca="false">MAX(0,$C$16-C222)</f>
        <v>5822</v>
      </c>
      <c r="E222" s="55" t="n">
        <f aca="false">ROUND(MAX(0,E221+F221-I221),2)</f>
        <v>0</v>
      </c>
      <c r="F222" s="55" t="n">
        <f aca="false">ROUND(E222*$E$5/12,2)</f>
        <v>0</v>
      </c>
      <c r="G222" s="55" t="n">
        <f aca="false">MIN($F$5,E222+F222)</f>
        <v>0</v>
      </c>
      <c r="H222" s="55" t="n">
        <f aca="false">MAX(0,MIN(E222+F222-G222,$D222))</f>
        <v>0</v>
      </c>
      <c r="I222" s="55" t="n">
        <f aca="false">G222+H222</f>
        <v>0</v>
      </c>
      <c r="J222" s="55" t="n">
        <f aca="false">ROUND(MAX(0,J221+K221-N221),2)</f>
        <v>0</v>
      </c>
      <c r="K222" s="55" t="n">
        <f aca="false">ROUND(J222*$E$6/12,2)</f>
        <v>0</v>
      </c>
      <c r="L222" s="55" t="n">
        <f aca="false">MIN($F$6,J222+K222)</f>
        <v>0</v>
      </c>
      <c r="M222" s="55" t="n">
        <f aca="false">MAX(0,MIN(J222+K222-L222,$D222-(H222)))</f>
        <v>0</v>
      </c>
      <c r="N222" s="55" t="n">
        <f aca="false">L222+M222</f>
        <v>0</v>
      </c>
      <c r="O222" s="55" t="n">
        <f aca="false">ROUND(MAX(0,O221+P221-S221),2)</f>
        <v>0</v>
      </c>
      <c r="P222" s="55" t="n">
        <f aca="false">ROUND(O222*$E$7/12,2)</f>
        <v>0</v>
      </c>
      <c r="Q222" s="55" t="n">
        <f aca="false">MIN($F$7,O222+P222)</f>
        <v>0</v>
      </c>
      <c r="R222" s="55" t="n">
        <f aca="false">MAX(0,MIN(O222+P222-Q222,$D222-(H222+M222)))</f>
        <v>0</v>
      </c>
      <c r="S222" s="55" t="n">
        <f aca="false">Q222+R222</f>
        <v>0</v>
      </c>
      <c r="T222" s="55" t="n">
        <f aca="false">ROUND(MAX(0,T221+U221-X221),2)</f>
        <v>0</v>
      </c>
      <c r="U222" s="55" t="n">
        <f aca="false">ROUND(T222*$E$8/12,2)</f>
        <v>0</v>
      </c>
      <c r="V222" s="55" t="n">
        <f aca="false">MIN($F$8,T222+U222)</f>
        <v>0</v>
      </c>
      <c r="W222" s="55" t="n">
        <f aca="false">MAX(0,MIN(T222+U222-V222,$D222-(H222+M222+R222)))</f>
        <v>0</v>
      </c>
      <c r="X222" s="55" t="n">
        <f aca="false">V222+W222</f>
        <v>0</v>
      </c>
      <c r="Y222" s="55" t="n">
        <f aca="false">ROUND(MAX(0,Y221+Z221-AC221),2)</f>
        <v>0</v>
      </c>
      <c r="Z222" s="55" t="n">
        <f aca="false">ROUND(Y222*$E$9/12,2)</f>
        <v>0</v>
      </c>
      <c r="AA222" s="55" t="n">
        <f aca="false">MIN($F$9,Y222+Z222)</f>
        <v>0</v>
      </c>
      <c r="AB222" s="55" t="n">
        <f aca="false">MAX(0,MIN(Y222+Z222-AA222,$D222-(H222+M222+R222+W222)))</f>
        <v>0</v>
      </c>
      <c r="AC222" s="55" t="n">
        <f aca="false">AA222+AB222</f>
        <v>0</v>
      </c>
      <c r="AD222" s="55" t="n">
        <f aca="false">ROUND(MAX(0,AD221+AE221-AH221),2)</f>
        <v>0</v>
      </c>
      <c r="AE222" s="55" t="n">
        <f aca="false">ROUND(AD222*$E$10/12,2)</f>
        <v>0</v>
      </c>
      <c r="AF222" s="55" t="n">
        <f aca="false">MIN($F$10,AD222+AE222)</f>
        <v>0</v>
      </c>
      <c r="AG222" s="55" t="n">
        <f aca="false">MAX(0,MIN(AD222+AE222-AF222,$D222-(H222+M222+R222+W222+AB222)))</f>
        <v>0</v>
      </c>
      <c r="AH222" s="55" t="n">
        <f aca="false">AF222+AG222</f>
        <v>0</v>
      </c>
      <c r="AI222" s="55" t="n">
        <f aca="false">ROUND(MAX(0,AI221+AJ221-AM221),2)</f>
        <v>0</v>
      </c>
      <c r="AJ222" s="55" t="n">
        <f aca="false">ROUND(AI222*$E$11/12,2)</f>
        <v>0</v>
      </c>
      <c r="AK222" s="55" t="n">
        <f aca="false">MIN($F$11,AI222+AJ222)</f>
        <v>0</v>
      </c>
      <c r="AL222" s="55" t="n">
        <f aca="false">MAX(0,MIN(AI222+AJ222-AK222,$D222-(H222+M222+R222+W222+AB222+AG222)))</f>
        <v>0</v>
      </c>
      <c r="AM222" s="55" t="n">
        <f aca="false">AK222+AL222</f>
        <v>0</v>
      </c>
      <c r="AN222" s="55" t="n">
        <f aca="false">ROUND(MAX(0,AN221+AO221-AR221),2)</f>
        <v>0</v>
      </c>
      <c r="AO222" s="55" t="n">
        <f aca="false">ROUND(AN222*$E$12/12,2)</f>
        <v>0</v>
      </c>
      <c r="AP222" s="55" t="n">
        <f aca="false">MIN($F$12,AN222+AO222)</f>
        <v>0</v>
      </c>
      <c r="AQ222" s="55" t="n">
        <f aca="false">MAX(0,MIN(AN222+AO222-AP222,$D222-(H222+M222+R222+W222+AB222+AG222+AL222)))</f>
        <v>0</v>
      </c>
      <c r="AR222" s="55" t="n">
        <f aca="false">AP222+AQ222</f>
        <v>0</v>
      </c>
      <c r="AS222" s="55" t="n">
        <f aca="false">ROUND(MAX(0,AS221+AT221-AW221),2)</f>
        <v>0</v>
      </c>
      <c r="AT222" s="55" t="n">
        <f aca="false">ROUND(AS222*$E$13/12,2)</f>
        <v>0</v>
      </c>
      <c r="AU222" s="55" t="n">
        <f aca="false">MIN($F$13,AS222+AT222)</f>
        <v>0</v>
      </c>
      <c r="AV222" s="55" t="n">
        <f aca="false">MAX(0,MIN(AS222+AT222-AU222,$D222-(H222+M222+R222+W222+AB222+AG222+AL222+AQ222)))</f>
        <v>0</v>
      </c>
      <c r="AW222" s="55" t="n">
        <f aca="false">AU222+AV222</f>
        <v>0</v>
      </c>
      <c r="AX222" s="55" t="n">
        <f aca="false">ROUND(MAX(0,AX221+AY221-BB221),2)</f>
        <v>0</v>
      </c>
      <c r="AY222" s="55" t="n">
        <f aca="false">ROUND(AX222*$E$14/12,2)</f>
        <v>0</v>
      </c>
      <c r="AZ222" s="55" t="n">
        <f aca="false">MIN($F$14,AX222+AY222)</f>
        <v>0</v>
      </c>
      <c r="BA222" s="55" t="n">
        <f aca="false">MAX(0,MIN(AX222+AY222-AZ222,$D222-(H222+M222+R222+W222+AB222+AG222+AL222+AQ222+AV222)))</f>
        <v>0</v>
      </c>
      <c r="BB222" s="55" t="n">
        <f aca="false">AZ222+BA222</f>
        <v>0</v>
      </c>
      <c r="BC222" s="55" t="n">
        <f aca="false">I222+N222+S222+X222+AC222+AH222+AM222+AR222+AW222+BB222</f>
        <v>0</v>
      </c>
      <c r="BD222" s="55" t="n">
        <f aca="false">ROUND((E222+F222-I222)+(J222+K222-N222)+(O222+P222-S222)+(T222+U222-X222)+(Y222+Z222-AC222)+(AD222+AE222-AH222)+(AI222+AJ222-AM222)+(AN222+AO222-AR222)+(AS222+AT222-AW222)+(AX222+AY222-BB222),2)</f>
        <v>0</v>
      </c>
      <c r="BE222" s="25" t="str">
        <f aca="false">IF(H222&gt;0.005,$C$5,IF(M222&gt;0.005,$C$6,IF(R222&gt;0.005,$C$7,IF(W222&gt;0.005,$C$8,IF(AB222&gt;0.005,$C$9,IF(AG222&gt;0.005,$C$10,IF(AL222&gt;0.005,$C$11,IF(AQ222&gt;0.005,$C$12,IF(AV222&gt;0.005,$C$13,IF(BA222&gt;0.005,$C$14,""))))))))))</f>
        <v/>
      </c>
    </row>
    <row r="223" customFormat="false" ht="15" hidden="false" customHeight="false" outlineLevel="0" collapsed="false">
      <c r="A223" s="24" t="n">
        <v>200</v>
      </c>
      <c r="B223" s="54" t="n">
        <f aca="false">EDATE($C$17,A223-1)</f>
        <v>52383</v>
      </c>
      <c r="C223" s="55" t="n">
        <f aca="false">G223+L223+Q223+V223+AA223+AF223+AK223+AP223+AU223+AZ223</f>
        <v>0</v>
      </c>
      <c r="D223" s="55" t="n">
        <f aca="false">MAX(0,$C$16-C223)</f>
        <v>5822</v>
      </c>
      <c r="E223" s="55" t="n">
        <f aca="false">ROUND(MAX(0,E222+F222-I222),2)</f>
        <v>0</v>
      </c>
      <c r="F223" s="55" t="n">
        <f aca="false">ROUND(E223*$E$5/12,2)</f>
        <v>0</v>
      </c>
      <c r="G223" s="55" t="n">
        <f aca="false">MIN($F$5,E223+F223)</f>
        <v>0</v>
      </c>
      <c r="H223" s="55" t="n">
        <f aca="false">MAX(0,MIN(E223+F223-G223,$D223))</f>
        <v>0</v>
      </c>
      <c r="I223" s="55" t="n">
        <f aca="false">G223+H223</f>
        <v>0</v>
      </c>
      <c r="J223" s="55" t="n">
        <f aca="false">ROUND(MAX(0,J222+K222-N222),2)</f>
        <v>0</v>
      </c>
      <c r="K223" s="55" t="n">
        <f aca="false">ROUND(J223*$E$6/12,2)</f>
        <v>0</v>
      </c>
      <c r="L223" s="55" t="n">
        <f aca="false">MIN($F$6,J223+K223)</f>
        <v>0</v>
      </c>
      <c r="M223" s="55" t="n">
        <f aca="false">MAX(0,MIN(J223+K223-L223,$D223-(H223)))</f>
        <v>0</v>
      </c>
      <c r="N223" s="55" t="n">
        <f aca="false">L223+M223</f>
        <v>0</v>
      </c>
      <c r="O223" s="55" t="n">
        <f aca="false">ROUND(MAX(0,O222+P222-S222),2)</f>
        <v>0</v>
      </c>
      <c r="P223" s="55" t="n">
        <f aca="false">ROUND(O223*$E$7/12,2)</f>
        <v>0</v>
      </c>
      <c r="Q223" s="55" t="n">
        <f aca="false">MIN($F$7,O223+P223)</f>
        <v>0</v>
      </c>
      <c r="R223" s="55" t="n">
        <f aca="false">MAX(0,MIN(O223+P223-Q223,$D223-(H223+M223)))</f>
        <v>0</v>
      </c>
      <c r="S223" s="55" t="n">
        <f aca="false">Q223+R223</f>
        <v>0</v>
      </c>
      <c r="T223" s="55" t="n">
        <f aca="false">ROUND(MAX(0,T222+U222-X222),2)</f>
        <v>0</v>
      </c>
      <c r="U223" s="55" t="n">
        <f aca="false">ROUND(T223*$E$8/12,2)</f>
        <v>0</v>
      </c>
      <c r="V223" s="55" t="n">
        <f aca="false">MIN($F$8,T223+U223)</f>
        <v>0</v>
      </c>
      <c r="W223" s="55" t="n">
        <f aca="false">MAX(0,MIN(T223+U223-V223,$D223-(H223+M223+R223)))</f>
        <v>0</v>
      </c>
      <c r="X223" s="55" t="n">
        <f aca="false">V223+W223</f>
        <v>0</v>
      </c>
      <c r="Y223" s="55" t="n">
        <f aca="false">ROUND(MAX(0,Y222+Z222-AC222),2)</f>
        <v>0</v>
      </c>
      <c r="Z223" s="55" t="n">
        <f aca="false">ROUND(Y223*$E$9/12,2)</f>
        <v>0</v>
      </c>
      <c r="AA223" s="55" t="n">
        <f aca="false">MIN($F$9,Y223+Z223)</f>
        <v>0</v>
      </c>
      <c r="AB223" s="55" t="n">
        <f aca="false">MAX(0,MIN(Y223+Z223-AA223,$D223-(H223+M223+R223+W223)))</f>
        <v>0</v>
      </c>
      <c r="AC223" s="55" t="n">
        <f aca="false">AA223+AB223</f>
        <v>0</v>
      </c>
      <c r="AD223" s="55" t="n">
        <f aca="false">ROUND(MAX(0,AD222+AE222-AH222),2)</f>
        <v>0</v>
      </c>
      <c r="AE223" s="55" t="n">
        <f aca="false">ROUND(AD223*$E$10/12,2)</f>
        <v>0</v>
      </c>
      <c r="AF223" s="55" t="n">
        <f aca="false">MIN($F$10,AD223+AE223)</f>
        <v>0</v>
      </c>
      <c r="AG223" s="55" t="n">
        <f aca="false">MAX(0,MIN(AD223+AE223-AF223,$D223-(H223+M223+R223+W223+AB223)))</f>
        <v>0</v>
      </c>
      <c r="AH223" s="55" t="n">
        <f aca="false">AF223+AG223</f>
        <v>0</v>
      </c>
      <c r="AI223" s="55" t="n">
        <f aca="false">ROUND(MAX(0,AI222+AJ222-AM222),2)</f>
        <v>0</v>
      </c>
      <c r="AJ223" s="55" t="n">
        <f aca="false">ROUND(AI223*$E$11/12,2)</f>
        <v>0</v>
      </c>
      <c r="AK223" s="55" t="n">
        <f aca="false">MIN($F$11,AI223+AJ223)</f>
        <v>0</v>
      </c>
      <c r="AL223" s="55" t="n">
        <f aca="false">MAX(0,MIN(AI223+AJ223-AK223,$D223-(H223+M223+R223+W223+AB223+AG223)))</f>
        <v>0</v>
      </c>
      <c r="AM223" s="55" t="n">
        <f aca="false">AK223+AL223</f>
        <v>0</v>
      </c>
      <c r="AN223" s="55" t="n">
        <f aca="false">ROUND(MAX(0,AN222+AO222-AR222),2)</f>
        <v>0</v>
      </c>
      <c r="AO223" s="55" t="n">
        <f aca="false">ROUND(AN223*$E$12/12,2)</f>
        <v>0</v>
      </c>
      <c r="AP223" s="55" t="n">
        <f aca="false">MIN($F$12,AN223+AO223)</f>
        <v>0</v>
      </c>
      <c r="AQ223" s="55" t="n">
        <f aca="false">MAX(0,MIN(AN223+AO223-AP223,$D223-(H223+M223+R223+W223+AB223+AG223+AL223)))</f>
        <v>0</v>
      </c>
      <c r="AR223" s="55" t="n">
        <f aca="false">AP223+AQ223</f>
        <v>0</v>
      </c>
      <c r="AS223" s="55" t="n">
        <f aca="false">ROUND(MAX(0,AS222+AT222-AW222),2)</f>
        <v>0</v>
      </c>
      <c r="AT223" s="55" t="n">
        <f aca="false">ROUND(AS223*$E$13/12,2)</f>
        <v>0</v>
      </c>
      <c r="AU223" s="55" t="n">
        <f aca="false">MIN($F$13,AS223+AT223)</f>
        <v>0</v>
      </c>
      <c r="AV223" s="55" t="n">
        <f aca="false">MAX(0,MIN(AS223+AT223-AU223,$D223-(H223+M223+R223+W223+AB223+AG223+AL223+AQ223)))</f>
        <v>0</v>
      </c>
      <c r="AW223" s="55" t="n">
        <f aca="false">AU223+AV223</f>
        <v>0</v>
      </c>
      <c r="AX223" s="55" t="n">
        <f aca="false">ROUND(MAX(0,AX222+AY222-BB222),2)</f>
        <v>0</v>
      </c>
      <c r="AY223" s="55" t="n">
        <f aca="false">ROUND(AX223*$E$14/12,2)</f>
        <v>0</v>
      </c>
      <c r="AZ223" s="55" t="n">
        <f aca="false">MIN($F$14,AX223+AY223)</f>
        <v>0</v>
      </c>
      <c r="BA223" s="55" t="n">
        <f aca="false">MAX(0,MIN(AX223+AY223-AZ223,$D223-(H223+M223+R223+W223+AB223+AG223+AL223+AQ223+AV223)))</f>
        <v>0</v>
      </c>
      <c r="BB223" s="55" t="n">
        <f aca="false">AZ223+BA223</f>
        <v>0</v>
      </c>
      <c r="BC223" s="55" t="n">
        <f aca="false">I223+N223+S223+X223+AC223+AH223+AM223+AR223+AW223+BB223</f>
        <v>0</v>
      </c>
      <c r="BD223" s="55" t="n">
        <f aca="false">ROUND((E223+F223-I223)+(J223+K223-N223)+(O223+P223-S223)+(T223+U223-X223)+(Y223+Z223-AC223)+(AD223+AE223-AH223)+(AI223+AJ223-AM223)+(AN223+AO223-AR223)+(AS223+AT223-AW223)+(AX223+AY223-BB223),2)</f>
        <v>0</v>
      </c>
      <c r="BE223" s="25" t="str">
        <f aca="false">IF(H223&gt;0.005,$C$5,IF(M223&gt;0.005,$C$6,IF(R223&gt;0.005,$C$7,IF(W223&gt;0.005,$C$8,IF(AB223&gt;0.005,$C$9,IF(AG223&gt;0.005,$C$10,IF(AL223&gt;0.005,$C$11,IF(AQ223&gt;0.005,$C$12,IF(AV223&gt;0.005,$C$13,IF(BA223&gt;0.005,$C$14,""))))))))))</f>
        <v/>
      </c>
    </row>
    <row r="224" customFormat="false" ht="15" hidden="false" customHeight="false" outlineLevel="0" collapsed="false">
      <c r="A224" s="24" t="n">
        <v>201</v>
      </c>
      <c r="B224" s="54" t="n">
        <f aca="false">EDATE($C$17,A224-1)</f>
        <v>52413</v>
      </c>
      <c r="C224" s="55" t="n">
        <f aca="false">G224+L224+Q224+V224+AA224+AF224+AK224+AP224+AU224+AZ224</f>
        <v>0</v>
      </c>
      <c r="D224" s="55" t="n">
        <f aca="false">MAX(0,$C$16-C224)</f>
        <v>5822</v>
      </c>
      <c r="E224" s="55" t="n">
        <f aca="false">ROUND(MAX(0,E223+F223-I223),2)</f>
        <v>0</v>
      </c>
      <c r="F224" s="55" t="n">
        <f aca="false">ROUND(E224*$E$5/12,2)</f>
        <v>0</v>
      </c>
      <c r="G224" s="55" t="n">
        <f aca="false">MIN($F$5,E224+F224)</f>
        <v>0</v>
      </c>
      <c r="H224" s="55" t="n">
        <f aca="false">MAX(0,MIN(E224+F224-G224,$D224))</f>
        <v>0</v>
      </c>
      <c r="I224" s="55" t="n">
        <f aca="false">G224+H224</f>
        <v>0</v>
      </c>
      <c r="J224" s="55" t="n">
        <f aca="false">ROUND(MAX(0,J223+K223-N223),2)</f>
        <v>0</v>
      </c>
      <c r="K224" s="55" t="n">
        <f aca="false">ROUND(J224*$E$6/12,2)</f>
        <v>0</v>
      </c>
      <c r="L224" s="55" t="n">
        <f aca="false">MIN($F$6,J224+K224)</f>
        <v>0</v>
      </c>
      <c r="M224" s="55" t="n">
        <f aca="false">MAX(0,MIN(J224+K224-L224,$D224-(H224)))</f>
        <v>0</v>
      </c>
      <c r="N224" s="55" t="n">
        <f aca="false">L224+M224</f>
        <v>0</v>
      </c>
      <c r="O224" s="55" t="n">
        <f aca="false">ROUND(MAX(0,O223+P223-S223),2)</f>
        <v>0</v>
      </c>
      <c r="P224" s="55" t="n">
        <f aca="false">ROUND(O224*$E$7/12,2)</f>
        <v>0</v>
      </c>
      <c r="Q224" s="55" t="n">
        <f aca="false">MIN($F$7,O224+P224)</f>
        <v>0</v>
      </c>
      <c r="R224" s="55" t="n">
        <f aca="false">MAX(0,MIN(O224+P224-Q224,$D224-(H224+M224)))</f>
        <v>0</v>
      </c>
      <c r="S224" s="55" t="n">
        <f aca="false">Q224+R224</f>
        <v>0</v>
      </c>
      <c r="T224" s="55" t="n">
        <f aca="false">ROUND(MAX(0,T223+U223-X223),2)</f>
        <v>0</v>
      </c>
      <c r="U224" s="55" t="n">
        <f aca="false">ROUND(T224*$E$8/12,2)</f>
        <v>0</v>
      </c>
      <c r="V224" s="55" t="n">
        <f aca="false">MIN($F$8,T224+U224)</f>
        <v>0</v>
      </c>
      <c r="W224" s="55" t="n">
        <f aca="false">MAX(0,MIN(T224+U224-V224,$D224-(H224+M224+R224)))</f>
        <v>0</v>
      </c>
      <c r="X224" s="55" t="n">
        <f aca="false">V224+W224</f>
        <v>0</v>
      </c>
      <c r="Y224" s="55" t="n">
        <f aca="false">ROUND(MAX(0,Y223+Z223-AC223),2)</f>
        <v>0</v>
      </c>
      <c r="Z224" s="55" t="n">
        <f aca="false">ROUND(Y224*$E$9/12,2)</f>
        <v>0</v>
      </c>
      <c r="AA224" s="55" t="n">
        <f aca="false">MIN($F$9,Y224+Z224)</f>
        <v>0</v>
      </c>
      <c r="AB224" s="55" t="n">
        <f aca="false">MAX(0,MIN(Y224+Z224-AA224,$D224-(H224+M224+R224+W224)))</f>
        <v>0</v>
      </c>
      <c r="AC224" s="55" t="n">
        <f aca="false">AA224+AB224</f>
        <v>0</v>
      </c>
      <c r="AD224" s="55" t="n">
        <f aca="false">ROUND(MAX(0,AD223+AE223-AH223),2)</f>
        <v>0</v>
      </c>
      <c r="AE224" s="55" t="n">
        <f aca="false">ROUND(AD224*$E$10/12,2)</f>
        <v>0</v>
      </c>
      <c r="AF224" s="55" t="n">
        <f aca="false">MIN($F$10,AD224+AE224)</f>
        <v>0</v>
      </c>
      <c r="AG224" s="55" t="n">
        <f aca="false">MAX(0,MIN(AD224+AE224-AF224,$D224-(H224+M224+R224+W224+AB224)))</f>
        <v>0</v>
      </c>
      <c r="AH224" s="55" t="n">
        <f aca="false">AF224+AG224</f>
        <v>0</v>
      </c>
      <c r="AI224" s="55" t="n">
        <f aca="false">ROUND(MAX(0,AI223+AJ223-AM223),2)</f>
        <v>0</v>
      </c>
      <c r="AJ224" s="55" t="n">
        <f aca="false">ROUND(AI224*$E$11/12,2)</f>
        <v>0</v>
      </c>
      <c r="AK224" s="55" t="n">
        <f aca="false">MIN($F$11,AI224+AJ224)</f>
        <v>0</v>
      </c>
      <c r="AL224" s="55" t="n">
        <f aca="false">MAX(0,MIN(AI224+AJ224-AK224,$D224-(H224+M224+R224+W224+AB224+AG224)))</f>
        <v>0</v>
      </c>
      <c r="AM224" s="55" t="n">
        <f aca="false">AK224+AL224</f>
        <v>0</v>
      </c>
      <c r="AN224" s="55" t="n">
        <f aca="false">ROUND(MAX(0,AN223+AO223-AR223),2)</f>
        <v>0</v>
      </c>
      <c r="AO224" s="55" t="n">
        <f aca="false">ROUND(AN224*$E$12/12,2)</f>
        <v>0</v>
      </c>
      <c r="AP224" s="55" t="n">
        <f aca="false">MIN($F$12,AN224+AO224)</f>
        <v>0</v>
      </c>
      <c r="AQ224" s="55" t="n">
        <f aca="false">MAX(0,MIN(AN224+AO224-AP224,$D224-(H224+M224+R224+W224+AB224+AG224+AL224)))</f>
        <v>0</v>
      </c>
      <c r="AR224" s="55" t="n">
        <f aca="false">AP224+AQ224</f>
        <v>0</v>
      </c>
      <c r="AS224" s="55" t="n">
        <f aca="false">ROUND(MAX(0,AS223+AT223-AW223),2)</f>
        <v>0</v>
      </c>
      <c r="AT224" s="55" t="n">
        <f aca="false">ROUND(AS224*$E$13/12,2)</f>
        <v>0</v>
      </c>
      <c r="AU224" s="55" t="n">
        <f aca="false">MIN($F$13,AS224+AT224)</f>
        <v>0</v>
      </c>
      <c r="AV224" s="55" t="n">
        <f aca="false">MAX(0,MIN(AS224+AT224-AU224,$D224-(H224+M224+R224+W224+AB224+AG224+AL224+AQ224)))</f>
        <v>0</v>
      </c>
      <c r="AW224" s="55" t="n">
        <f aca="false">AU224+AV224</f>
        <v>0</v>
      </c>
      <c r="AX224" s="55" t="n">
        <f aca="false">ROUND(MAX(0,AX223+AY223-BB223),2)</f>
        <v>0</v>
      </c>
      <c r="AY224" s="55" t="n">
        <f aca="false">ROUND(AX224*$E$14/12,2)</f>
        <v>0</v>
      </c>
      <c r="AZ224" s="55" t="n">
        <f aca="false">MIN($F$14,AX224+AY224)</f>
        <v>0</v>
      </c>
      <c r="BA224" s="55" t="n">
        <f aca="false">MAX(0,MIN(AX224+AY224-AZ224,$D224-(H224+M224+R224+W224+AB224+AG224+AL224+AQ224+AV224)))</f>
        <v>0</v>
      </c>
      <c r="BB224" s="55" t="n">
        <f aca="false">AZ224+BA224</f>
        <v>0</v>
      </c>
      <c r="BC224" s="55" t="n">
        <f aca="false">I224+N224+S224+X224+AC224+AH224+AM224+AR224+AW224+BB224</f>
        <v>0</v>
      </c>
      <c r="BD224" s="55" t="n">
        <f aca="false">ROUND((E224+F224-I224)+(J224+K224-N224)+(O224+P224-S224)+(T224+U224-X224)+(Y224+Z224-AC224)+(AD224+AE224-AH224)+(AI224+AJ224-AM224)+(AN224+AO224-AR224)+(AS224+AT224-AW224)+(AX224+AY224-BB224),2)</f>
        <v>0</v>
      </c>
      <c r="BE224" s="25" t="str">
        <f aca="false">IF(H224&gt;0.005,$C$5,IF(M224&gt;0.005,$C$6,IF(R224&gt;0.005,$C$7,IF(W224&gt;0.005,$C$8,IF(AB224&gt;0.005,$C$9,IF(AG224&gt;0.005,$C$10,IF(AL224&gt;0.005,$C$11,IF(AQ224&gt;0.005,$C$12,IF(AV224&gt;0.005,$C$13,IF(BA224&gt;0.005,$C$14,""))))))))))</f>
        <v/>
      </c>
    </row>
    <row r="225" customFormat="false" ht="15" hidden="false" customHeight="false" outlineLevel="0" collapsed="false">
      <c r="A225" s="24" t="n">
        <v>202</v>
      </c>
      <c r="B225" s="54" t="n">
        <f aca="false">EDATE($C$17,A225-1)</f>
        <v>52444</v>
      </c>
      <c r="C225" s="55" t="n">
        <f aca="false">G225+L225+Q225+V225+AA225+AF225+AK225+AP225+AU225+AZ225</f>
        <v>0</v>
      </c>
      <c r="D225" s="55" t="n">
        <f aca="false">MAX(0,$C$16-C225)</f>
        <v>5822</v>
      </c>
      <c r="E225" s="55" t="n">
        <f aca="false">ROUND(MAX(0,E224+F224-I224),2)</f>
        <v>0</v>
      </c>
      <c r="F225" s="55" t="n">
        <f aca="false">ROUND(E225*$E$5/12,2)</f>
        <v>0</v>
      </c>
      <c r="G225" s="55" t="n">
        <f aca="false">MIN($F$5,E225+F225)</f>
        <v>0</v>
      </c>
      <c r="H225" s="55" t="n">
        <f aca="false">MAX(0,MIN(E225+F225-G225,$D225))</f>
        <v>0</v>
      </c>
      <c r="I225" s="55" t="n">
        <f aca="false">G225+H225</f>
        <v>0</v>
      </c>
      <c r="J225" s="55" t="n">
        <f aca="false">ROUND(MAX(0,J224+K224-N224),2)</f>
        <v>0</v>
      </c>
      <c r="K225" s="55" t="n">
        <f aca="false">ROUND(J225*$E$6/12,2)</f>
        <v>0</v>
      </c>
      <c r="L225" s="55" t="n">
        <f aca="false">MIN($F$6,J225+K225)</f>
        <v>0</v>
      </c>
      <c r="M225" s="55" t="n">
        <f aca="false">MAX(0,MIN(J225+K225-L225,$D225-(H225)))</f>
        <v>0</v>
      </c>
      <c r="N225" s="55" t="n">
        <f aca="false">L225+M225</f>
        <v>0</v>
      </c>
      <c r="O225" s="55" t="n">
        <f aca="false">ROUND(MAX(0,O224+P224-S224),2)</f>
        <v>0</v>
      </c>
      <c r="P225" s="55" t="n">
        <f aca="false">ROUND(O225*$E$7/12,2)</f>
        <v>0</v>
      </c>
      <c r="Q225" s="55" t="n">
        <f aca="false">MIN($F$7,O225+P225)</f>
        <v>0</v>
      </c>
      <c r="R225" s="55" t="n">
        <f aca="false">MAX(0,MIN(O225+P225-Q225,$D225-(H225+M225)))</f>
        <v>0</v>
      </c>
      <c r="S225" s="55" t="n">
        <f aca="false">Q225+R225</f>
        <v>0</v>
      </c>
      <c r="T225" s="55" t="n">
        <f aca="false">ROUND(MAX(0,T224+U224-X224),2)</f>
        <v>0</v>
      </c>
      <c r="U225" s="55" t="n">
        <f aca="false">ROUND(T225*$E$8/12,2)</f>
        <v>0</v>
      </c>
      <c r="V225" s="55" t="n">
        <f aca="false">MIN($F$8,T225+U225)</f>
        <v>0</v>
      </c>
      <c r="W225" s="55" t="n">
        <f aca="false">MAX(0,MIN(T225+U225-V225,$D225-(H225+M225+R225)))</f>
        <v>0</v>
      </c>
      <c r="X225" s="55" t="n">
        <f aca="false">V225+W225</f>
        <v>0</v>
      </c>
      <c r="Y225" s="55" t="n">
        <f aca="false">ROUND(MAX(0,Y224+Z224-AC224),2)</f>
        <v>0</v>
      </c>
      <c r="Z225" s="55" t="n">
        <f aca="false">ROUND(Y225*$E$9/12,2)</f>
        <v>0</v>
      </c>
      <c r="AA225" s="55" t="n">
        <f aca="false">MIN($F$9,Y225+Z225)</f>
        <v>0</v>
      </c>
      <c r="AB225" s="55" t="n">
        <f aca="false">MAX(0,MIN(Y225+Z225-AA225,$D225-(H225+M225+R225+W225)))</f>
        <v>0</v>
      </c>
      <c r="AC225" s="55" t="n">
        <f aca="false">AA225+AB225</f>
        <v>0</v>
      </c>
      <c r="AD225" s="55" t="n">
        <f aca="false">ROUND(MAX(0,AD224+AE224-AH224),2)</f>
        <v>0</v>
      </c>
      <c r="AE225" s="55" t="n">
        <f aca="false">ROUND(AD225*$E$10/12,2)</f>
        <v>0</v>
      </c>
      <c r="AF225" s="55" t="n">
        <f aca="false">MIN($F$10,AD225+AE225)</f>
        <v>0</v>
      </c>
      <c r="AG225" s="55" t="n">
        <f aca="false">MAX(0,MIN(AD225+AE225-AF225,$D225-(H225+M225+R225+W225+AB225)))</f>
        <v>0</v>
      </c>
      <c r="AH225" s="55" t="n">
        <f aca="false">AF225+AG225</f>
        <v>0</v>
      </c>
      <c r="AI225" s="55" t="n">
        <f aca="false">ROUND(MAX(0,AI224+AJ224-AM224),2)</f>
        <v>0</v>
      </c>
      <c r="AJ225" s="55" t="n">
        <f aca="false">ROUND(AI225*$E$11/12,2)</f>
        <v>0</v>
      </c>
      <c r="AK225" s="55" t="n">
        <f aca="false">MIN($F$11,AI225+AJ225)</f>
        <v>0</v>
      </c>
      <c r="AL225" s="55" t="n">
        <f aca="false">MAX(0,MIN(AI225+AJ225-AK225,$D225-(H225+M225+R225+W225+AB225+AG225)))</f>
        <v>0</v>
      </c>
      <c r="AM225" s="55" t="n">
        <f aca="false">AK225+AL225</f>
        <v>0</v>
      </c>
      <c r="AN225" s="55" t="n">
        <f aca="false">ROUND(MAX(0,AN224+AO224-AR224),2)</f>
        <v>0</v>
      </c>
      <c r="AO225" s="55" t="n">
        <f aca="false">ROUND(AN225*$E$12/12,2)</f>
        <v>0</v>
      </c>
      <c r="AP225" s="55" t="n">
        <f aca="false">MIN($F$12,AN225+AO225)</f>
        <v>0</v>
      </c>
      <c r="AQ225" s="55" t="n">
        <f aca="false">MAX(0,MIN(AN225+AO225-AP225,$D225-(H225+M225+R225+W225+AB225+AG225+AL225)))</f>
        <v>0</v>
      </c>
      <c r="AR225" s="55" t="n">
        <f aca="false">AP225+AQ225</f>
        <v>0</v>
      </c>
      <c r="AS225" s="55" t="n">
        <f aca="false">ROUND(MAX(0,AS224+AT224-AW224),2)</f>
        <v>0</v>
      </c>
      <c r="AT225" s="55" t="n">
        <f aca="false">ROUND(AS225*$E$13/12,2)</f>
        <v>0</v>
      </c>
      <c r="AU225" s="55" t="n">
        <f aca="false">MIN($F$13,AS225+AT225)</f>
        <v>0</v>
      </c>
      <c r="AV225" s="55" t="n">
        <f aca="false">MAX(0,MIN(AS225+AT225-AU225,$D225-(H225+M225+R225+W225+AB225+AG225+AL225+AQ225)))</f>
        <v>0</v>
      </c>
      <c r="AW225" s="55" t="n">
        <f aca="false">AU225+AV225</f>
        <v>0</v>
      </c>
      <c r="AX225" s="55" t="n">
        <f aca="false">ROUND(MAX(0,AX224+AY224-BB224),2)</f>
        <v>0</v>
      </c>
      <c r="AY225" s="55" t="n">
        <f aca="false">ROUND(AX225*$E$14/12,2)</f>
        <v>0</v>
      </c>
      <c r="AZ225" s="55" t="n">
        <f aca="false">MIN($F$14,AX225+AY225)</f>
        <v>0</v>
      </c>
      <c r="BA225" s="55" t="n">
        <f aca="false">MAX(0,MIN(AX225+AY225-AZ225,$D225-(H225+M225+R225+W225+AB225+AG225+AL225+AQ225+AV225)))</f>
        <v>0</v>
      </c>
      <c r="BB225" s="55" t="n">
        <f aca="false">AZ225+BA225</f>
        <v>0</v>
      </c>
      <c r="BC225" s="55" t="n">
        <f aca="false">I225+N225+S225+X225+AC225+AH225+AM225+AR225+AW225+BB225</f>
        <v>0</v>
      </c>
      <c r="BD225" s="55" t="n">
        <f aca="false">ROUND((E225+F225-I225)+(J225+K225-N225)+(O225+P225-S225)+(T225+U225-X225)+(Y225+Z225-AC225)+(AD225+AE225-AH225)+(AI225+AJ225-AM225)+(AN225+AO225-AR225)+(AS225+AT225-AW225)+(AX225+AY225-BB225),2)</f>
        <v>0</v>
      </c>
      <c r="BE225" s="25" t="str">
        <f aca="false">IF(H225&gt;0.005,$C$5,IF(M225&gt;0.005,$C$6,IF(R225&gt;0.005,$C$7,IF(W225&gt;0.005,$C$8,IF(AB225&gt;0.005,$C$9,IF(AG225&gt;0.005,$C$10,IF(AL225&gt;0.005,$C$11,IF(AQ225&gt;0.005,$C$12,IF(AV225&gt;0.005,$C$13,IF(BA225&gt;0.005,$C$14,""))))))))))</f>
        <v/>
      </c>
    </row>
    <row r="226" customFormat="false" ht="15" hidden="false" customHeight="false" outlineLevel="0" collapsed="false">
      <c r="A226" s="24" t="n">
        <v>203</v>
      </c>
      <c r="B226" s="54" t="n">
        <f aca="false">EDATE($C$17,A226-1)</f>
        <v>52475</v>
      </c>
      <c r="C226" s="55" t="n">
        <f aca="false">G226+L226+Q226+V226+AA226+AF226+AK226+AP226+AU226+AZ226</f>
        <v>0</v>
      </c>
      <c r="D226" s="55" t="n">
        <f aca="false">MAX(0,$C$16-C226)</f>
        <v>5822</v>
      </c>
      <c r="E226" s="55" t="n">
        <f aca="false">ROUND(MAX(0,E225+F225-I225),2)</f>
        <v>0</v>
      </c>
      <c r="F226" s="55" t="n">
        <f aca="false">ROUND(E226*$E$5/12,2)</f>
        <v>0</v>
      </c>
      <c r="G226" s="55" t="n">
        <f aca="false">MIN($F$5,E226+F226)</f>
        <v>0</v>
      </c>
      <c r="H226" s="55" t="n">
        <f aca="false">MAX(0,MIN(E226+F226-G226,$D226))</f>
        <v>0</v>
      </c>
      <c r="I226" s="55" t="n">
        <f aca="false">G226+H226</f>
        <v>0</v>
      </c>
      <c r="J226" s="55" t="n">
        <f aca="false">ROUND(MAX(0,J225+K225-N225),2)</f>
        <v>0</v>
      </c>
      <c r="K226" s="55" t="n">
        <f aca="false">ROUND(J226*$E$6/12,2)</f>
        <v>0</v>
      </c>
      <c r="L226" s="55" t="n">
        <f aca="false">MIN($F$6,J226+K226)</f>
        <v>0</v>
      </c>
      <c r="M226" s="55" t="n">
        <f aca="false">MAX(0,MIN(J226+K226-L226,$D226-(H226)))</f>
        <v>0</v>
      </c>
      <c r="N226" s="55" t="n">
        <f aca="false">L226+M226</f>
        <v>0</v>
      </c>
      <c r="O226" s="55" t="n">
        <f aca="false">ROUND(MAX(0,O225+P225-S225),2)</f>
        <v>0</v>
      </c>
      <c r="P226" s="55" t="n">
        <f aca="false">ROUND(O226*$E$7/12,2)</f>
        <v>0</v>
      </c>
      <c r="Q226" s="55" t="n">
        <f aca="false">MIN($F$7,O226+P226)</f>
        <v>0</v>
      </c>
      <c r="R226" s="55" t="n">
        <f aca="false">MAX(0,MIN(O226+P226-Q226,$D226-(H226+M226)))</f>
        <v>0</v>
      </c>
      <c r="S226" s="55" t="n">
        <f aca="false">Q226+R226</f>
        <v>0</v>
      </c>
      <c r="T226" s="55" t="n">
        <f aca="false">ROUND(MAX(0,T225+U225-X225),2)</f>
        <v>0</v>
      </c>
      <c r="U226" s="55" t="n">
        <f aca="false">ROUND(T226*$E$8/12,2)</f>
        <v>0</v>
      </c>
      <c r="V226" s="55" t="n">
        <f aca="false">MIN($F$8,T226+U226)</f>
        <v>0</v>
      </c>
      <c r="W226" s="55" t="n">
        <f aca="false">MAX(0,MIN(T226+U226-V226,$D226-(H226+M226+R226)))</f>
        <v>0</v>
      </c>
      <c r="X226" s="55" t="n">
        <f aca="false">V226+W226</f>
        <v>0</v>
      </c>
      <c r="Y226" s="55" t="n">
        <f aca="false">ROUND(MAX(0,Y225+Z225-AC225),2)</f>
        <v>0</v>
      </c>
      <c r="Z226" s="55" t="n">
        <f aca="false">ROUND(Y226*$E$9/12,2)</f>
        <v>0</v>
      </c>
      <c r="AA226" s="55" t="n">
        <f aca="false">MIN($F$9,Y226+Z226)</f>
        <v>0</v>
      </c>
      <c r="AB226" s="55" t="n">
        <f aca="false">MAX(0,MIN(Y226+Z226-AA226,$D226-(H226+M226+R226+W226)))</f>
        <v>0</v>
      </c>
      <c r="AC226" s="55" t="n">
        <f aca="false">AA226+AB226</f>
        <v>0</v>
      </c>
      <c r="AD226" s="55" t="n">
        <f aca="false">ROUND(MAX(0,AD225+AE225-AH225),2)</f>
        <v>0</v>
      </c>
      <c r="AE226" s="55" t="n">
        <f aca="false">ROUND(AD226*$E$10/12,2)</f>
        <v>0</v>
      </c>
      <c r="AF226" s="55" t="n">
        <f aca="false">MIN($F$10,AD226+AE226)</f>
        <v>0</v>
      </c>
      <c r="AG226" s="55" t="n">
        <f aca="false">MAX(0,MIN(AD226+AE226-AF226,$D226-(H226+M226+R226+W226+AB226)))</f>
        <v>0</v>
      </c>
      <c r="AH226" s="55" t="n">
        <f aca="false">AF226+AG226</f>
        <v>0</v>
      </c>
      <c r="AI226" s="55" t="n">
        <f aca="false">ROUND(MAX(0,AI225+AJ225-AM225),2)</f>
        <v>0</v>
      </c>
      <c r="AJ226" s="55" t="n">
        <f aca="false">ROUND(AI226*$E$11/12,2)</f>
        <v>0</v>
      </c>
      <c r="AK226" s="55" t="n">
        <f aca="false">MIN($F$11,AI226+AJ226)</f>
        <v>0</v>
      </c>
      <c r="AL226" s="55" t="n">
        <f aca="false">MAX(0,MIN(AI226+AJ226-AK226,$D226-(H226+M226+R226+W226+AB226+AG226)))</f>
        <v>0</v>
      </c>
      <c r="AM226" s="55" t="n">
        <f aca="false">AK226+AL226</f>
        <v>0</v>
      </c>
      <c r="AN226" s="55" t="n">
        <f aca="false">ROUND(MAX(0,AN225+AO225-AR225),2)</f>
        <v>0</v>
      </c>
      <c r="AO226" s="55" t="n">
        <f aca="false">ROUND(AN226*$E$12/12,2)</f>
        <v>0</v>
      </c>
      <c r="AP226" s="55" t="n">
        <f aca="false">MIN($F$12,AN226+AO226)</f>
        <v>0</v>
      </c>
      <c r="AQ226" s="55" t="n">
        <f aca="false">MAX(0,MIN(AN226+AO226-AP226,$D226-(H226+M226+R226+W226+AB226+AG226+AL226)))</f>
        <v>0</v>
      </c>
      <c r="AR226" s="55" t="n">
        <f aca="false">AP226+AQ226</f>
        <v>0</v>
      </c>
      <c r="AS226" s="55" t="n">
        <f aca="false">ROUND(MAX(0,AS225+AT225-AW225),2)</f>
        <v>0</v>
      </c>
      <c r="AT226" s="55" t="n">
        <f aca="false">ROUND(AS226*$E$13/12,2)</f>
        <v>0</v>
      </c>
      <c r="AU226" s="55" t="n">
        <f aca="false">MIN($F$13,AS226+AT226)</f>
        <v>0</v>
      </c>
      <c r="AV226" s="55" t="n">
        <f aca="false">MAX(0,MIN(AS226+AT226-AU226,$D226-(H226+M226+R226+W226+AB226+AG226+AL226+AQ226)))</f>
        <v>0</v>
      </c>
      <c r="AW226" s="55" t="n">
        <f aca="false">AU226+AV226</f>
        <v>0</v>
      </c>
      <c r="AX226" s="55" t="n">
        <f aca="false">ROUND(MAX(0,AX225+AY225-BB225),2)</f>
        <v>0</v>
      </c>
      <c r="AY226" s="55" t="n">
        <f aca="false">ROUND(AX226*$E$14/12,2)</f>
        <v>0</v>
      </c>
      <c r="AZ226" s="55" t="n">
        <f aca="false">MIN($F$14,AX226+AY226)</f>
        <v>0</v>
      </c>
      <c r="BA226" s="55" t="n">
        <f aca="false">MAX(0,MIN(AX226+AY226-AZ226,$D226-(H226+M226+R226+W226+AB226+AG226+AL226+AQ226+AV226)))</f>
        <v>0</v>
      </c>
      <c r="BB226" s="55" t="n">
        <f aca="false">AZ226+BA226</f>
        <v>0</v>
      </c>
      <c r="BC226" s="55" t="n">
        <f aca="false">I226+N226+S226+X226+AC226+AH226+AM226+AR226+AW226+BB226</f>
        <v>0</v>
      </c>
      <c r="BD226" s="55" t="n">
        <f aca="false">ROUND((E226+F226-I226)+(J226+K226-N226)+(O226+P226-S226)+(T226+U226-X226)+(Y226+Z226-AC226)+(AD226+AE226-AH226)+(AI226+AJ226-AM226)+(AN226+AO226-AR226)+(AS226+AT226-AW226)+(AX226+AY226-BB226),2)</f>
        <v>0</v>
      </c>
      <c r="BE226" s="25" t="str">
        <f aca="false">IF(H226&gt;0.005,$C$5,IF(M226&gt;0.005,$C$6,IF(R226&gt;0.005,$C$7,IF(W226&gt;0.005,$C$8,IF(AB226&gt;0.005,$C$9,IF(AG226&gt;0.005,$C$10,IF(AL226&gt;0.005,$C$11,IF(AQ226&gt;0.005,$C$12,IF(AV226&gt;0.005,$C$13,IF(BA226&gt;0.005,$C$14,""))))))))))</f>
        <v/>
      </c>
    </row>
    <row r="227" customFormat="false" ht="15" hidden="false" customHeight="false" outlineLevel="0" collapsed="false">
      <c r="A227" s="24" t="n">
        <v>204</v>
      </c>
      <c r="B227" s="54" t="n">
        <f aca="false">EDATE($C$17,A227-1)</f>
        <v>52505</v>
      </c>
      <c r="C227" s="55" t="n">
        <f aca="false">G227+L227+Q227+V227+AA227+AF227+AK227+AP227+AU227+AZ227</f>
        <v>0</v>
      </c>
      <c r="D227" s="55" t="n">
        <f aca="false">MAX(0,$C$16-C227)</f>
        <v>5822</v>
      </c>
      <c r="E227" s="55" t="n">
        <f aca="false">ROUND(MAX(0,E226+F226-I226),2)</f>
        <v>0</v>
      </c>
      <c r="F227" s="55" t="n">
        <f aca="false">ROUND(E227*$E$5/12,2)</f>
        <v>0</v>
      </c>
      <c r="G227" s="55" t="n">
        <f aca="false">MIN($F$5,E227+F227)</f>
        <v>0</v>
      </c>
      <c r="H227" s="55" t="n">
        <f aca="false">MAX(0,MIN(E227+F227-G227,$D227))</f>
        <v>0</v>
      </c>
      <c r="I227" s="55" t="n">
        <f aca="false">G227+H227</f>
        <v>0</v>
      </c>
      <c r="J227" s="55" t="n">
        <f aca="false">ROUND(MAX(0,J226+K226-N226),2)</f>
        <v>0</v>
      </c>
      <c r="K227" s="55" t="n">
        <f aca="false">ROUND(J227*$E$6/12,2)</f>
        <v>0</v>
      </c>
      <c r="L227" s="55" t="n">
        <f aca="false">MIN($F$6,J227+K227)</f>
        <v>0</v>
      </c>
      <c r="M227" s="55" t="n">
        <f aca="false">MAX(0,MIN(J227+K227-L227,$D227-(H227)))</f>
        <v>0</v>
      </c>
      <c r="N227" s="55" t="n">
        <f aca="false">L227+M227</f>
        <v>0</v>
      </c>
      <c r="O227" s="55" t="n">
        <f aca="false">ROUND(MAX(0,O226+P226-S226),2)</f>
        <v>0</v>
      </c>
      <c r="P227" s="55" t="n">
        <f aca="false">ROUND(O227*$E$7/12,2)</f>
        <v>0</v>
      </c>
      <c r="Q227" s="55" t="n">
        <f aca="false">MIN($F$7,O227+P227)</f>
        <v>0</v>
      </c>
      <c r="R227" s="55" t="n">
        <f aca="false">MAX(0,MIN(O227+P227-Q227,$D227-(H227+M227)))</f>
        <v>0</v>
      </c>
      <c r="S227" s="55" t="n">
        <f aca="false">Q227+R227</f>
        <v>0</v>
      </c>
      <c r="T227" s="55" t="n">
        <f aca="false">ROUND(MAX(0,T226+U226-X226),2)</f>
        <v>0</v>
      </c>
      <c r="U227" s="55" t="n">
        <f aca="false">ROUND(T227*$E$8/12,2)</f>
        <v>0</v>
      </c>
      <c r="V227" s="55" t="n">
        <f aca="false">MIN($F$8,T227+U227)</f>
        <v>0</v>
      </c>
      <c r="W227" s="55" t="n">
        <f aca="false">MAX(0,MIN(T227+U227-V227,$D227-(H227+M227+R227)))</f>
        <v>0</v>
      </c>
      <c r="X227" s="55" t="n">
        <f aca="false">V227+W227</f>
        <v>0</v>
      </c>
      <c r="Y227" s="55" t="n">
        <f aca="false">ROUND(MAX(0,Y226+Z226-AC226),2)</f>
        <v>0</v>
      </c>
      <c r="Z227" s="55" t="n">
        <f aca="false">ROUND(Y227*$E$9/12,2)</f>
        <v>0</v>
      </c>
      <c r="AA227" s="55" t="n">
        <f aca="false">MIN($F$9,Y227+Z227)</f>
        <v>0</v>
      </c>
      <c r="AB227" s="55" t="n">
        <f aca="false">MAX(0,MIN(Y227+Z227-AA227,$D227-(H227+M227+R227+W227)))</f>
        <v>0</v>
      </c>
      <c r="AC227" s="55" t="n">
        <f aca="false">AA227+AB227</f>
        <v>0</v>
      </c>
      <c r="AD227" s="55" t="n">
        <f aca="false">ROUND(MAX(0,AD226+AE226-AH226),2)</f>
        <v>0</v>
      </c>
      <c r="AE227" s="55" t="n">
        <f aca="false">ROUND(AD227*$E$10/12,2)</f>
        <v>0</v>
      </c>
      <c r="AF227" s="55" t="n">
        <f aca="false">MIN($F$10,AD227+AE227)</f>
        <v>0</v>
      </c>
      <c r="AG227" s="55" t="n">
        <f aca="false">MAX(0,MIN(AD227+AE227-AF227,$D227-(H227+M227+R227+W227+AB227)))</f>
        <v>0</v>
      </c>
      <c r="AH227" s="55" t="n">
        <f aca="false">AF227+AG227</f>
        <v>0</v>
      </c>
      <c r="AI227" s="55" t="n">
        <f aca="false">ROUND(MAX(0,AI226+AJ226-AM226),2)</f>
        <v>0</v>
      </c>
      <c r="AJ227" s="55" t="n">
        <f aca="false">ROUND(AI227*$E$11/12,2)</f>
        <v>0</v>
      </c>
      <c r="AK227" s="55" t="n">
        <f aca="false">MIN($F$11,AI227+AJ227)</f>
        <v>0</v>
      </c>
      <c r="AL227" s="55" t="n">
        <f aca="false">MAX(0,MIN(AI227+AJ227-AK227,$D227-(H227+M227+R227+W227+AB227+AG227)))</f>
        <v>0</v>
      </c>
      <c r="AM227" s="55" t="n">
        <f aca="false">AK227+AL227</f>
        <v>0</v>
      </c>
      <c r="AN227" s="55" t="n">
        <f aca="false">ROUND(MAX(0,AN226+AO226-AR226),2)</f>
        <v>0</v>
      </c>
      <c r="AO227" s="55" t="n">
        <f aca="false">ROUND(AN227*$E$12/12,2)</f>
        <v>0</v>
      </c>
      <c r="AP227" s="55" t="n">
        <f aca="false">MIN($F$12,AN227+AO227)</f>
        <v>0</v>
      </c>
      <c r="AQ227" s="55" t="n">
        <f aca="false">MAX(0,MIN(AN227+AO227-AP227,$D227-(H227+M227+R227+W227+AB227+AG227+AL227)))</f>
        <v>0</v>
      </c>
      <c r="AR227" s="55" t="n">
        <f aca="false">AP227+AQ227</f>
        <v>0</v>
      </c>
      <c r="AS227" s="55" t="n">
        <f aca="false">ROUND(MAX(0,AS226+AT226-AW226),2)</f>
        <v>0</v>
      </c>
      <c r="AT227" s="55" t="n">
        <f aca="false">ROUND(AS227*$E$13/12,2)</f>
        <v>0</v>
      </c>
      <c r="AU227" s="55" t="n">
        <f aca="false">MIN($F$13,AS227+AT227)</f>
        <v>0</v>
      </c>
      <c r="AV227" s="55" t="n">
        <f aca="false">MAX(0,MIN(AS227+AT227-AU227,$D227-(H227+M227+R227+W227+AB227+AG227+AL227+AQ227)))</f>
        <v>0</v>
      </c>
      <c r="AW227" s="55" t="n">
        <f aca="false">AU227+AV227</f>
        <v>0</v>
      </c>
      <c r="AX227" s="55" t="n">
        <f aca="false">ROUND(MAX(0,AX226+AY226-BB226),2)</f>
        <v>0</v>
      </c>
      <c r="AY227" s="55" t="n">
        <f aca="false">ROUND(AX227*$E$14/12,2)</f>
        <v>0</v>
      </c>
      <c r="AZ227" s="55" t="n">
        <f aca="false">MIN($F$14,AX227+AY227)</f>
        <v>0</v>
      </c>
      <c r="BA227" s="55" t="n">
        <f aca="false">MAX(0,MIN(AX227+AY227-AZ227,$D227-(H227+M227+R227+W227+AB227+AG227+AL227+AQ227+AV227)))</f>
        <v>0</v>
      </c>
      <c r="BB227" s="55" t="n">
        <f aca="false">AZ227+BA227</f>
        <v>0</v>
      </c>
      <c r="BC227" s="55" t="n">
        <f aca="false">I227+N227+S227+X227+AC227+AH227+AM227+AR227+AW227+BB227</f>
        <v>0</v>
      </c>
      <c r="BD227" s="55" t="n">
        <f aca="false">ROUND((E227+F227-I227)+(J227+K227-N227)+(O227+P227-S227)+(T227+U227-X227)+(Y227+Z227-AC227)+(AD227+AE227-AH227)+(AI227+AJ227-AM227)+(AN227+AO227-AR227)+(AS227+AT227-AW227)+(AX227+AY227-BB227),2)</f>
        <v>0</v>
      </c>
      <c r="BE227" s="25" t="str">
        <f aca="false">IF(H227&gt;0.005,$C$5,IF(M227&gt;0.005,$C$6,IF(R227&gt;0.005,$C$7,IF(W227&gt;0.005,$C$8,IF(AB227&gt;0.005,$C$9,IF(AG227&gt;0.005,$C$10,IF(AL227&gt;0.005,$C$11,IF(AQ227&gt;0.005,$C$12,IF(AV227&gt;0.005,$C$13,IF(BA227&gt;0.005,$C$14,""))))))))))</f>
        <v/>
      </c>
    </row>
    <row r="228" customFormat="false" ht="15" hidden="false" customHeight="false" outlineLevel="0" collapsed="false">
      <c r="A228" s="24" t="n">
        <v>205</v>
      </c>
      <c r="B228" s="54" t="n">
        <f aca="false">EDATE($C$17,A228-1)</f>
        <v>52536</v>
      </c>
      <c r="C228" s="55" t="n">
        <f aca="false">G228+L228+Q228+V228+AA228+AF228+AK228+AP228+AU228+AZ228</f>
        <v>0</v>
      </c>
      <c r="D228" s="55" t="n">
        <f aca="false">MAX(0,$C$16-C228)</f>
        <v>5822</v>
      </c>
      <c r="E228" s="55" t="n">
        <f aca="false">ROUND(MAX(0,E227+F227-I227),2)</f>
        <v>0</v>
      </c>
      <c r="F228" s="55" t="n">
        <f aca="false">ROUND(E228*$E$5/12,2)</f>
        <v>0</v>
      </c>
      <c r="G228" s="55" t="n">
        <f aca="false">MIN($F$5,E228+F228)</f>
        <v>0</v>
      </c>
      <c r="H228" s="55" t="n">
        <f aca="false">MAX(0,MIN(E228+F228-G228,$D228))</f>
        <v>0</v>
      </c>
      <c r="I228" s="55" t="n">
        <f aca="false">G228+H228</f>
        <v>0</v>
      </c>
      <c r="J228" s="55" t="n">
        <f aca="false">ROUND(MAX(0,J227+K227-N227),2)</f>
        <v>0</v>
      </c>
      <c r="K228" s="55" t="n">
        <f aca="false">ROUND(J228*$E$6/12,2)</f>
        <v>0</v>
      </c>
      <c r="L228" s="55" t="n">
        <f aca="false">MIN($F$6,J228+K228)</f>
        <v>0</v>
      </c>
      <c r="M228" s="55" t="n">
        <f aca="false">MAX(0,MIN(J228+K228-L228,$D228-(H228)))</f>
        <v>0</v>
      </c>
      <c r="N228" s="55" t="n">
        <f aca="false">L228+M228</f>
        <v>0</v>
      </c>
      <c r="O228" s="55" t="n">
        <f aca="false">ROUND(MAX(0,O227+P227-S227),2)</f>
        <v>0</v>
      </c>
      <c r="P228" s="55" t="n">
        <f aca="false">ROUND(O228*$E$7/12,2)</f>
        <v>0</v>
      </c>
      <c r="Q228" s="55" t="n">
        <f aca="false">MIN($F$7,O228+P228)</f>
        <v>0</v>
      </c>
      <c r="R228" s="55" t="n">
        <f aca="false">MAX(0,MIN(O228+P228-Q228,$D228-(H228+M228)))</f>
        <v>0</v>
      </c>
      <c r="S228" s="55" t="n">
        <f aca="false">Q228+R228</f>
        <v>0</v>
      </c>
      <c r="T228" s="55" t="n">
        <f aca="false">ROUND(MAX(0,T227+U227-X227),2)</f>
        <v>0</v>
      </c>
      <c r="U228" s="55" t="n">
        <f aca="false">ROUND(T228*$E$8/12,2)</f>
        <v>0</v>
      </c>
      <c r="V228" s="55" t="n">
        <f aca="false">MIN($F$8,T228+U228)</f>
        <v>0</v>
      </c>
      <c r="W228" s="55" t="n">
        <f aca="false">MAX(0,MIN(T228+U228-V228,$D228-(H228+M228+R228)))</f>
        <v>0</v>
      </c>
      <c r="X228" s="55" t="n">
        <f aca="false">V228+W228</f>
        <v>0</v>
      </c>
      <c r="Y228" s="55" t="n">
        <f aca="false">ROUND(MAX(0,Y227+Z227-AC227),2)</f>
        <v>0</v>
      </c>
      <c r="Z228" s="55" t="n">
        <f aca="false">ROUND(Y228*$E$9/12,2)</f>
        <v>0</v>
      </c>
      <c r="AA228" s="55" t="n">
        <f aca="false">MIN($F$9,Y228+Z228)</f>
        <v>0</v>
      </c>
      <c r="AB228" s="55" t="n">
        <f aca="false">MAX(0,MIN(Y228+Z228-AA228,$D228-(H228+M228+R228+W228)))</f>
        <v>0</v>
      </c>
      <c r="AC228" s="55" t="n">
        <f aca="false">AA228+AB228</f>
        <v>0</v>
      </c>
      <c r="AD228" s="55" t="n">
        <f aca="false">ROUND(MAX(0,AD227+AE227-AH227),2)</f>
        <v>0</v>
      </c>
      <c r="AE228" s="55" t="n">
        <f aca="false">ROUND(AD228*$E$10/12,2)</f>
        <v>0</v>
      </c>
      <c r="AF228" s="55" t="n">
        <f aca="false">MIN($F$10,AD228+AE228)</f>
        <v>0</v>
      </c>
      <c r="AG228" s="55" t="n">
        <f aca="false">MAX(0,MIN(AD228+AE228-AF228,$D228-(H228+M228+R228+W228+AB228)))</f>
        <v>0</v>
      </c>
      <c r="AH228" s="55" t="n">
        <f aca="false">AF228+AG228</f>
        <v>0</v>
      </c>
      <c r="AI228" s="55" t="n">
        <f aca="false">ROUND(MAX(0,AI227+AJ227-AM227),2)</f>
        <v>0</v>
      </c>
      <c r="AJ228" s="55" t="n">
        <f aca="false">ROUND(AI228*$E$11/12,2)</f>
        <v>0</v>
      </c>
      <c r="AK228" s="55" t="n">
        <f aca="false">MIN($F$11,AI228+AJ228)</f>
        <v>0</v>
      </c>
      <c r="AL228" s="55" t="n">
        <f aca="false">MAX(0,MIN(AI228+AJ228-AK228,$D228-(H228+M228+R228+W228+AB228+AG228)))</f>
        <v>0</v>
      </c>
      <c r="AM228" s="55" t="n">
        <f aca="false">AK228+AL228</f>
        <v>0</v>
      </c>
      <c r="AN228" s="55" t="n">
        <f aca="false">ROUND(MAX(0,AN227+AO227-AR227),2)</f>
        <v>0</v>
      </c>
      <c r="AO228" s="55" t="n">
        <f aca="false">ROUND(AN228*$E$12/12,2)</f>
        <v>0</v>
      </c>
      <c r="AP228" s="55" t="n">
        <f aca="false">MIN($F$12,AN228+AO228)</f>
        <v>0</v>
      </c>
      <c r="AQ228" s="55" t="n">
        <f aca="false">MAX(0,MIN(AN228+AO228-AP228,$D228-(H228+M228+R228+W228+AB228+AG228+AL228)))</f>
        <v>0</v>
      </c>
      <c r="AR228" s="55" t="n">
        <f aca="false">AP228+AQ228</f>
        <v>0</v>
      </c>
      <c r="AS228" s="55" t="n">
        <f aca="false">ROUND(MAX(0,AS227+AT227-AW227),2)</f>
        <v>0</v>
      </c>
      <c r="AT228" s="55" t="n">
        <f aca="false">ROUND(AS228*$E$13/12,2)</f>
        <v>0</v>
      </c>
      <c r="AU228" s="55" t="n">
        <f aca="false">MIN($F$13,AS228+AT228)</f>
        <v>0</v>
      </c>
      <c r="AV228" s="55" t="n">
        <f aca="false">MAX(0,MIN(AS228+AT228-AU228,$D228-(H228+M228+R228+W228+AB228+AG228+AL228+AQ228)))</f>
        <v>0</v>
      </c>
      <c r="AW228" s="55" t="n">
        <f aca="false">AU228+AV228</f>
        <v>0</v>
      </c>
      <c r="AX228" s="55" t="n">
        <f aca="false">ROUND(MAX(0,AX227+AY227-BB227),2)</f>
        <v>0</v>
      </c>
      <c r="AY228" s="55" t="n">
        <f aca="false">ROUND(AX228*$E$14/12,2)</f>
        <v>0</v>
      </c>
      <c r="AZ228" s="55" t="n">
        <f aca="false">MIN($F$14,AX228+AY228)</f>
        <v>0</v>
      </c>
      <c r="BA228" s="55" t="n">
        <f aca="false">MAX(0,MIN(AX228+AY228-AZ228,$D228-(H228+M228+R228+W228+AB228+AG228+AL228+AQ228+AV228)))</f>
        <v>0</v>
      </c>
      <c r="BB228" s="55" t="n">
        <f aca="false">AZ228+BA228</f>
        <v>0</v>
      </c>
      <c r="BC228" s="55" t="n">
        <f aca="false">I228+N228+S228+X228+AC228+AH228+AM228+AR228+AW228+BB228</f>
        <v>0</v>
      </c>
      <c r="BD228" s="55" t="n">
        <f aca="false">ROUND((E228+F228-I228)+(J228+K228-N228)+(O228+P228-S228)+(T228+U228-X228)+(Y228+Z228-AC228)+(AD228+AE228-AH228)+(AI228+AJ228-AM228)+(AN228+AO228-AR228)+(AS228+AT228-AW228)+(AX228+AY228-BB228),2)</f>
        <v>0</v>
      </c>
      <c r="BE228" s="25" t="str">
        <f aca="false">IF(H228&gt;0.005,$C$5,IF(M228&gt;0.005,$C$6,IF(R228&gt;0.005,$C$7,IF(W228&gt;0.005,$C$8,IF(AB228&gt;0.005,$C$9,IF(AG228&gt;0.005,$C$10,IF(AL228&gt;0.005,$C$11,IF(AQ228&gt;0.005,$C$12,IF(AV228&gt;0.005,$C$13,IF(BA228&gt;0.005,$C$14,""))))))))))</f>
        <v/>
      </c>
    </row>
    <row r="229" customFormat="false" ht="15" hidden="false" customHeight="false" outlineLevel="0" collapsed="false">
      <c r="A229" s="24" t="n">
        <v>206</v>
      </c>
      <c r="B229" s="54" t="n">
        <f aca="false">EDATE($C$17,A229-1)</f>
        <v>52566</v>
      </c>
      <c r="C229" s="55" t="n">
        <f aca="false">G229+L229+Q229+V229+AA229+AF229+AK229+AP229+AU229+AZ229</f>
        <v>0</v>
      </c>
      <c r="D229" s="55" t="n">
        <f aca="false">MAX(0,$C$16-C229)</f>
        <v>5822</v>
      </c>
      <c r="E229" s="55" t="n">
        <f aca="false">ROUND(MAX(0,E228+F228-I228),2)</f>
        <v>0</v>
      </c>
      <c r="F229" s="55" t="n">
        <f aca="false">ROUND(E229*$E$5/12,2)</f>
        <v>0</v>
      </c>
      <c r="G229" s="55" t="n">
        <f aca="false">MIN($F$5,E229+F229)</f>
        <v>0</v>
      </c>
      <c r="H229" s="55" t="n">
        <f aca="false">MAX(0,MIN(E229+F229-G229,$D229))</f>
        <v>0</v>
      </c>
      <c r="I229" s="55" t="n">
        <f aca="false">G229+H229</f>
        <v>0</v>
      </c>
      <c r="J229" s="55" t="n">
        <f aca="false">ROUND(MAX(0,J228+K228-N228),2)</f>
        <v>0</v>
      </c>
      <c r="K229" s="55" t="n">
        <f aca="false">ROUND(J229*$E$6/12,2)</f>
        <v>0</v>
      </c>
      <c r="L229" s="55" t="n">
        <f aca="false">MIN($F$6,J229+K229)</f>
        <v>0</v>
      </c>
      <c r="M229" s="55" t="n">
        <f aca="false">MAX(0,MIN(J229+K229-L229,$D229-(H229)))</f>
        <v>0</v>
      </c>
      <c r="N229" s="55" t="n">
        <f aca="false">L229+M229</f>
        <v>0</v>
      </c>
      <c r="O229" s="55" t="n">
        <f aca="false">ROUND(MAX(0,O228+P228-S228),2)</f>
        <v>0</v>
      </c>
      <c r="P229" s="55" t="n">
        <f aca="false">ROUND(O229*$E$7/12,2)</f>
        <v>0</v>
      </c>
      <c r="Q229" s="55" t="n">
        <f aca="false">MIN($F$7,O229+P229)</f>
        <v>0</v>
      </c>
      <c r="R229" s="55" t="n">
        <f aca="false">MAX(0,MIN(O229+P229-Q229,$D229-(H229+M229)))</f>
        <v>0</v>
      </c>
      <c r="S229" s="55" t="n">
        <f aca="false">Q229+R229</f>
        <v>0</v>
      </c>
      <c r="T229" s="55" t="n">
        <f aca="false">ROUND(MAX(0,T228+U228-X228),2)</f>
        <v>0</v>
      </c>
      <c r="U229" s="55" t="n">
        <f aca="false">ROUND(T229*$E$8/12,2)</f>
        <v>0</v>
      </c>
      <c r="V229" s="55" t="n">
        <f aca="false">MIN($F$8,T229+U229)</f>
        <v>0</v>
      </c>
      <c r="W229" s="55" t="n">
        <f aca="false">MAX(0,MIN(T229+U229-V229,$D229-(H229+M229+R229)))</f>
        <v>0</v>
      </c>
      <c r="X229" s="55" t="n">
        <f aca="false">V229+W229</f>
        <v>0</v>
      </c>
      <c r="Y229" s="55" t="n">
        <f aca="false">ROUND(MAX(0,Y228+Z228-AC228),2)</f>
        <v>0</v>
      </c>
      <c r="Z229" s="55" t="n">
        <f aca="false">ROUND(Y229*$E$9/12,2)</f>
        <v>0</v>
      </c>
      <c r="AA229" s="55" t="n">
        <f aca="false">MIN($F$9,Y229+Z229)</f>
        <v>0</v>
      </c>
      <c r="AB229" s="55" t="n">
        <f aca="false">MAX(0,MIN(Y229+Z229-AA229,$D229-(H229+M229+R229+W229)))</f>
        <v>0</v>
      </c>
      <c r="AC229" s="55" t="n">
        <f aca="false">AA229+AB229</f>
        <v>0</v>
      </c>
      <c r="AD229" s="55" t="n">
        <f aca="false">ROUND(MAX(0,AD228+AE228-AH228),2)</f>
        <v>0</v>
      </c>
      <c r="AE229" s="55" t="n">
        <f aca="false">ROUND(AD229*$E$10/12,2)</f>
        <v>0</v>
      </c>
      <c r="AF229" s="55" t="n">
        <f aca="false">MIN($F$10,AD229+AE229)</f>
        <v>0</v>
      </c>
      <c r="AG229" s="55" t="n">
        <f aca="false">MAX(0,MIN(AD229+AE229-AF229,$D229-(H229+M229+R229+W229+AB229)))</f>
        <v>0</v>
      </c>
      <c r="AH229" s="55" t="n">
        <f aca="false">AF229+AG229</f>
        <v>0</v>
      </c>
      <c r="AI229" s="55" t="n">
        <f aca="false">ROUND(MAX(0,AI228+AJ228-AM228),2)</f>
        <v>0</v>
      </c>
      <c r="AJ229" s="55" t="n">
        <f aca="false">ROUND(AI229*$E$11/12,2)</f>
        <v>0</v>
      </c>
      <c r="AK229" s="55" t="n">
        <f aca="false">MIN($F$11,AI229+AJ229)</f>
        <v>0</v>
      </c>
      <c r="AL229" s="55" t="n">
        <f aca="false">MAX(0,MIN(AI229+AJ229-AK229,$D229-(H229+M229+R229+W229+AB229+AG229)))</f>
        <v>0</v>
      </c>
      <c r="AM229" s="55" t="n">
        <f aca="false">AK229+AL229</f>
        <v>0</v>
      </c>
      <c r="AN229" s="55" t="n">
        <f aca="false">ROUND(MAX(0,AN228+AO228-AR228),2)</f>
        <v>0</v>
      </c>
      <c r="AO229" s="55" t="n">
        <f aca="false">ROUND(AN229*$E$12/12,2)</f>
        <v>0</v>
      </c>
      <c r="AP229" s="55" t="n">
        <f aca="false">MIN($F$12,AN229+AO229)</f>
        <v>0</v>
      </c>
      <c r="AQ229" s="55" t="n">
        <f aca="false">MAX(0,MIN(AN229+AO229-AP229,$D229-(H229+M229+R229+W229+AB229+AG229+AL229)))</f>
        <v>0</v>
      </c>
      <c r="AR229" s="55" t="n">
        <f aca="false">AP229+AQ229</f>
        <v>0</v>
      </c>
      <c r="AS229" s="55" t="n">
        <f aca="false">ROUND(MAX(0,AS228+AT228-AW228),2)</f>
        <v>0</v>
      </c>
      <c r="AT229" s="55" t="n">
        <f aca="false">ROUND(AS229*$E$13/12,2)</f>
        <v>0</v>
      </c>
      <c r="AU229" s="55" t="n">
        <f aca="false">MIN($F$13,AS229+AT229)</f>
        <v>0</v>
      </c>
      <c r="AV229" s="55" t="n">
        <f aca="false">MAX(0,MIN(AS229+AT229-AU229,$D229-(H229+M229+R229+W229+AB229+AG229+AL229+AQ229)))</f>
        <v>0</v>
      </c>
      <c r="AW229" s="55" t="n">
        <f aca="false">AU229+AV229</f>
        <v>0</v>
      </c>
      <c r="AX229" s="55" t="n">
        <f aca="false">ROUND(MAX(0,AX228+AY228-BB228),2)</f>
        <v>0</v>
      </c>
      <c r="AY229" s="55" t="n">
        <f aca="false">ROUND(AX229*$E$14/12,2)</f>
        <v>0</v>
      </c>
      <c r="AZ229" s="55" t="n">
        <f aca="false">MIN($F$14,AX229+AY229)</f>
        <v>0</v>
      </c>
      <c r="BA229" s="55" t="n">
        <f aca="false">MAX(0,MIN(AX229+AY229-AZ229,$D229-(H229+M229+R229+W229+AB229+AG229+AL229+AQ229+AV229)))</f>
        <v>0</v>
      </c>
      <c r="BB229" s="55" t="n">
        <f aca="false">AZ229+BA229</f>
        <v>0</v>
      </c>
      <c r="BC229" s="55" t="n">
        <f aca="false">I229+N229+S229+X229+AC229+AH229+AM229+AR229+AW229+BB229</f>
        <v>0</v>
      </c>
      <c r="BD229" s="55" t="n">
        <f aca="false">ROUND((E229+F229-I229)+(J229+K229-N229)+(O229+P229-S229)+(T229+U229-X229)+(Y229+Z229-AC229)+(AD229+AE229-AH229)+(AI229+AJ229-AM229)+(AN229+AO229-AR229)+(AS229+AT229-AW229)+(AX229+AY229-BB229),2)</f>
        <v>0</v>
      </c>
      <c r="BE229" s="25" t="str">
        <f aca="false">IF(H229&gt;0.005,$C$5,IF(M229&gt;0.005,$C$6,IF(R229&gt;0.005,$C$7,IF(W229&gt;0.005,$C$8,IF(AB229&gt;0.005,$C$9,IF(AG229&gt;0.005,$C$10,IF(AL229&gt;0.005,$C$11,IF(AQ229&gt;0.005,$C$12,IF(AV229&gt;0.005,$C$13,IF(BA229&gt;0.005,$C$14,""))))))))))</f>
        <v/>
      </c>
    </row>
    <row r="230" customFormat="false" ht="15" hidden="false" customHeight="false" outlineLevel="0" collapsed="false">
      <c r="A230" s="24" t="n">
        <v>207</v>
      </c>
      <c r="B230" s="54" t="n">
        <f aca="false">EDATE($C$17,A230-1)</f>
        <v>52597</v>
      </c>
      <c r="C230" s="55" t="n">
        <f aca="false">G230+L230+Q230+V230+AA230+AF230+AK230+AP230+AU230+AZ230</f>
        <v>0</v>
      </c>
      <c r="D230" s="55" t="n">
        <f aca="false">MAX(0,$C$16-C230)</f>
        <v>5822</v>
      </c>
      <c r="E230" s="55" t="n">
        <f aca="false">ROUND(MAX(0,E229+F229-I229),2)</f>
        <v>0</v>
      </c>
      <c r="F230" s="55" t="n">
        <f aca="false">ROUND(E230*$E$5/12,2)</f>
        <v>0</v>
      </c>
      <c r="G230" s="55" t="n">
        <f aca="false">MIN($F$5,E230+F230)</f>
        <v>0</v>
      </c>
      <c r="H230" s="55" t="n">
        <f aca="false">MAX(0,MIN(E230+F230-G230,$D230))</f>
        <v>0</v>
      </c>
      <c r="I230" s="55" t="n">
        <f aca="false">G230+H230</f>
        <v>0</v>
      </c>
      <c r="J230" s="55" t="n">
        <f aca="false">ROUND(MAX(0,J229+K229-N229),2)</f>
        <v>0</v>
      </c>
      <c r="K230" s="55" t="n">
        <f aca="false">ROUND(J230*$E$6/12,2)</f>
        <v>0</v>
      </c>
      <c r="L230" s="55" t="n">
        <f aca="false">MIN($F$6,J230+K230)</f>
        <v>0</v>
      </c>
      <c r="M230" s="55" t="n">
        <f aca="false">MAX(0,MIN(J230+K230-L230,$D230-(H230)))</f>
        <v>0</v>
      </c>
      <c r="N230" s="55" t="n">
        <f aca="false">L230+M230</f>
        <v>0</v>
      </c>
      <c r="O230" s="55" t="n">
        <f aca="false">ROUND(MAX(0,O229+P229-S229),2)</f>
        <v>0</v>
      </c>
      <c r="P230" s="55" t="n">
        <f aca="false">ROUND(O230*$E$7/12,2)</f>
        <v>0</v>
      </c>
      <c r="Q230" s="55" t="n">
        <f aca="false">MIN($F$7,O230+P230)</f>
        <v>0</v>
      </c>
      <c r="R230" s="55" t="n">
        <f aca="false">MAX(0,MIN(O230+P230-Q230,$D230-(H230+M230)))</f>
        <v>0</v>
      </c>
      <c r="S230" s="55" t="n">
        <f aca="false">Q230+R230</f>
        <v>0</v>
      </c>
      <c r="T230" s="55" t="n">
        <f aca="false">ROUND(MAX(0,T229+U229-X229),2)</f>
        <v>0</v>
      </c>
      <c r="U230" s="55" t="n">
        <f aca="false">ROUND(T230*$E$8/12,2)</f>
        <v>0</v>
      </c>
      <c r="V230" s="55" t="n">
        <f aca="false">MIN($F$8,T230+U230)</f>
        <v>0</v>
      </c>
      <c r="W230" s="55" t="n">
        <f aca="false">MAX(0,MIN(T230+U230-V230,$D230-(H230+M230+R230)))</f>
        <v>0</v>
      </c>
      <c r="X230" s="55" t="n">
        <f aca="false">V230+W230</f>
        <v>0</v>
      </c>
      <c r="Y230" s="55" t="n">
        <f aca="false">ROUND(MAX(0,Y229+Z229-AC229),2)</f>
        <v>0</v>
      </c>
      <c r="Z230" s="55" t="n">
        <f aca="false">ROUND(Y230*$E$9/12,2)</f>
        <v>0</v>
      </c>
      <c r="AA230" s="55" t="n">
        <f aca="false">MIN($F$9,Y230+Z230)</f>
        <v>0</v>
      </c>
      <c r="AB230" s="55" t="n">
        <f aca="false">MAX(0,MIN(Y230+Z230-AA230,$D230-(H230+M230+R230+W230)))</f>
        <v>0</v>
      </c>
      <c r="AC230" s="55" t="n">
        <f aca="false">AA230+AB230</f>
        <v>0</v>
      </c>
      <c r="AD230" s="55" t="n">
        <f aca="false">ROUND(MAX(0,AD229+AE229-AH229),2)</f>
        <v>0</v>
      </c>
      <c r="AE230" s="55" t="n">
        <f aca="false">ROUND(AD230*$E$10/12,2)</f>
        <v>0</v>
      </c>
      <c r="AF230" s="55" t="n">
        <f aca="false">MIN($F$10,AD230+AE230)</f>
        <v>0</v>
      </c>
      <c r="AG230" s="55" t="n">
        <f aca="false">MAX(0,MIN(AD230+AE230-AF230,$D230-(H230+M230+R230+W230+AB230)))</f>
        <v>0</v>
      </c>
      <c r="AH230" s="55" t="n">
        <f aca="false">AF230+AG230</f>
        <v>0</v>
      </c>
      <c r="AI230" s="55" t="n">
        <f aca="false">ROUND(MAX(0,AI229+AJ229-AM229),2)</f>
        <v>0</v>
      </c>
      <c r="AJ230" s="55" t="n">
        <f aca="false">ROUND(AI230*$E$11/12,2)</f>
        <v>0</v>
      </c>
      <c r="AK230" s="55" t="n">
        <f aca="false">MIN($F$11,AI230+AJ230)</f>
        <v>0</v>
      </c>
      <c r="AL230" s="55" t="n">
        <f aca="false">MAX(0,MIN(AI230+AJ230-AK230,$D230-(H230+M230+R230+W230+AB230+AG230)))</f>
        <v>0</v>
      </c>
      <c r="AM230" s="55" t="n">
        <f aca="false">AK230+AL230</f>
        <v>0</v>
      </c>
      <c r="AN230" s="55" t="n">
        <f aca="false">ROUND(MAX(0,AN229+AO229-AR229),2)</f>
        <v>0</v>
      </c>
      <c r="AO230" s="55" t="n">
        <f aca="false">ROUND(AN230*$E$12/12,2)</f>
        <v>0</v>
      </c>
      <c r="AP230" s="55" t="n">
        <f aca="false">MIN($F$12,AN230+AO230)</f>
        <v>0</v>
      </c>
      <c r="AQ230" s="55" t="n">
        <f aca="false">MAX(0,MIN(AN230+AO230-AP230,$D230-(H230+M230+R230+W230+AB230+AG230+AL230)))</f>
        <v>0</v>
      </c>
      <c r="AR230" s="55" t="n">
        <f aca="false">AP230+AQ230</f>
        <v>0</v>
      </c>
      <c r="AS230" s="55" t="n">
        <f aca="false">ROUND(MAX(0,AS229+AT229-AW229),2)</f>
        <v>0</v>
      </c>
      <c r="AT230" s="55" t="n">
        <f aca="false">ROUND(AS230*$E$13/12,2)</f>
        <v>0</v>
      </c>
      <c r="AU230" s="55" t="n">
        <f aca="false">MIN($F$13,AS230+AT230)</f>
        <v>0</v>
      </c>
      <c r="AV230" s="55" t="n">
        <f aca="false">MAX(0,MIN(AS230+AT230-AU230,$D230-(H230+M230+R230+W230+AB230+AG230+AL230+AQ230)))</f>
        <v>0</v>
      </c>
      <c r="AW230" s="55" t="n">
        <f aca="false">AU230+AV230</f>
        <v>0</v>
      </c>
      <c r="AX230" s="55" t="n">
        <f aca="false">ROUND(MAX(0,AX229+AY229-BB229),2)</f>
        <v>0</v>
      </c>
      <c r="AY230" s="55" t="n">
        <f aca="false">ROUND(AX230*$E$14/12,2)</f>
        <v>0</v>
      </c>
      <c r="AZ230" s="55" t="n">
        <f aca="false">MIN($F$14,AX230+AY230)</f>
        <v>0</v>
      </c>
      <c r="BA230" s="55" t="n">
        <f aca="false">MAX(0,MIN(AX230+AY230-AZ230,$D230-(H230+M230+R230+W230+AB230+AG230+AL230+AQ230+AV230)))</f>
        <v>0</v>
      </c>
      <c r="BB230" s="55" t="n">
        <f aca="false">AZ230+BA230</f>
        <v>0</v>
      </c>
      <c r="BC230" s="55" t="n">
        <f aca="false">I230+N230+S230+X230+AC230+AH230+AM230+AR230+AW230+BB230</f>
        <v>0</v>
      </c>
      <c r="BD230" s="55" t="n">
        <f aca="false">ROUND((E230+F230-I230)+(J230+K230-N230)+(O230+P230-S230)+(T230+U230-X230)+(Y230+Z230-AC230)+(AD230+AE230-AH230)+(AI230+AJ230-AM230)+(AN230+AO230-AR230)+(AS230+AT230-AW230)+(AX230+AY230-BB230),2)</f>
        <v>0</v>
      </c>
      <c r="BE230" s="25" t="str">
        <f aca="false">IF(H230&gt;0.005,$C$5,IF(M230&gt;0.005,$C$6,IF(R230&gt;0.005,$C$7,IF(W230&gt;0.005,$C$8,IF(AB230&gt;0.005,$C$9,IF(AG230&gt;0.005,$C$10,IF(AL230&gt;0.005,$C$11,IF(AQ230&gt;0.005,$C$12,IF(AV230&gt;0.005,$C$13,IF(BA230&gt;0.005,$C$14,""))))))))))</f>
        <v/>
      </c>
    </row>
    <row r="231" customFormat="false" ht="15" hidden="false" customHeight="false" outlineLevel="0" collapsed="false">
      <c r="A231" s="24" t="n">
        <v>208</v>
      </c>
      <c r="B231" s="54" t="n">
        <f aca="false">EDATE($C$17,A231-1)</f>
        <v>52628</v>
      </c>
      <c r="C231" s="55" t="n">
        <f aca="false">G231+L231+Q231+V231+AA231+AF231+AK231+AP231+AU231+AZ231</f>
        <v>0</v>
      </c>
      <c r="D231" s="55" t="n">
        <f aca="false">MAX(0,$C$16-C231)</f>
        <v>5822</v>
      </c>
      <c r="E231" s="55" t="n">
        <f aca="false">ROUND(MAX(0,E230+F230-I230),2)</f>
        <v>0</v>
      </c>
      <c r="F231" s="55" t="n">
        <f aca="false">ROUND(E231*$E$5/12,2)</f>
        <v>0</v>
      </c>
      <c r="G231" s="55" t="n">
        <f aca="false">MIN($F$5,E231+F231)</f>
        <v>0</v>
      </c>
      <c r="H231" s="55" t="n">
        <f aca="false">MAX(0,MIN(E231+F231-G231,$D231))</f>
        <v>0</v>
      </c>
      <c r="I231" s="55" t="n">
        <f aca="false">G231+H231</f>
        <v>0</v>
      </c>
      <c r="J231" s="55" t="n">
        <f aca="false">ROUND(MAX(0,J230+K230-N230),2)</f>
        <v>0</v>
      </c>
      <c r="K231" s="55" t="n">
        <f aca="false">ROUND(J231*$E$6/12,2)</f>
        <v>0</v>
      </c>
      <c r="L231" s="55" t="n">
        <f aca="false">MIN($F$6,J231+K231)</f>
        <v>0</v>
      </c>
      <c r="M231" s="55" t="n">
        <f aca="false">MAX(0,MIN(J231+K231-L231,$D231-(H231)))</f>
        <v>0</v>
      </c>
      <c r="N231" s="55" t="n">
        <f aca="false">L231+M231</f>
        <v>0</v>
      </c>
      <c r="O231" s="55" t="n">
        <f aca="false">ROUND(MAX(0,O230+P230-S230),2)</f>
        <v>0</v>
      </c>
      <c r="P231" s="55" t="n">
        <f aca="false">ROUND(O231*$E$7/12,2)</f>
        <v>0</v>
      </c>
      <c r="Q231" s="55" t="n">
        <f aca="false">MIN($F$7,O231+P231)</f>
        <v>0</v>
      </c>
      <c r="R231" s="55" t="n">
        <f aca="false">MAX(0,MIN(O231+P231-Q231,$D231-(H231+M231)))</f>
        <v>0</v>
      </c>
      <c r="S231" s="55" t="n">
        <f aca="false">Q231+R231</f>
        <v>0</v>
      </c>
      <c r="T231" s="55" t="n">
        <f aca="false">ROUND(MAX(0,T230+U230-X230),2)</f>
        <v>0</v>
      </c>
      <c r="U231" s="55" t="n">
        <f aca="false">ROUND(T231*$E$8/12,2)</f>
        <v>0</v>
      </c>
      <c r="V231" s="55" t="n">
        <f aca="false">MIN($F$8,T231+U231)</f>
        <v>0</v>
      </c>
      <c r="W231" s="55" t="n">
        <f aca="false">MAX(0,MIN(T231+U231-V231,$D231-(H231+M231+R231)))</f>
        <v>0</v>
      </c>
      <c r="X231" s="55" t="n">
        <f aca="false">V231+W231</f>
        <v>0</v>
      </c>
      <c r="Y231" s="55" t="n">
        <f aca="false">ROUND(MAX(0,Y230+Z230-AC230),2)</f>
        <v>0</v>
      </c>
      <c r="Z231" s="55" t="n">
        <f aca="false">ROUND(Y231*$E$9/12,2)</f>
        <v>0</v>
      </c>
      <c r="AA231" s="55" t="n">
        <f aca="false">MIN($F$9,Y231+Z231)</f>
        <v>0</v>
      </c>
      <c r="AB231" s="55" t="n">
        <f aca="false">MAX(0,MIN(Y231+Z231-AA231,$D231-(H231+M231+R231+W231)))</f>
        <v>0</v>
      </c>
      <c r="AC231" s="55" t="n">
        <f aca="false">AA231+AB231</f>
        <v>0</v>
      </c>
      <c r="AD231" s="55" t="n">
        <f aca="false">ROUND(MAX(0,AD230+AE230-AH230),2)</f>
        <v>0</v>
      </c>
      <c r="AE231" s="55" t="n">
        <f aca="false">ROUND(AD231*$E$10/12,2)</f>
        <v>0</v>
      </c>
      <c r="AF231" s="55" t="n">
        <f aca="false">MIN($F$10,AD231+AE231)</f>
        <v>0</v>
      </c>
      <c r="AG231" s="55" t="n">
        <f aca="false">MAX(0,MIN(AD231+AE231-AF231,$D231-(H231+M231+R231+W231+AB231)))</f>
        <v>0</v>
      </c>
      <c r="AH231" s="55" t="n">
        <f aca="false">AF231+AG231</f>
        <v>0</v>
      </c>
      <c r="AI231" s="55" t="n">
        <f aca="false">ROUND(MAX(0,AI230+AJ230-AM230),2)</f>
        <v>0</v>
      </c>
      <c r="AJ231" s="55" t="n">
        <f aca="false">ROUND(AI231*$E$11/12,2)</f>
        <v>0</v>
      </c>
      <c r="AK231" s="55" t="n">
        <f aca="false">MIN($F$11,AI231+AJ231)</f>
        <v>0</v>
      </c>
      <c r="AL231" s="55" t="n">
        <f aca="false">MAX(0,MIN(AI231+AJ231-AK231,$D231-(H231+M231+R231+W231+AB231+AG231)))</f>
        <v>0</v>
      </c>
      <c r="AM231" s="55" t="n">
        <f aca="false">AK231+AL231</f>
        <v>0</v>
      </c>
      <c r="AN231" s="55" t="n">
        <f aca="false">ROUND(MAX(0,AN230+AO230-AR230),2)</f>
        <v>0</v>
      </c>
      <c r="AO231" s="55" t="n">
        <f aca="false">ROUND(AN231*$E$12/12,2)</f>
        <v>0</v>
      </c>
      <c r="AP231" s="55" t="n">
        <f aca="false">MIN($F$12,AN231+AO231)</f>
        <v>0</v>
      </c>
      <c r="AQ231" s="55" t="n">
        <f aca="false">MAX(0,MIN(AN231+AO231-AP231,$D231-(H231+M231+R231+W231+AB231+AG231+AL231)))</f>
        <v>0</v>
      </c>
      <c r="AR231" s="55" t="n">
        <f aca="false">AP231+AQ231</f>
        <v>0</v>
      </c>
      <c r="AS231" s="55" t="n">
        <f aca="false">ROUND(MAX(0,AS230+AT230-AW230),2)</f>
        <v>0</v>
      </c>
      <c r="AT231" s="55" t="n">
        <f aca="false">ROUND(AS231*$E$13/12,2)</f>
        <v>0</v>
      </c>
      <c r="AU231" s="55" t="n">
        <f aca="false">MIN($F$13,AS231+AT231)</f>
        <v>0</v>
      </c>
      <c r="AV231" s="55" t="n">
        <f aca="false">MAX(0,MIN(AS231+AT231-AU231,$D231-(H231+M231+R231+W231+AB231+AG231+AL231+AQ231)))</f>
        <v>0</v>
      </c>
      <c r="AW231" s="55" t="n">
        <f aca="false">AU231+AV231</f>
        <v>0</v>
      </c>
      <c r="AX231" s="55" t="n">
        <f aca="false">ROUND(MAX(0,AX230+AY230-BB230),2)</f>
        <v>0</v>
      </c>
      <c r="AY231" s="55" t="n">
        <f aca="false">ROUND(AX231*$E$14/12,2)</f>
        <v>0</v>
      </c>
      <c r="AZ231" s="55" t="n">
        <f aca="false">MIN($F$14,AX231+AY231)</f>
        <v>0</v>
      </c>
      <c r="BA231" s="55" t="n">
        <f aca="false">MAX(0,MIN(AX231+AY231-AZ231,$D231-(H231+M231+R231+W231+AB231+AG231+AL231+AQ231+AV231)))</f>
        <v>0</v>
      </c>
      <c r="BB231" s="55" t="n">
        <f aca="false">AZ231+BA231</f>
        <v>0</v>
      </c>
      <c r="BC231" s="55" t="n">
        <f aca="false">I231+N231+S231+X231+AC231+AH231+AM231+AR231+AW231+BB231</f>
        <v>0</v>
      </c>
      <c r="BD231" s="55" t="n">
        <f aca="false">ROUND((E231+F231-I231)+(J231+K231-N231)+(O231+P231-S231)+(T231+U231-X231)+(Y231+Z231-AC231)+(AD231+AE231-AH231)+(AI231+AJ231-AM231)+(AN231+AO231-AR231)+(AS231+AT231-AW231)+(AX231+AY231-BB231),2)</f>
        <v>0</v>
      </c>
      <c r="BE231" s="25" t="str">
        <f aca="false">IF(H231&gt;0.005,$C$5,IF(M231&gt;0.005,$C$6,IF(R231&gt;0.005,$C$7,IF(W231&gt;0.005,$C$8,IF(AB231&gt;0.005,$C$9,IF(AG231&gt;0.005,$C$10,IF(AL231&gt;0.005,$C$11,IF(AQ231&gt;0.005,$C$12,IF(AV231&gt;0.005,$C$13,IF(BA231&gt;0.005,$C$14,""))))))))))</f>
        <v/>
      </c>
    </row>
    <row r="232" customFormat="false" ht="15" hidden="false" customHeight="false" outlineLevel="0" collapsed="false">
      <c r="A232" s="24" t="n">
        <v>209</v>
      </c>
      <c r="B232" s="54" t="n">
        <f aca="false">EDATE($C$17,A232-1)</f>
        <v>52657</v>
      </c>
      <c r="C232" s="55" t="n">
        <f aca="false">G232+L232+Q232+V232+AA232+AF232+AK232+AP232+AU232+AZ232</f>
        <v>0</v>
      </c>
      <c r="D232" s="55" t="n">
        <f aca="false">MAX(0,$C$16-C232)</f>
        <v>5822</v>
      </c>
      <c r="E232" s="55" t="n">
        <f aca="false">ROUND(MAX(0,E231+F231-I231),2)</f>
        <v>0</v>
      </c>
      <c r="F232" s="55" t="n">
        <f aca="false">ROUND(E232*$E$5/12,2)</f>
        <v>0</v>
      </c>
      <c r="G232" s="55" t="n">
        <f aca="false">MIN($F$5,E232+F232)</f>
        <v>0</v>
      </c>
      <c r="H232" s="55" t="n">
        <f aca="false">MAX(0,MIN(E232+F232-G232,$D232))</f>
        <v>0</v>
      </c>
      <c r="I232" s="55" t="n">
        <f aca="false">G232+H232</f>
        <v>0</v>
      </c>
      <c r="J232" s="55" t="n">
        <f aca="false">ROUND(MAX(0,J231+K231-N231),2)</f>
        <v>0</v>
      </c>
      <c r="K232" s="55" t="n">
        <f aca="false">ROUND(J232*$E$6/12,2)</f>
        <v>0</v>
      </c>
      <c r="L232" s="55" t="n">
        <f aca="false">MIN($F$6,J232+K232)</f>
        <v>0</v>
      </c>
      <c r="M232" s="55" t="n">
        <f aca="false">MAX(0,MIN(J232+K232-L232,$D232-(H232)))</f>
        <v>0</v>
      </c>
      <c r="N232" s="55" t="n">
        <f aca="false">L232+M232</f>
        <v>0</v>
      </c>
      <c r="O232" s="55" t="n">
        <f aca="false">ROUND(MAX(0,O231+P231-S231),2)</f>
        <v>0</v>
      </c>
      <c r="P232" s="55" t="n">
        <f aca="false">ROUND(O232*$E$7/12,2)</f>
        <v>0</v>
      </c>
      <c r="Q232" s="55" t="n">
        <f aca="false">MIN($F$7,O232+P232)</f>
        <v>0</v>
      </c>
      <c r="R232" s="55" t="n">
        <f aca="false">MAX(0,MIN(O232+P232-Q232,$D232-(H232+M232)))</f>
        <v>0</v>
      </c>
      <c r="S232" s="55" t="n">
        <f aca="false">Q232+R232</f>
        <v>0</v>
      </c>
      <c r="T232" s="55" t="n">
        <f aca="false">ROUND(MAX(0,T231+U231-X231),2)</f>
        <v>0</v>
      </c>
      <c r="U232" s="55" t="n">
        <f aca="false">ROUND(T232*$E$8/12,2)</f>
        <v>0</v>
      </c>
      <c r="V232" s="55" t="n">
        <f aca="false">MIN($F$8,T232+U232)</f>
        <v>0</v>
      </c>
      <c r="W232" s="55" t="n">
        <f aca="false">MAX(0,MIN(T232+U232-V232,$D232-(H232+M232+R232)))</f>
        <v>0</v>
      </c>
      <c r="X232" s="55" t="n">
        <f aca="false">V232+W232</f>
        <v>0</v>
      </c>
      <c r="Y232" s="55" t="n">
        <f aca="false">ROUND(MAX(0,Y231+Z231-AC231),2)</f>
        <v>0</v>
      </c>
      <c r="Z232" s="55" t="n">
        <f aca="false">ROUND(Y232*$E$9/12,2)</f>
        <v>0</v>
      </c>
      <c r="AA232" s="55" t="n">
        <f aca="false">MIN($F$9,Y232+Z232)</f>
        <v>0</v>
      </c>
      <c r="AB232" s="55" t="n">
        <f aca="false">MAX(0,MIN(Y232+Z232-AA232,$D232-(H232+M232+R232+W232)))</f>
        <v>0</v>
      </c>
      <c r="AC232" s="55" t="n">
        <f aca="false">AA232+AB232</f>
        <v>0</v>
      </c>
      <c r="AD232" s="55" t="n">
        <f aca="false">ROUND(MAX(0,AD231+AE231-AH231),2)</f>
        <v>0</v>
      </c>
      <c r="AE232" s="55" t="n">
        <f aca="false">ROUND(AD232*$E$10/12,2)</f>
        <v>0</v>
      </c>
      <c r="AF232" s="55" t="n">
        <f aca="false">MIN($F$10,AD232+AE232)</f>
        <v>0</v>
      </c>
      <c r="AG232" s="55" t="n">
        <f aca="false">MAX(0,MIN(AD232+AE232-AF232,$D232-(H232+M232+R232+W232+AB232)))</f>
        <v>0</v>
      </c>
      <c r="AH232" s="55" t="n">
        <f aca="false">AF232+AG232</f>
        <v>0</v>
      </c>
      <c r="AI232" s="55" t="n">
        <f aca="false">ROUND(MAX(0,AI231+AJ231-AM231),2)</f>
        <v>0</v>
      </c>
      <c r="AJ232" s="55" t="n">
        <f aca="false">ROUND(AI232*$E$11/12,2)</f>
        <v>0</v>
      </c>
      <c r="AK232" s="55" t="n">
        <f aca="false">MIN($F$11,AI232+AJ232)</f>
        <v>0</v>
      </c>
      <c r="AL232" s="55" t="n">
        <f aca="false">MAX(0,MIN(AI232+AJ232-AK232,$D232-(H232+M232+R232+W232+AB232+AG232)))</f>
        <v>0</v>
      </c>
      <c r="AM232" s="55" t="n">
        <f aca="false">AK232+AL232</f>
        <v>0</v>
      </c>
      <c r="AN232" s="55" t="n">
        <f aca="false">ROUND(MAX(0,AN231+AO231-AR231),2)</f>
        <v>0</v>
      </c>
      <c r="AO232" s="55" t="n">
        <f aca="false">ROUND(AN232*$E$12/12,2)</f>
        <v>0</v>
      </c>
      <c r="AP232" s="55" t="n">
        <f aca="false">MIN($F$12,AN232+AO232)</f>
        <v>0</v>
      </c>
      <c r="AQ232" s="55" t="n">
        <f aca="false">MAX(0,MIN(AN232+AO232-AP232,$D232-(H232+M232+R232+W232+AB232+AG232+AL232)))</f>
        <v>0</v>
      </c>
      <c r="AR232" s="55" t="n">
        <f aca="false">AP232+AQ232</f>
        <v>0</v>
      </c>
      <c r="AS232" s="55" t="n">
        <f aca="false">ROUND(MAX(0,AS231+AT231-AW231),2)</f>
        <v>0</v>
      </c>
      <c r="AT232" s="55" t="n">
        <f aca="false">ROUND(AS232*$E$13/12,2)</f>
        <v>0</v>
      </c>
      <c r="AU232" s="55" t="n">
        <f aca="false">MIN($F$13,AS232+AT232)</f>
        <v>0</v>
      </c>
      <c r="AV232" s="55" t="n">
        <f aca="false">MAX(0,MIN(AS232+AT232-AU232,$D232-(H232+M232+R232+W232+AB232+AG232+AL232+AQ232)))</f>
        <v>0</v>
      </c>
      <c r="AW232" s="55" t="n">
        <f aca="false">AU232+AV232</f>
        <v>0</v>
      </c>
      <c r="AX232" s="55" t="n">
        <f aca="false">ROUND(MAX(0,AX231+AY231-BB231),2)</f>
        <v>0</v>
      </c>
      <c r="AY232" s="55" t="n">
        <f aca="false">ROUND(AX232*$E$14/12,2)</f>
        <v>0</v>
      </c>
      <c r="AZ232" s="55" t="n">
        <f aca="false">MIN($F$14,AX232+AY232)</f>
        <v>0</v>
      </c>
      <c r="BA232" s="55" t="n">
        <f aca="false">MAX(0,MIN(AX232+AY232-AZ232,$D232-(H232+M232+R232+W232+AB232+AG232+AL232+AQ232+AV232)))</f>
        <v>0</v>
      </c>
      <c r="BB232" s="55" t="n">
        <f aca="false">AZ232+BA232</f>
        <v>0</v>
      </c>
      <c r="BC232" s="55" t="n">
        <f aca="false">I232+N232+S232+X232+AC232+AH232+AM232+AR232+AW232+BB232</f>
        <v>0</v>
      </c>
      <c r="BD232" s="55" t="n">
        <f aca="false">ROUND((E232+F232-I232)+(J232+K232-N232)+(O232+P232-S232)+(T232+U232-X232)+(Y232+Z232-AC232)+(AD232+AE232-AH232)+(AI232+AJ232-AM232)+(AN232+AO232-AR232)+(AS232+AT232-AW232)+(AX232+AY232-BB232),2)</f>
        <v>0</v>
      </c>
      <c r="BE232" s="25" t="str">
        <f aca="false">IF(H232&gt;0.005,$C$5,IF(M232&gt;0.005,$C$6,IF(R232&gt;0.005,$C$7,IF(W232&gt;0.005,$C$8,IF(AB232&gt;0.005,$C$9,IF(AG232&gt;0.005,$C$10,IF(AL232&gt;0.005,$C$11,IF(AQ232&gt;0.005,$C$12,IF(AV232&gt;0.005,$C$13,IF(BA232&gt;0.005,$C$14,""))))))))))</f>
        <v/>
      </c>
    </row>
    <row r="233" customFormat="false" ht="15" hidden="false" customHeight="false" outlineLevel="0" collapsed="false">
      <c r="A233" s="24" t="n">
        <v>210</v>
      </c>
      <c r="B233" s="54" t="n">
        <f aca="false">EDATE($C$17,A233-1)</f>
        <v>52688</v>
      </c>
      <c r="C233" s="55" t="n">
        <f aca="false">G233+L233+Q233+V233+AA233+AF233+AK233+AP233+AU233+AZ233</f>
        <v>0</v>
      </c>
      <c r="D233" s="55" t="n">
        <f aca="false">MAX(0,$C$16-C233)</f>
        <v>5822</v>
      </c>
      <c r="E233" s="55" t="n">
        <f aca="false">ROUND(MAX(0,E232+F232-I232),2)</f>
        <v>0</v>
      </c>
      <c r="F233" s="55" t="n">
        <f aca="false">ROUND(E233*$E$5/12,2)</f>
        <v>0</v>
      </c>
      <c r="G233" s="55" t="n">
        <f aca="false">MIN($F$5,E233+F233)</f>
        <v>0</v>
      </c>
      <c r="H233" s="55" t="n">
        <f aca="false">MAX(0,MIN(E233+F233-G233,$D233))</f>
        <v>0</v>
      </c>
      <c r="I233" s="55" t="n">
        <f aca="false">G233+H233</f>
        <v>0</v>
      </c>
      <c r="J233" s="55" t="n">
        <f aca="false">ROUND(MAX(0,J232+K232-N232),2)</f>
        <v>0</v>
      </c>
      <c r="K233" s="55" t="n">
        <f aca="false">ROUND(J233*$E$6/12,2)</f>
        <v>0</v>
      </c>
      <c r="L233" s="55" t="n">
        <f aca="false">MIN($F$6,J233+K233)</f>
        <v>0</v>
      </c>
      <c r="M233" s="55" t="n">
        <f aca="false">MAX(0,MIN(J233+K233-L233,$D233-(H233)))</f>
        <v>0</v>
      </c>
      <c r="N233" s="55" t="n">
        <f aca="false">L233+M233</f>
        <v>0</v>
      </c>
      <c r="O233" s="55" t="n">
        <f aca="false">ROUND(MAX(0,O232+P232-S232),2)</f>
        <v>0</v>
      </c>
      <c r="P233" s="55" t="n">
        <f aca="false">ROUND(O233*$E$7/12,2)</f>
        <v>0</v>
      </c>
      <c r="Q233" s="55" t="n">
        <f aca="false">MIN($F$7,O233+P233)</f>
        <v>0</v>
      </c>
      <c r="R233" s="55" t="n">
        <f aca="false">MAX(0,MIN(O233+P233-Q233,$D233-(H233+M233)))</f>
        <v>0</v>
      </c>
      <c r="S233" s="55" t="n">
        <f aca="false">Q233+R233</f>
        <v>0</v>
      </c>
      <c r="T233" s="55" t="n">
        <f aca="false">ROUND(MAX(0,T232+U232-X232),2)</f>
        <v>0</v>
      </c>
      <c r="U233" s="55" t="n">
        <f aca="false">ROUND(T233*$E$8/12,2)</f>
        <v>0</v>
      </c>
      <c r="V233" s="55" t="n">
        <f aca="false">MIN($F$8,T233+U233)</f>
        <v>0</v>
      </c>
      <c r="W233" s="55" t="n">
        <f aca="false">MAX(0,MIN(T233+U233-V233,$D233-(H233+M233+R233)))</f>
        <v>0</v>
      </c>
      <c r="X233" s="55" t="n">
        <f aca="false">V233+W233</f>
        <v>0</v>
      </c>
      <c r="Y233" s="55" t="n">
        <f aca="false">ROUND(MAX(0,Y232+Z232-AC232),2)</f>
        <v>0</v>
      </c>
      <c r="Z233" s="55" t="n">
        <f aca="false">ROUND(Y233*$E$9/12,2)</f>
        <v>0</v>
      </c>
      <c r="AA233" s="55" t="n">
        <f aca="false">MIN($F$9,Y233+Z233)</f>
        <v>0</v>
      </c>
      <c r="AB233" s="55" t="n">
        <f aca="false">MAX(0,MIN(Y233+Z233-AA233,$D233-(H233+M233+R233+W233)))</f>
        <v>0</v>
      </c>
      <c r="AC233" s="55" t="n">
        <f aca="false">AA233+AB233</f>
        <v>0</v>
      </c>
      <c r="AD233" s="55" t="n">
        <f aca="false">ROUND(MAX(0,AD232+AE232-AH232),2)</f>
        <v>0</v>
      </c>
      <c r="AE233" s="55" t="n">
        <f aca="false">ROUND(AD233*$E$10/12,2)</f>
        <v>0</v>
      </c>
      <c r="AF233" s="55" t="n">
        <f aca="false">MIN($F$10,AD233+AE233)</f>
        <v>0</v>
      </c>
      <c r="AG233" s="55" t="n">
        <f aca="false">MAX(0,MIN(AD233+AE233-AF233,$D233-(H233+M233+R233+W233+AB233)))</f>
        <v>0</v>
      </c>
      <c r="AH233" s="55" t="n">
        <f aca="false">AF233+AG233</f>
        <v>0</v>
      </c>
      <c r="AI233" s="55" t="n">
        <f aca="false">ROUND(MAX(0,AI232+AJ232-AM232),2)</f>
        <v>0</v>
      </c>
      <c r="AJ233" s="55" t="n">
        <f aca="false">ROUND(AI233*$E$11/12,2)</f>
        <v>0</v>
      </c>
      <c r="AK233" s="55" t="n">
        <f aca="false">MIN($F$11,AI233+AJ233)</f>
        <v>0</v>
      </c>
      <c r="AL233" s="55" t="n">
        <f aca="false">MAX(0,MIN(AI233+AJ233-AK233,$D233-(H233+M233+R233+W233+AB233+AG233)))</f>
        <v>0</v>
      </c>
      <c r="AM233" s="55" t="n">
        <f aca="false">AK233+AL233</f>
        <v>0</v>
      </c>
      <c r="AN233" s="55" t="n">
        <f aca="false">ROUND(MAX(0,AN232+AO232-AR232),2)</f>
        <v>0</v>
      </c>
      <c r="AO233" s="55" t="n">
        <f aca="false">ROUND(AN233*$E$12/12,2)</f>
        <v>0</v>
      </c>
      <c r="AP233" s="55" t="n">
        <f aca="false">MIN($F$12,AN233+AO233)</f>
        <v>0</v>
      </c>
      <c r="AQ233" s="55" t="n">
        <f aca="false">MAX(0,MIN(AN233+AO233-AP233,$D233-(H233+M233+R233+W233+AB233+AG233+AL233)))</f>
        <v>0</v>
      </c>
      <c r="AR233" s="55" t="n">
        <f aca="false">AP233+AQ233</f>
        <v>0</v>
      </c>
      <c r="AS233" s="55" t="n">
        <f aca="false">ROUND(MAX(0,AS232+AT232-AW232),2)</f>
        <v>0</v>
      </c>
      <c r="AT233" s="55" t="n">
        <f aca="false">ROUND(AS233*$E$13/12,2)</f>
        <v>0</v>
      </c>
      <c r="AU233" s="55" t="n">
        <f aca="false">MIN($F$13,AS233+AT233)</f>
        <v>0</v>
      </c>
      <c r="AV233" s="55" t="n">
        <f aca="false">MAX(0,MIN(AS233+AT233-AU233,$D233-(H233+M233+R233+W233+AB233+AG233+AL233+AQ233)))</f>
        <v>0</v>
      </c>
      <c r="AW233" s="55" t="n">
        <f aca="false">AU233+AV233</f>
        <v>0</v>
      </c>
      <c r="AX233" s="55" t="n">
        <f aca="false">ROUND(MAX(0,AX232+AY232-BB232),2)</f>
        <v>0</v>
      </c>
      <c r="AY233" s="55" t="n">
        <f aca="false">ROUND(AX233*$E$14/12,2)</f>
        <v>0</v>
      </c>
      <c r="AZ233" s="55" t="n">
        <f aca="false">MIN($F$14,AX233+AY233)</f>
        <v>0</v>
      </c>
      <c r="BA233" s="55" t="n">
        <f aca="false">MAX(0,MIN(AX233+AY233-AZ233,$D233-(H233+M233+R233+W233+AB233+AG233+AL233+AQ233+AV233)))</f>
        <v>0</v>
      </c>
      <c r="BB233" s="55" t="n">
        <f aca="false">AZ233+BA233</f>
        <v>0</v>
      </c>
      <c r="BC233" s="55" t="n">
        <f aca="false">I233+N233+S233+X233+AC233+AH233+AM233+AR233+AW233+BB233</f>
        <v>0</v>
      </c>
      <c r="BD233" s="55" t="n">
        <f aca="false">ROUND((E233+F233-I233)+(J233+K233-N233)+(O233+P233-S233)+(T233+U233-X233)+(Y233+Z233-AC233)+(AD233+AE233-AH233)+(AI233+AJ233-AM233)+(AN233+AO233-AR233)+(AS233+AT233-AW233)+(AX233+AY233-BB233),2)</f>
        <v>0</v>
      </c>
      <c r="BE233" s="25" t="str">
        <f aca="false">IF(H233&gt;0.005,$C$5,IF(M233&gt;0.005,$C$6,IF(R233&gt;0.005,$C$7,IF(W233&gt;0.005,$C$8,IF(AB233&gt;0.005,$C$9,IF(AG233&gt;0.005,$C$10,IF(AL233&gt;0.005,$C$11,IF(AQ233&gt;0.005,$C$12,IF(AV233&gt;0.005,$C$13,IF(BA233&gt;0.005,$C$14,""))))))))))</f>
        <v/>
      </c>
    </row>
    <row r="234" customFormat="false" ht="15" hidden="false" customHeight="false" outlineLevel="0" collapsed="false">
      <c r="A234" s="24" t="n">
        <v>211</v>
      </c>
      <c r="B234" s="54" t="n">
        <f aca="false">EDATE($C$17,A234-1)</f>
        <v>52718</v>
      </c>
      <c r="C234" s="55" t="n">
        <f aca="false">G234+L234+Q234+V234+AA234+AF234+AK234+AP234+AU234+AZ234</f>
        <v>0</v>
      </c>
      <c r="D234" s="55" t="n">
        <f aca="false">MAX(0,$C$16-C234)</f>
        <v>5822</v>
      </c>
      <c r="E234" s="55" t="n">
        <f aca="false">ROUND(MAX(0,E233+F233-I233),2)</f>
        <v>0</v>
      </c>
      <c r="F234" s="55" t="n">
        <f aca="false">ROUND(E234*$E$5/12,2)</f>
        <v>0</v>
      </c>
      <c r="G234" s="55" t="n">
        <f aca="false">MIN($F$5,E234+F234)</f>
        <v>0</v>
      </c>
      <c r="H234" s="55" t="n">
        <f aca="false">MAX(0,MIN(E234+F234-G234,$D234))</f>
        <v>0</v>
      </c>
      <c r="I234" s="55" t="n">
        <f aca="false">G234+H234</f>
        <v>0</v>
      </c>
      <c r="J234" s="55" t="n">
        <f aca="false">ROUND(MAX(0,J233+K233-N233),2)</f>
        <v>0</v>
      </c>
      <c r="K234" s="55" t="n">
        <f aca="false">ROUND(J234*$E$6/12,2)</f>
        <v>0</v>
      </c>
      <c r="L234" s="55" t="n">
        <f aca="false">MIN($F$6,J234+K234)</f>
        <v>0</v>
      </c>
      <c r="M234" s="55" t="n">
        <f aca="false">MAX(0,MIN(J234+K234-L234,$D234-(H234)))</f>
        <v>0</v>
      </c>
      <c r="N234" s="55" t="n">
        <f aca="false">L234+M234</f>
        <v>0</v>
      </c>
      <c r="O234" s="55" t="n">
        <f aca="false">ROUND(MAX(0,O233+P233-S233),2)</f>
        <v>0</v>
      </c>
      <c r="P234" s="55" t="n">
        <f aca="false">ROUND(O234*$E$7/12,2)</f>
        <v>0</v>
      </c>
      <c r="Q234" s="55" t="n">
        <f aca="false">MIN($F$7,O234+P234)</f>
        <v>0</v>
      </c>
      <c r="R234" s="55" t="n">
        <f aca="false">MAX(0,MIN(O234+P234-Q234,$D234-(H234+M234)))</f>
        <v>0</v>
      </c>
      <c r="S234" s="55" t="n">
        <f aca="false">Q234+R234</f>
        <v>0</v>
      </c>
      <c r="T234" s="55" t="n">
        <f aca="false">ROUND(MAX(0,T233+U233-X233),2)</f>
        <v>0</v>
      </c>
      <c r="U234" s="55" t="n">
        <f aca="false">ROUND(T234*$E$8/12,2)</f>
        <v>0</v>
      </c>
      <c r="V234" s="55" t="n">
        <f aca="false">MIN($F$8,T234+U234)</f>
        <v>0</v>
      </c>
      <c r="W234" s="55" t="n">
        <f aca="false">MAX(0,MIN(T234+U234-V234,$D234-(H234+M234+R234)))</f>
        <v>0</v>
      </c>
      <c r="X234" s="55" t="n">
        <f aca="false">V234+W234</f>
        <v>0</v>
      </c>
      <c r="Y234" s="55" t="n">
        <f aca="false">ROUND(MAX(0,Y233+Z233-AC233),2)</f>
        <v>0</v>
      </c>
      <c r="Z234" s="55" t="n">
        <f aca="false">ROUND(Y234*$E$9/12,2)</f>
        <v>0</v>
      </c>
      <c r="AA234" s="55" t="n">
        <f aca="false">MIN($F$9,Y234+Z234)</f>
        <v>0</v>
      </c>
      <c r="AB234" s="55" t="n">
        <f aca="false">MAX(0,MIN(Y234+Z234-AA234,$D234-(H234+M234+R234+W234)))</f>
        <v>0</v>
      </c>
      <c r="AC234" s="55" t="n">
        <f aca="false">AA234+AB234</f>
        <v>0</v>
      </c>
      <c r="AD234" s="55" t="n">
        <f aca="false">ROUND(MAX(0,AD233+AE233-AH233),2)</f>
        <v>0</v>
      </c>
      <c r="AE234" s="55" t="n">
        <f aca="false">ROUND(AD234*$E$10/12,2)</f>
        <v>0</v>
      </c>
      <c r="AF234" s="55" t="n">
        <f aca="false">MIN($F$10,AD234+AE234)</f>
        <v>0</v>
      </c>
      <c r="AG234" s="55" t="n">
        <f aca="false">MAX(0,MIN(AD234+AE234-AF234,$D234-(H234+M234+R234+W234+AB234)))</f>
        <v>0</v>
      </c>
      <c r="AH234" s="55" t="n">
        <f aca="false">AF234+AG234</f>
        <v>0</v>
      </c>
      <c r="AI234" s="55" t="n">
        <f aca="false">ROUND(MAX(0,AI233+AJ233-AM233),2)</f>
        <v>0</v>
      </c>
      <c r="AJ234" s="55" t="n">
        <f aca="false">ROUND(AI234*$E$11/12,2)</f>
        <v>0</v>
      </c>
      <c r="AK234" s="55" t="n">
        <f aca="false">MIN($F$11,AI234+AJ234)</f>
        <v>0</v>
      </c>
      <c r="AL234" s="55" t="n">
        <f aca="false">MAX(0,MIN(AI234+AJ234-AK234,$D234-(H234+M234+R234+W234+AB234+AG234)))</f>
        <v>0</v>
      </c>
      <c r="AM234" s="55" t="n">
        <f aca="false">AK234+AL234</f>
        <v>0</v>
      </c>
      <c r="AN234" s="55" t="n">
        <f aca="false">ROUND(MAX(0,AN233+AO233-AR233),2)</f>
        <v>0</v>
      </c>
      <c r="AO234" s="55" t="n">
        <f aca="false">ROUND(AN234*$E$12/12,2)</f>
        <v>0</v>
      </c>
      <c r="AP234" s="55" t="n">
        <f aca="false">MIN($F$12,AN234+AO234)</f>
        <v>0</v>
      </c>
      <c r="AQ234" s="55" t="n">
        <f aca="false">MAX(0,MIN(AN234+AO234-AP234,$D234-(H234+M234+R234+W234+AB234+AG234+AL234)))</f>
        <v>0</v>
      </c>
      <c r="AR234" s="55" t="n">
        <f aca="false">AP234+AQ234</f>
        <v>0</v>
      </c>
      <c r="AS234" s="55" t="n">
        <f aca="false">ROUND(MAX(0,AS233+AT233-AW233),2)</f>
        <v>0</v>
      </c>
      <c r="AT234" s="55" t="n">
        <f aca="false">ROUND(AS234*$E$13/12,2)</f>
        <v>0</v>
      </c>
      <c r="AU234" s="55" t="n">
        <f aca="false">MIN($F$13,AS234+AT234)</f>
        <v>0</v>
      </c>
      <c r="AV234" s="55" t="n">
        <f aca="false">MAX(0,MIN(AS234+AT234-AU234,$D234-(H234+M234+R234+W234+AB234+AG234+AL234+AQ234)))</f>
        <v>0</v>
      </c>
      <c r="AW234" s="55" t="n">
        <f aca="false">AU234+AV234</f>
        <v>0</v>
      </c>
      <c r="AX234" s="55" t="n">
        <f aca="false">ROUND(MAX(0,AX233+AY233-BB233),2)</f>
        <v>0</v>
      </c>
      <c r="AY234" s="55" t="n">
        <f aca="false">ROUND(AX234*$E$14/12,2)</f>
        <v>0</v>
      </c>
      <c r="AZ234" s="55" t="n">
        <f aca="false">MIN($F$14,AX234+AY234)</f>
        <v>0</v>
      </c>
      <c r="BA234" s="55" t="n">
        <f aca="false">MAX(0,MIN(AX234+AY234-AZ234,$D234-(H234+M234+R234+W234+AB234+AG234+AL234+AQ234+AV234)))</f>
        <v>0</v>
      </c>
      <c r="BB234" s="55" t="n">
        <f aca="false">AZ234+BA234</f>
        <v>0</v>
      </c>
      <c r="BC234" s="55" t="n">
        <f aca="false">I234+N234+S234+X234+AC234+AH234+AM234+AR234+AW234+BB234</f>
        <v>0</v>
      </c>
      <c r="BD234" s="55" t="n">
        <f aca="false">ROUND((E234+F234-I234)+(J234+K234-N234)+(O234+P234-S234)+(T234+U234-X234)+(Y234+Z234-AC234)+(AD234+AE234-AH234)+(AI234+AJ234-AM234)+(AN234+AO234-AR234)+(AS234+AT234-AW234)+(AX234+AY234-BB234),2)</f>
        <v>0</v>
      </c>
      <c r="BE234" s="25" t="str">
        <f aca="false">IF(H234&gt;0.005,$C$5,IF(M234&gt;0.005,$C$6,IF(R234&gt;0.005,$C$7,IF(W234&gt;0.005,$C$8,IF(AB234&gt;0.005,$C$9,IF(AG234&gt;0.005,$C$10,IF(AL234&gt;0.005,$C$11,IF(AQ234&gt;0.005,$C$12,IF(AV234&gt;0.005,$C$13,IF(BA234&gt;0.005,$C$14,""))))))))))</f>
        <v/>
      </c>
    </row>
    <row r="235" customFormat="false" ht="15" hidden="false" customHeight="false" outlineLevel="0" collapsed="false">
      <c r="A235" s="24" t="n">
        <v>212</v>
      </c>
      <c r="B235" s="54" t="n">
        <f aca="false">EDATE($C$17,A235-1)</f>
        <v>52749</v>
      </c>
      <c r="C235" s="55" t="n">
        <f aca="false">G235+L235+Q235+V235+AA235+AF235+AK235+AP235+AU235+AZ235</f>
        <v>0</v>
      </c>
      <c r="D235" s="55" t="n">
        <f aca="false">MAX(0,$C$16-C235)</f>
        <v>5822</v>
      </c>
      <c r="E235" s="55" t="n">
        <f aca="false">ROUND(MAX(0,E234+F234-I234),2)</f>
        <v>0</v>
      </c>
      <c r="F235" s="55" t="n">
        <f aca="false">ROUND(E235*$E$5/12,2)</f>
        <v>0</v>
      </c>
      <c r="G235" s="55" t="n">
        <f aca="false">MIN($F$5,E235+F235)</f>
        <v>0</v>
      </c>
      <c r="H235" s="55" t="n">
        <f aca="false">MAX(0,MIN(E235+F235-G235,$D235))</f>
        <v>0</v>
      </c>
      <c r="I235" s="55" t="n">
        <f aca="false">G235+H235</f>
        <v>0</v>
      </c>
      <c r="J235" s="55" t="n">
        <f aca="false">ROUND(MAX(0,J234+K234-N234),2)</f>
        <v>0</v>
      </c>
      <c r="K235" s="55" t="n">
        <f aca="false">ROUND(J235*$E$6/12,2)</f>
        <v>0</v>
      </c>
      <c r="L235" s="55" t="n">
        <f aca="false">MIN($F$6,J235+K235)</f>
        <v>0</v>
      </c>
      <c r="M235" s="55" t="n">
        <f aca="false">MAX(0,MIN(J235+K235-L235,$D235-(H235)))</f>
        <v>0</v>
      </c>
      <c r="N235" s="55" t="n">
        <f aca="false">L235+M235</f>
        <v>0</v>
      </c>
      <c r="O235" s="55" t="n">
        <f aca="false">ROUND(MAX(0,O234+P234-S234),2)</f>
        <v>0</v>
      </c>
      <c r="P235" s="55" t="n">
        <f aca="false">ROUND(O235*$E$7/12,2)</f>
        <v>0</v>
      </c>
      <c r="Q235" s="55" t="n">
        <f aca="false">MIN($F$7,O235+P235)</f>
        <v>0</v>
      </c>
      <c r="R235" s="55" t="n">
        <f aca="false">MAX(0,MIN(O235+P235-Q235,$D235-(H235+M235)))</f>
        <v>0</v>
      </c>
      <c r="S235" s="55" t="n">
        <f aca="false">Q235+R235</f>
        <v>0</v>
      </c>
      <c r="T235" s="55" t="n">
        <f aca="false">ROUND(MAX(0,T234+U234-X234),2)</f>
        <v>0</v>
      </c>
      <c r="U235" s="55" t="n">
        <f aca="false">ROUND(T235*$E$8/12,2)</f>
        <v>0</v>
      </c>
      <c r="V235" s="55" t="n">
        <f aca="false">MIN($F$8,T235+U235)</f>
        <v>0</v>
      </c>
      <c r="W235" s="55" t="n">
        <f aca="false">MAX(0,MIN(T235+U235-V235,$D235-(H235+M235+R235)))</f>
        <v>0</v>
      </c>
      <c r="X235" s="55" t="n">
        <f aca="false">V235+W235</f>
        <v>0</v>
      </c>
      <c r="Y235" s="55" t="n">
        <f aca="false">ROUND(MAX(0,Y234+Z234-AC234),2)</f>
        <v>0</v>
      </c>
      <c r="Z235" s="55" t="n">
        <f aca="false">ROUND(Y235*$E$9/12,2)</f>
        <v>0</v>
      </c>
      <c r="AA235" s="55" t="n">
        <f aca="false">MIN($F$9,Y235+Z235)</f>
        <v>0</v>
      </c>
      <c r="AB235" s="55" t="n">
        <f aca="false">MAX(0,MIN(Y235+Z235-AA235,$D235-(H235+M235+R235+W235)))</f>
        <v>0</v>
      </c>
      <c r="AC235" s="55" t="n">
        <f aca="false">AA235+AB235</f>
        <v>0</v>
      </c>
      <c r="AD235" s="55" t="n">
        <f aca="false">ROUND(MAX(0,AD234+AE234-AH234),2)</f>
        <v>0</v>
      </c>
      <c r="AE235" s="55" t="n">
        <f aca="false">ROUND(AD235*$E$10/12,2)</f>
        <v>0</v>
      </c>
      <c r="AF235" s="55" t="n">
        <f aca="false">MIN($F$10,AD235+AE235)</f>
        <v>0</v>
      </c>
      <c r="AG235" s="55" t="n">
        <f aca="false">MAX(0,MIN(AD235+AE235-AF235,$D235-(H235+M235+R235+W235+AB235)))</f>
        <v>0</v>
      </c>
      <c r="AH235" s="55" t="n">
        <f aca="false">AF235+AG235</f>
        <v>0</v>
      </c>
      <c r="AI235" s="55" t="n">
        <f aca="false">ROUND(MAX(0,AI234+AJ234-AM234),2)</f>
        <v>0</v>
      </c>
      <c r="AJ235" s="55" t="n">
        <f aca="false">ROUND(AI235*$E$11/12,2)</f>
        <v>0</v>
      </c>
      <c r="AK235" s="55" t="n">
        <f aca="false">MIN($F$11,AI235+AJ235)</f>
        <v>0</v>
      </c>
      <c r="AL235" s="55" t="n">
        <f aca="false">MAX(0,MIN(AI235+AJ235-AK235,$D235-(H235+M235+R235+W235+AB235+AG235)))</f>
        <v>0</v>
      </c>
      <c r="AM235" s="55" t="n">
        <f aca="false">AK235+AL235</f>
        <v>0</v>
      </c>
      <c r="AN235" s="55" t="n">
        <f aca="false">ROUND(MAX(0,AN234+AO234-AR234),2)</f>
        <v>0</v>
      </c>
      <c r="AO235" s="55" t="n">
        <f aca="false">ROUND(AN235*$E$12/12,2)</f>
        <v>0</v>
      </c>
      <c r="AP235" s="55" t="n">
        <f aca="false">MIN($F$12,AN235+AO235)</f>
        <v>0</v>
      </c>
      <c r="AQ235" s="55" t="n">
        <f aca="false">MAX(0,MIN(AN235+AO235-AP235,$D235-(H235+M235+R235+W235+AB235+AG235+AL235)))</f>
        <v>0</v>
      </c>
      <c r="AR235" s="55" t="n">
        <f aca="false">AP235+AQ235</f>
        <v>0</v>
      </c>
      <c r="AS235" s="55" t="n">
        <f aca="false">ROUND(MAX(0,AS234+AT234-AW234),2)</f>
        <v>0</v>
      </c>
      <c r="AT235" s="55" t="n">
        <f aca="false">ROUND(AS235*$E$13/12,2)</f>
        <v>0</v>
      </c>
      <c r="AU235" s="55" t="n">
        <f aca="false">MIN($F$13,AS235+AT235)</f>
        <v>0</v>
      </c>
      <c r="AV235" s="55" t="n">
        <f aca="false">MAX(0,MIN(AS235+AT235-AU235,$D235-(H235+M235+R235+W235+AB235+AG235+AL235+AQ235)))</f>
        <v>0</v>
      </c>
      <c r="AW235" s="55" t="n">
        <f aca="false">AU235+AV235</f>
        <v>0</v>
      </c>
      <c r="AX235" s="55" t="n">
        <f aca="false">ROUND(MAX(0,AX234+AY234-BB234),2)</f>
        <v>0</v>
      </c>
      <c r="AY235" s="55" t="n">
        <f aca="false">ROUND(AX235*$E$14/12,2)</f>
        <v>0</v>
      </c>
      <c r="AZ235" s="55" t="n">
        <f aca="false">MIN($F$14,AX235+AY235)</f>
        <v>0</v>
      </c>
      <c r="BA235" s="55" t="n">
        <f aca="false">MAX(0,MIN(AX235+AY235-AZ235,$D235-(H235+M235+R235+W235+AB235+AG235+AL235+AQ235+AV235)))</f>
        <v>0</v>
      </c>
      <c r="BB235" s="55" t="n">
        <f aca="false">AZ235+BA235</f>
        <v>0</v>
      </c>
      <c r="BC235" s="55" t="n">
        <f aca="false">I235+N235+S235+X235+AC235+AH235+AM235+AR235+AW235+BB235</f>
        <v>0</v>
      </c>
      <c r="BD235" s="55" t="n">
        <f aca="false">ROUND((E235+F235-I235)+(J235+K235-N235)+(O235+P235-S235)+(T235+U235-X235)+(Y235+Z235-AC235)+(AD235+AE235-AH235)+(AI235+AJ235-AM235)+(AN235+AO235-AR235)+(AS235+AT235-AW235)+(AX235+AY235-BB235),2)</f>
        <v>0</v>
      </c>
      <c r="BE235" s="25" t="str">
        <f aca="false">IF(H235&gt;0.005,$C$5,IF(M235&gt;0.005,$C$6,IF(R235&gt;0.005,$C$7,IF(W235&gt;0.005,$C$8,IF(AB235&gt;0.005,$C$9,IF(AG235&gt;0.005,$C$10,IF(AL235&gt;0.005,$C$11,IF(AQ235&gt;0.005,$C$12,IF(AV235&gt;0.005,$C$13,IF(BA235&gt;0.005,$C$14,""))))))))))</f>
        <v/>
      </c>
    </row>
    <row r="236" customFormat="false" ht="15" hidden="false" customHeight="false" outlineLevel="0" collapsed="false">
      <c r="A236" s="24" t="n">
        <v>213</v>
      </c>
      <c r="B236" s="54" t="n">
        <f aca="false">EDATE($C$17,A236-1)</f>
        <v>52779</v>
      </c>
      <c r="C236" s="55" t="n">
        <f aca="false">G236+L236+Q236+V236+AA236+AF236+AK236+AP236+AU236+AZ236</f>
        <v>0</v>
      </c>
      <c r="D236" s="55" t="n">
        <f aca="false">MAX(0,$C$16-C236)</f>
        <v>5822</v>
      </c>
      <c r="E236" s="55" t="n">
        <f aca="false">ROUND(MAX(0,E235+F235-I235),2)</f>
        <v>0</v>
      </c>
      <c r="F236" s="55" t="n">
        <f aca="false">ROUND(E236*$E$5/12,2)</f>
        <v>0</v>
      </c>
      <c r="G236" s="55" t="n">
        <f aca="false">MIN($F$5,E236+F236)</f>
        <v>0</v>
      </c>
      <c r="H236" s="55" t="n">
        <f aca="false">MAX(0,MIN(E236+F236-G236,$D236))</f>
        <v>0</v>
      </c>
      <c r="I236" s="55" t="n">
        <f aca="false">G236+H236</f>
        <v>0</v>
      </c>
      <c r="J236" s="55" t="n">
        <f aca="false">ROUND(MAX(0,J235+K235-N235),2)</f>
        <v>0</v>
      </c>
      <c r="K236" s="55" t="n">
        <f aca="false">ROUND(J236*$E$6/12,2)</f>
        <v>0</v>
      </c>
      <c r="L236" s="55" t="n">
        <f aca="false">MIN($F$6,J236+K236)</f>
        <v>0</v>
      </c>
      <c r="M236" s="55" t="n">
        <f aca="false">MAX(0,MIN(J236+K236-L236,$D236-(H236)))</f>
        <v>0</v>
      </c>
      <c r="N236" s="55" t="n">
        <f aca="false">L236+M236</f>
        <v>0</v>
      </c>
      <c r="O236" s="55" t="n">
        <f aca="false">ROUND(MAX(0,O235+P235-S235),2)</f>
        <v>0</v>
      </c>
      <c r="P236" s="55" t="n">
        <f aca="false">ROUND(O236*$E$7/12,2)</f>
        <v>0</v>
      </c>
      <c r="Q236" s="55" t="n">
        <f aca="false">MIN($F$7,O236+P236)</f>
        <v>0</v>
      </c>
      <c r="R236" s="55" t="n">
        <f aca="false">MAX(0,MIN(O236+P236-Q236,$D236-(H236+M236)))</f>
        <v>0</v>
      </c>
      <c r="S236" s="55" t="n">
        <f aca="false">Q236+R236</f>
        <v>0</v>
      </c>
      <c r="T236" s="55" t="n">
        <f aca="false">ROUND(MAX(0,T235+U235-X235),2)</f>
        <v>0</v>
      </c>
      <c r="U236" s="55" t="n">
        <f aca="false">ROUND(T236*$E$8/12,2)</f>
        <v>0</v>
      </c>
      <c r="V236" s="55" t="n">
        <f aca="false">MIN($F$8,T236+U236)</f>
        <v>0</v>
      </c>
      <c r="W236" s="55" t="n">
        <f aca="false">MAX(0,MIN(T236+U236-V236,$D236-(H236+M236+R236)))</f>
        <v>0</v>
      </c>
      <c r="X236" s="55" t="n">
        <f aca="false">V236+W236</f>
        <v>0</v>
      </c>
      <c r="Y236" s="55" t="n">
        <f aca="false">ROUND(MAX(0,Y235+Z235-AC235),2)</f>
        <v>0</v>
      </c>
      <c r="Z236" s="55" t="n">
        <f aca="false">ROUND(Y236*$E$9/12,2)</f>
        <v>0</v>
      </c>
      <c r="AA236" s="55" t="n">
        <f aca="false">MIN($F$9,Y236+Z236)</f>
        <v>0</v>
      </c>
      <c r="AB236" s="55" t="n">
        <f aca="false">MAX(0,MIN(Y236+Z236-AA236,$D236-(H236+M236+R236+W236)))</f>
        <v>0</v>
      </c>
      <c r="AC236" s="55" t="n">
        <f aca="false">AA236+AB236</f>
        <v>0</v>
      </c>
      <c r="AD236" s="55" t="n">
        <f aca="false">ROUND(MAX(0,AD235+AE235-AH235),2)</f>
        <v>0</v>
      </c>
      <c r="AE236" s="55" t="n">
        <f aca="false">ROUND(AD236*$E$10/12,2)</f>
        <v>0</v>
      </c>
      <c r="AF236" s="55" t="n">
        <f aca="false">MIN($F$10,AD236+AE236)</f>
        <v>0</v>
      </c>
      <c r="AG236" s="55" t="n">
        <f aca="false">MAX(0,MIN(AD236+AE236-AF236,$D236-(H236+M236+R236+W236+AB236)))</f>
        <v>0</v>
      </c>
      <c r="AH236" s="55" t="n">
        <f aca="false">AF236+AG236</f>
        <v>0</v>
      </c>
      <c r="AI236" s="55" t="n">
        <f aca="false">ROUND(MAX(0,AI235+AJ235-AM235),2)</f>
        <v>0</v>
      </c>
      <c r="AJ236" s="55" t="n">
        <f aca="false">ROUND(AI236*$E$11/12,2)</f>
        <v>0</v>
      </c>
      <c r="AK236" s="55" t="n">
        <f aca="false">MIN($F$11,AI236+AJ236)</f>
        <v>0</v>
      </c>
      <c r="AL236" s="55" t="n">
        <f aca="false">MAX(0,MIN(AI236+AJ236-AK236,$D236-(H236+M236+R236+W236+AB236+AG236)))</f>
        <v>0</v>
      </c>
      <c r="AM236" s="55" t="n">
        <f aca="false">AK236+AL236</f>
        <v>0</v>
      </c>
      <c r="AN236" s="55" t="n">
        <f aca="false">ROUND(MAX(0,AN235+AO235-AR235),2)</f>
        <v>0</v>
      </c>
      <c r="AO236" s="55" t="n">
        <f aca="false">ROUND(AN236*$E$12/12,2)</f>
        <v>0</v>
      </c>
      <c r="AP236" s="55" t="n">
        <f aca="false">MIN($F$12,AN236+AO236)</f>
        <v>0</v>
      </c>
      <c r="AQ236" s="55" t="n">
        <f aca="false">MAX(0,MIN(AN236+AO236-AP236,$D236-(H236+M236+R236+W236+AB236+AG236+AL236)))</f>
        <v>0</v>
      </c>
      <c r="AR236" s="55" t="n">
        <f aca="false">AP236+AQ236</f>
        <v>0</v>
      </c>
      <c r="AS236" s="55" t="n">
        <f aca="false">ROUND(MAX(0,AS235+AT235-AW235),2)</f>
        <v>0</v>
      </c>
      <c r="AT236" s="55" t="n">
        <f aca="false">ROUND(AS236*$E$13/12,2)</f>
        <v>0</v>
      </c>
      <c r="AU236" s="55" t="n">
        <f aca="false">MIN($F$13,AS236+AT236)</f>
        <v>0</v>
      </c>
      <c r="AV236" s="55" t="n">
        <f aca="false">MAX(0,MIN(AS236+AT236-AU236,$D236-(H236+M236+R236+W236+AB236+AG236+AL236+AQ236)))</f>
        <v>0</v>
      </c>
      <c r="AW236" s="55" t="n">
        <f aca="false">AU236+AV236</f>
        <v>0</v>
      </c>
      <c r="AX236" s="55" t="n">
        <f aca="false">ROUND(MAX(0,AX235+AY235-BB235),2)</f>
        <v>0</v>
      </c>
      <c r="AY236" s="55" t="n">
        <f aca="false">ROUND(AX236*$E$14/12,2)</f>
        <v>0</v>
      </c>
      <c r="AZ236" s="55" t="n">
        <f aca="false">MIN($F$14,AX236+AY236)</f>
        <v>0</v>
      </c>
      <c r="BA236" s="55" t="n">
        <f aca="false">MAX(0,MIN(AX236+AY236-AZ236,$D236-(H236+M236+R236+W236+AB236+AG236+AL236+AQ236+AV236)))</f>
        <v>0</v>
      </c>
      <c r="BB236" s="55" t="n">
        <f aca="false">AZ236+BA236</f>
        <v>0</v>
      </c>
      <c r="BC236" s="55" t="n">
        <f aca="false">I236+N236+S236+X236+AC236+AH236+AM236+AR236+AW236+BB236</f>
        <v>0</v>
      </c>
      <c r="BD236" s="55" t="n">
        <f aca="false">ROUND((E236+F236-I236)+(J236+K236-N236)+(O236+P236-S236)+(T236+U236-X236)+(Y236+Z236-AC236)+(AD236+AE236-AH236)+(AI236+AJ236-AM236)+(AN236+AO236-AR236)+(AS236+AT236-AW236)+(AX236+AY236-BB236),2)</f>
        <v>0</v>
      </c>
      <c r="BE236" s="25" t="str">
        <f aca="false">IF(H236&gt;0.005,$C$5,IF(M236&gt;0.005,$C$6,IF(R236&gt;0.005,$C$7,IF(W236&gt;0.005,$C$8,IF(AB236&gt;0.005,$C$9,IF(AG236&gt;0.005,$C$10,IF(AL236&gt;0.005,$C$11,IF(AQ236&gt;0.005,$C$12,IF(AV236&gt;0.005,$C$13,IF(BA236&gt;0.005,$C$14,""))))))))))</f>
        <v/>
      </c>
    </row>
    <row r="237" customFormat="false" ht="15" hidden="false" customHeight="false" outlineLevel="0" collapsed="false">
      <c r="A237" s="24" t="n">
        <v>214</v>
      </c>
      <c r="B237" s="54" t="n">
        <f aca="false">EDATE($C$17,A237-1)</f>
        <v>52810</v>
      </c>
      <c r="C237" s="55" t="n">
        <f aca="false">G237+L237+Q237+V237+AA237+AF237+AK237+AP237+AU237+AZ237</f>
        <v>0</v>
      </c>
      <c r="D237" s="55" t="n">
        <f aca="false">MAX(0,$C$16-C237)</f>
        <v>5822</v>
      </c>
      <c r="E237" s="55" t="n">
        <f aca="false">ROUND(MAX(0,E236+F236-I236),2)</f>
        <v>0</v>
      </c>
      <c r="F237" s="55" t="n">
        <f aca="false">ROUND(E237*$E$5/12,2)</f>
        <v>0</v>
      </c>
      <c r="G237" s="55" t="n">
        <f aca="false">MIN($F$5,E237+F237)</f>
        <v>0</v>
      </c>
      <c r="H237" s="55" t="n">
        <f aca="false">MAX(0,MIN(E237+F237-G237,$D237))</f>
        <v>0</v>
      </c>
      <c r="I237" s="55" t="n">
        <f aca="false">G237+H237</f>
        <v>0</v>
      </c>
      <c r="J237" s="55" t="n">
        <f aca="false">ROUND(MAX(0,J236+K236-N236),2)</f>
        <v>0</v>
      </c>
      <c r="K237" s="55" t="n">
        <f aca="false">ROUND(J237*$E$6/12,2)</f>
        <v>0</v>
      </c>
      <c r="L237" s="55" t="n">
        <f aca="false">MIN($F$6,J237+K237)</f>
        <v>0</v>
      </c>
      <c r="M237" s="55" t="n">
        <f aca="false">MAX(0,MIN(J237+K237-L237,$D237-(H237)))</f>
        <v>0</v>
      </c>
      <c r="N237" s="55" t="n">
        <f aca="false">L237+M237</f>
        <v>0</v>
      </c>
      <c r="O237" s="55" t="n">
        <f aca="false">ROUND(MAX(0,O236+P236-S236),2)</f>
        <v>0</v>
      </c>
      <c r="P237" s="55" t="n">
        <f aca="false">ROUND(O237*$E$7/12,2)</f>
        <v>0</v>
      </c>
      <c r="Q237" s="55" t="n">
        <f aca="false">MIN($F$7,O237+P237)</f>
        <v>0</v>
      </c>
      <c r="R237" s="55" t="n">
        <f aca="false">MAX(0,MIN(O237+P237-Q237,$D237-(H237+M237)))</f>
        <v>0</v>
      </c>
      <c r="S237" s="55" t="n">
        <f aca="false">Q237+R237</f>
        <v>0</v>
      </c>
      <c r="T237" s="55" t="n">
        <f aca="false">ROUND(MAX(0,T236+U236-X236),2)</f>
        <v>0</v>
      </c>
      <c r="U237" s="55" t="n">
        <f aca="false">ROUND(T237*$E$8/12,2)</f>
        <v>0</v>
      </c>
      <c r="V237" s="55" t="n">
        <f aca="false">MIN($F$8,T237+U237)</f>
        <v>0</v>
      </c>
      <c r="W237" s="55" t="n">
        <f aca="false">MAX(0,MIN(T237+U237-V237,$D237-(H237+M237+R237)))</f>
        <v>0</v>
      </c>
      <c r="X237" s="55" t="n">
        <f aca="false">V237+W237</f>
        <v>0</v>
      </c>
      <c r="Y237" s="55" t="n">
        <f aca="false">ROUND(MAX(0,Y236+Z236-AC236),2)</f>
        <v>0</v>
      </c>
      <c r="Z237" s="55" t="n">
        <f aca="false">ROUND(Y237*$E$9/12,2)</f>
        <v>0</v>
      </c>
      <c r="AA237" s="55" t="n">
        <f aca="false">MIN($F$9,Y237+Z237)</f>
        <v>0</v>
      </c>
      <c r="AB237" s="55" t="n">
        <f aca="false">MAX(0,MIN(Y237+Z237-AA237,$D237-(H237+M237+R237+W237)))</f>
        <v>0</v>
      </c>
      <c r="AC237" s="55" t="n">
        <f aca="false">AA237+AB237</f>
        <v>0</v>
      </c>
      <c r="AD237" s="55" t="n">
        <f aca="false">ROUND(MAX(0,AD236+AE236-AH236),2)</f>
        <v>0</v>
      </c>
      <c r="AE237" s="55" t="n">
        <f aca="false">ROUND(AD237*$E$10/12,2)</f>
        <v>0</v>
      </c>
      <c r="AF237" s="55" t="n">
        <f aca="false">MIN($F$10,AD237+AE237)</f>
        <v>0</v>
      </c>
      <c r="AG237" s="55" t="n">
        <f aca="false">MAX(0,MIN(AD237+AE237-AF237,$D237-(H237+M237+R237+W237+AB237)))</f>
        <v>0</v>
      </c>
      <c r="AH237" s="55" t="n">
        <f aca="false">AF237+AG237</f>
        <v>0</v>
      </c>
      <c r="AI237" s="55" t="n">
        <f aca="false">ROUND(MAX(0,AI236+AJ236-AM236),2)</f>
        <v>0</v>
      </c>
      <c r="AJ237" s="55" t="n">
        <f aca="false">ROUND(AI237*$E$11/12,2)</f>
        <v>0</v>
      </c>
      <c r="AK237" s="55" t="n">
        <f aca="false">MIN($F$11,AI237+AJ237)</f>
        <v>0</v>
      </c>
      <c r="AL237" s="55" t="n">
        <f aca="false">MAX(0,MIN(AI237+AJ237-AK237,$D237-(H237+M237+R237+W237+AB237+AG237)))</f>
        <v>0</v>
      </c>
      <c r="AM237" s="55" t="n">
        <f aca="false">AK237+AL237</f>
        <v>0</v>
      </c>
      <c r="AN237" s="55" t="n">
        <f aca="false">ROUND(MAX(0,AN236+AO236-AR236),2)</f>
        <v>0</v>
      </c>
      <c r="AO237" s="55" t="n">
        <f aca="false">ROUND(AN237*$E$12/12,2)</f>
        <v>0</v>
      </c>
      <c r="AP237" s="55" t="n">
        <f aca="false">MIN($F$12,AN237+AO237)</f>
        <v>0</v>
      </c>
      <c r="AQ237" s="55" t="n">
        <f aca="false">MAX(0,MIN(AN237+AO237-AP237,$D237-(H237+M237+R237+W237+AB237+AG237+AL237)))</f>
        <v>0</v>
      </c>
      <c r="AR237" s="55" t="n">
        <f aca="false">AP237+AQ237</f>
        <v>0</v>
      </c>
      <c r="AS237" s="55" t="n">
        <f aca="false">ROUND(MAX(0,AS236+AT236-AW236),2)</f>
        <v>0</v>
      </c>
      <c r="AT237" s="55" t="n">
        <f aca="false">ROUND(AS237*$E$13/12,2)</f>
        <v>0</v>
      </c>
      <c r="AU237" s="55" t="n">
        <f aca="false">MIN($F$13,AS237+AT237)</f>
        <v>0</v>
      </c>
      <c r="AV237" s="55" t="n">
        <f aca="false">MAX(0,MIN(AS237+AT237-AU237,$D237-(H237+M237+R237+W237+AB237+AG237+AL237+AQ237)))</f>
        <v>0</v>
      </c>
      <c r="AW237" s="55" t="n">
        <f aca="false">AU237+AV237</f>
        <v>0</v>
      </c>
      <c r="AX237" s="55" t="n">
        <f aca="false">ROUND(MAX(0,AX236+AY236-BB236),2)</f>
        <v>0</v>
      </c>
      <c r="AY237" s="55" t="n">
        <f aca="false">ROUND(AX237*$E$14/12,2)</f>
        <v>0</v>
      </c>
      <c r="AZ237" s="55" t="n">
        <f aca="false">MIN($F$14,AX237+AY237)</f>
        <v>0</v>
      </c>
      <c r="BA237" s="55" t="n">
        <f aca="false">MAX(0,MIN(AX237+AY237-AZ237,$D237-(H237+M237+R237+W237+AB237+AG237+AL237+AQ237+AV237)))</f>
        <v>0</v>
      </c>
      <c r="BB237" s="55" t="n">
        <f aca="false">AZ237+BA237</f>
        <v>0</v>
      </c>
      <c r="BC237" s="55" t="n">
        <f aca="false">I237+N237+S237+X237+AC237+AH237+AM237+AR237+AW237+BB237</f>
        <v>0</v>
      </c>
      <c r="BD237" s="55" t="n">
        <f aca="false">ROUND((E237+F237-I237)+(J237+K237-N237)+(O237+P237-S237)+(T237+U237-X237)+(Y237+Z237-AC237)+(AD237+AE237-AH237)+(AI237+AJ237-AM237)+(AN237+AO237-AR237)+(AS237+AT237-AW237)+(AX237+AY237-BB237),2)</f>
        <v>0</v>
      </c>
      <c r="BE237" s="25" t="str">
        <f aca="false">IF(H237&gt;0.005,$C$5,IF(M237&gt;0.005,$C$6,IF(R237&gt;0.005,$C$7,IF(W237&gt;0.005,$C$8,IF(AB237&gt;0.005,$C$9,IF(AG237&gt;0.005,$C$10,IF(AL237&gt;0.005,$C$11,IF(AQ237&gt;0.005,$C$12,IF(AV237&gt;0.005,$C$13,IF(BA237&gt;0.005,$C$14,""))))))))))</f>
        <v/>
      </c>
    </row>
    <row r="238" customFormat="false" ht="15" hidden="false" customHeight="false" outlineLevel="0" collapsed="false">
      <c r="A238" s="24" t="n">
        <v>215</v>
      </c>
      <c r="B238" s="54" t="n">
        <f aca="false">EDATE($C$17,A238-1)</f>
        <v>52841</v>
      </c>
      <c r="C238" s="55" t="n">
        <f aca="false">G238+L238+Q238+V238+AA238+AF238+AK238+AP238+AU238+AZ238</f>
        <v>0</v>
      </c>
      <c r="D238" s="55" t="n">
        <f aca="false">MAX(0,$C$16-C238)</f>
        <v>5822</v>
      </c>
      <c r="E238" s="55" t="n">
        <f aca="false">ROUND(MAX(0,E237+F237-I237),2)</f>
        <v>0</v>
      </c>
      <c r="F238" s="55" t="n">
        <f aca="false">ROUND(E238*$E$5/12,2)</f>
        <v>0</v>
      </c>
      <c r="G238" s="55" t="n">
        <f aca="false">MIN($F$5,E238+F238)</f>
        <v>0</v>
      </c>
      <c r="H238" s="55" t="n">
        <f aca="false">MAX(0,MIN(E238+F238-G238,$D238))</f>
        <v>0</v>
      </c>
      <c r="I238" s="55" t="n">
        <f aca="false">G238+H238</f>
        <v>0</v>
      </c>
      <c r="J238" s="55" t="n">
        <f aca="false">ROUND(MAX(0,J237+K237-N237),2)</f>
        <v>0</v>
      </c>
      <c r="K238" s="55" t="n">
        <f aca="false">ROUND(J238*$E$6/12,2)</f>
        <v>0</v>
      </c>
      <c r="L238" s="55" t="n">
        <f aca="false">MIN($F$6,J238+K238)</f>
        <v>0</v>
      </c>
      <c r="M238" s="55" t="n">
        <f aca="false">MAX(0,MIN(J238+K238-L238,$D238-(H238)))</f>
        <v>0</v>
      </c>
      <c r="N238" s="55" t="n">
        <f aca="false">L238+M238</f>
        <v>0</v>
      </c>
      <c r="O238" s="55" t="n">
        <f aca="false">ROUND(MAX(0,O237+P237-S237),2)</f>
        <v>0</v>
      </c>
      <c r="P238" s="55" t="n">
        <f aca="false">ROUND(O238*$E$7/12,2)</f>
        <v>0</v>
      </c>
      <c r="Q238" s="55" t="n">
        <f aca="false">MIN($F$7,O238+P238)</f>
        <v>0</v>
      </c>
      <c r="R238" s="55" t="n">
        <f aca="false">MAX(0,MIN(O238+P238-Q238,$D238-(H238+M238)))</f>
        <v>0</v>
      </c>
      <c r="S238" s="55" t="n">
        <f aca="false">Q238+R238</f>
        <v>0</v>
      </c>
      <c r="T238" s="55" t="n">
        <f aca="false">ROUND(MAX(0,T237+U237-X237),2)</f>
        <v>0</v>
      </c>
      <c r="U238" s="55" t="n">
        <f aca="false">ROUND(T238*$E$8/12,2)</f>
        <v>0</v>
      </c>
      <c r="V238" s="55" t="n">
        <f aca="false">MIN($F$8,T238+U238)</f>
        <v>0</v>
      </c>
      <c r="W238" s="55" t="n">
        <f aca="false">MAX(0,MIN(T238+U238-V238,$D238-(H238+M238+R238)))</f>
        <v>0</v>
      </c>
      <c r="X238" s="55" t="n">
        <f aca="false">V238+W238</f>
        <v>0</v>
      </c>
      <c r="Y238" s="55" t="n">
        <f aca="false">ROUND(MAX(0,Y237+Z237-AC237),2)</f>
        <v>0</v>
      </c>
      <c r="Z238" s="55" t="n">
        <f aca="false">ROUND(Y238*$E$9/12,2)</f>
        <v>0</v>
      </c>
      <c r="AA238" s="55" t="n">
        <f aca="false">MIN($F$9,Y238+Z238)</f>
        <v>0</v>
      </c>
      <c r="AB238" s="55" t="n">
        <f aca="false">MAX(0,MIN(Y238+Z238-AA238,$D238-(H238+M238+R238+W238)))</f>
        <v>0</v>
      </c>
      <c r="AC238" s="55" t="n">
        <f aca="false">AA238+AB238</f>
        <v>0</v>
      </c>
      <c r="AD238" s="55" t="n">
        <f aca="false">ROUND(MAX(0,AD237+AE237-AH237),2)</f>
        <v>0</v>
      </c>
      <c r="AE238" s="55" t="n">
        <f aca="false">ROUND(AD238*$E$10/12,2)</f>
        <v>0</v>
      </c>
      <c r="AF238" s="55" t="n">
        <f aca="false">MIN($F$10,AD238+AE238)</f>
        <v>0</v>
      </c>
      <c r="AG238" s="55" t="n">
        <f aca="false">MAX(0,MIN(AD238+AE238-AF238,$D238-(H238+M238+R238+W238+AB238)))</f>
        <v>0</v>
      </c>
      <c r="AH238" s="55" t="n">
        <f aca="false">AF238+AG238</f>
        <v>0</v>
      </c>
      <c r="AI238" s="55" t="n">
        <f aca="false">ROUND(MAX(0,AI237+AJ237-AM237),2)</f>
        <v>0</v>
      </c>
      <c r="AJ238" s="55" t="n">
        <f aca="false">ROUND(AI238*$E$11/12,2)</f>
        <v>0</v>
      </c>
      <c r="AK238" s="55" t="n">
        <f aca="false">MIN($F$11,AI238+AJ238)</f>
        <v>0</v>
      </c>
      <c r="AL238" s="55" t="n">
        <f aca="false">MAX(0,MIN(AI238+AJ238-AK238,$D238-(H238+M238+R238+W238+AB238+AG238)))</f>
        <v>0</v>
      </c>
      <c r="AM238" s="55" t="n">
        <f aca="false">AK238+AL238</f>
        <v>0</v>
      </c>
      <c r="AN238" s="55" t="n">
        <f aca="false">ROUND(MAX(0,AN237+AO237-AR237),2)</f>
        <v>0</v>
      </c>
      <c r="AO238" s="55" t="n">
        <f aca="false">ROUND(AN238*$E$12/12,2)</f>
        <v>0</v>
      </c>
      <c r="AP238" s="55" t="n">
        <f aca="false">MIN($F$12,AN238+AO238)</f>
        <v>0</v>
      </c>
      <c r="AQ238" s="55" t="n">
        <f aca="false">MAX(0,MIN(AN238+AO238-AP238,$D238-(H238+M238+R238+W238+AB238+AG238+AL238)))</f>
        <v>0</v>
      </c>
      <c r="AR238" s="55" t="n">
        <f aca="false">AP238+AQ238</f>
        <v>0</v>
      </c>
      <c r="AS238" s="55" t="n">
        <f aca="false">ROUND(MAX(0,AS237+AT237-AW237),2)</f>
        <v>0</v>
      </c>
      <c r="AT238" s="55" t="n">
        <f aca="false">ROUND(AS238*$E$13/12,2)</f>
        <v>0</v>
      </c>
      <c r="AU238" s="55" t="n">
        <f aca="false">MIN($F$13,AS238+AT238)</f>
        <v>0</v>
      </c>
      <c r="AV238" s="55" t="n">
        <f aca="false">MAX(0,MIN(AS238+AT238-AU238,$D238-(H238+M238+R238+W238+AB238+AG238+AL238+AQ238)))</f>
        <v>0</v>
      </c>
      <c r="AW238" s="55" t="n">
        <f aca="false">AU238+AV238</f>
        <v>0</v>
      </c>
      <c r="AX238" s="55" t="n">
        <f aca="false">ROUND(MAX(0,AX237+AY237-BB237),2)</f>
        <v>0</v>
      </c>
      <c r="AY238" s="55" t="n">
        <f aca="false">ROUND(AX238*$E$14/12,2)</f>
        <v>0</v>
      </c>
      <c r="AZ238" s="55" t="n">
        <f aca="false">MIN($F$14,AX238+AY238)</f>
        <v>0</v>
      </c>
      <c r="BA238" s="55" t="n">
        <f aca="false">MAX(0,MIN(AX238+AY238-AZ238,$D238-(H238+M238+R238+W238+AB238+AG238+AL238+AQ238+AV238)))</f>
        <v>0</v>
      </c>
      <c r="BB238" s="55" t="n">
        <f aca="false">AZ238+BA238</f>
        <v>0</v>
      </c>
      <c r="BC238" s="55" t="n">
        <f aca="false">I238+N238+S238+X238+AC238+AH238+AM238+AR238+AW238+BB238</f>
        <v>0</v>
      </c>
      <c r="BD238" s="55" t="n">
        <f aca="false">ROUND((E238+F238-I238)+(J238+K238-N238)+(O238+P238-S238)+(T238+U238-X238)+(Y238+Z238-AC238)+(AD238+AE238-AH238)+(AI238+AJ238-AM238)+(AN238+AO238-AR238)+(AS238+AT238-AW238)+(AX238+AY238-BB238),2)</f>
        <v>0</v>
      </c>
      <c r="BE238" s="25" t="str">
        <f aca="false">IF(H238&gt;0.005,$C$5,IF(M238&gt;0.005,$C$6,IF(R238&gt;0.005,$C$7,IF(W238&gt;0.005,$C$8,IF(AB238&gt;0.005,$C$9,IF(AG238&gt;0.005,$C$10,IF(AL238&gt;0.005,$C$11,IF(AQ238&gt;0.005,$C$12,IF(AV238&gt;0.005,$C$13,IF(BA238&gt;0.005,$C$14,""))))))))))</f>
        <v/>
      </c>
    </row>
    <row r="239" customFormat="false" ht="15" hidden="false" customHeight="false" outlineLevel="0" collapsed="false">
      <c r="A239" s="24" t="n">
        <v>216</v>
      </c>
      <c r="B239" s="54" t="n">
        <f aca="false">EDATE($C$17,A239-1)</f>
        <v>52871</v>
      </c>
      <c r="C239" s="55" t="n">
        <f aca="false">G239+L239+Q239+V239+AA239+AF239+AK239+AP239+AU239+AZ239</f>
        <v>0</v>
      </c>
      <c r="D239" s="55" t="n">
        <f aca="false">MAX(0,$C$16-C239)</f>
        <v>5822</v>
      </c>
      <c r="E239" s="55" t="n">
        <f aca="false">ROUND(MAX(0,E238+F238-I238),2)</f>
        <v>0</v>
      </c>
      <c r="F239" s="55" t="n">
        <f aca="false">ROUND(E239*$E$5/12,2)</f>
        <v>0</v>
      </c>
      <c r="G239" s="55" t="n">
        <f aca="false">MIN($F$5,E239+F239)</f>
        <v>0</v>
      </c>
      <c r="H239" s="55" t="n">
        <f aca="false">MAX(0,MIN(E239+F239-G239,$D239))</f>
        <v>0</v>
      </c>
      <c r="I239" s="55" t="n">
        <f aca="false">G239+H239</f>
        <v>0</v>
      </c>
      <c r="J239" s="55" t="n">
        <f aca="false">ROUND(MAX(0,J238+K238-N238),2)</f>
        <v>0</v>
      </c>
      <c r="K239" s="55" t="n">
        <f aca="false">ROUND(J239*$E$6/12,2)</f>
        <v>0</v>
      </c>
      <c r="L239" s="55" t="n">
        <f aca="false">MIN($F$6,J239+K239)</f>
        <v>0</v>
      </c>
      <c r="M239" s="55" t="n">
        <f aca="false">MAX(0,MIN(J239+K239-L239,$D239-(H239)))</f>
        <v>0</v>
      </c>
      <c r="N239" s="55" t="n">
        <f aca="false">L239+M239</f>
        <v>0</v>
      </c>
      <c r="O239" s="55" t="n">
        <f aca="false">ROUND(MAX(0,O238+P238-S238),2)</f>
        <v>0</v>
      </c>
      <c r="P239" s="55" t="n">
        <f aca="false">ROUND(O239*$E$7/12,2)</f>
        <v>0</v>
      </c>
      <c r="Q239" s="55" t="n">
        <f aca="false">MIN($F$7,O239+P239)</f>
        <v>0</v>
      </c>
      <c r="R239" s="55" t="n">
        <f aca="false">MAX(0,MIN(O239+P239-Q239,$D239-(H239+M239)))</f>
        <v>0</v>
      </c>
      <c r="S239" s="55" t="n">
        <f aca="false">Q239+R239</f>
        <v>0</v>
      </c>
      <c r="T239" s="55" t="n">
        <f aca="false">ROUND(MAX(0,T238+U238-X238),2)</f>
        <v>0</v>
      </c>
      <c r="U239" s="55" t="n">
        <f aca="false">ROUND(T239*$E$8/12,2)</f>
        <v>0</v>
      </c>
      <c r="V239" s="55" t="n">
        <f aca="false">MIN($F$8,T239+U239)</f>
        <v>0</v>
      </c>
      <c r="W239" s="55" t="n">
        <f aca="false">MAX(0,MIN(T239+U239-V239,$D239-(H239+M239+R239)))</f>
        <v>0</v>
      </c>
      <c r="X239" s="55" t="n">
        <f aca="false">V239+W239</f>
        <v>0</v>
      </c>
      <c r="Y239" s="55" t="n">
        <f aca="false">ROUND(MAX(0,Y238+Z238-AC238),2)</f>
        <v>0</v>
      </c>
      <c r="Z239" s="55" t="n">
        <f aca="false">ROUND(Y239*$E$9/12,2)</f>
        <v>0</v>
      </c>
      <c r="AA239" s="55" t="n">
        <f aca="false">MIN($F$9,Y239+Z239)</f>
        <v>0</v>
      </c>
      <c r="AB239" s="55" t="n">
        <f aca="false">MAX(0,MIN(Y239+Z239-AA239,$D239-(H239+M239+R239+W239)))</f>
        <v>0</v>
      </c>
      <c r="AC239" s="55" t="n">
        <f aca="false">AA239+AB239</f>
        <v>0</v>
      </c>
      <c r="AD239" s="55" t="n">
        <f aca="false">ROUND(MAX(0,AD238+AE238-AH238),2)</f>
        <v>0</v>
      </c>
      <c r="AE239" s="55" t="n">
        <f aca="false">ROUND(AD239*$E$10/12,2)</f>
        <v>0</v>
      </c>
      <c r="AF239" s="55" t="n">
        <f aca="false">MIN($F$10,AD239+AE239)</f>
        <v>0</v>
      </c>
      <c r="AG239" s="55" t="n">
        <f aca="false">MAX(0,MIN(AD239+AE239-AF239,$D239-(H239+M239+R239+W239+AB239)))</f>
        <v>0</v>
      </c>
      <c r="AH239" s="55" t="n">
        <f aca="false">AF239+AG239</f>
        <v>0</v>
      </c>
      <c r="AI239" s="55" t="n">
        <f aca="false">ROUND(MAX(0,AI238+AJ238-AM238),2)</f>
        <v>0</v>
      </c>
      <c r="AJ239" s="55" t="n">
        <f aca="false">ROUND(AI239*$E$11/12,2)</f>
        <v>0</v>
      </c>
      <c r="AK239" s="55" t="n">
        <f aca="false">MIN($F$11,AI239+AJ239)</f>
        <v>0</v>
      </c>
      <c r="AL239" s="55" t="n">
        <f aca="false">MAX(0,MIN(AI239+AJ239-AK239,$D239-(H239+M239+R239+W239+AB239+AG239)))</f>
        <v>0</v>
      </c>
      <c r="AM239" s="55" t="n">
        <f aca="false">AK239+AL239</f>
        <v>0</v>
      </c>
      <c r="AN239" s="55" t="n">
        <f aca="false">ROUND(MAX(0,AN238+AO238-AR238),2)</f>
        <v>0</v>
      </c>
      <c r="AO239" s="55" t="n">
        <f aca="false">ROUND(AN239*$E$12/12,2)</f>
        <v>0</v>
      </c>
      <c r="AP239" s="55" t="n">
        <f aca="false">MIN($F$12,AN239+AO239)</f>
        <v>0</v>
      </c>
      <c r="AQ239" s="55" t="n">
        <f aca="false">MAX(0,MIN(AN239+AO239-AP239,$D239-(H239+M239+R239+W239+AB239+AG239+AL239)))</f>
        <v>0</v>
      </c>
      <c r="AR239" s="55" t="n">
        <f aca="false">AP239+AQ239</f>
        <v>0</v>
      </c>
      <c r="AS239" s="55" t="n">
        <f aca="false">ROUND(MAX(0,AS238+AT238-AW238),2)</f>
        <v>0</v>
      </c>
      <c r="AT239" s="55" t="n">
        <f aca="false">ROUND(AS239*$E$13/12,2)</f>
        <v>0</v>
      </c>
      <c r="AU239" s="55" t="n">
        <f aca="false">MIN($F$13,AS239+AT239)</f>
        <v>0</v>
      </c>
      <c r="AV239" s="55" t="n">
        <f aca="false">MAX(0,MIN(AS239+AT239-AU239,$D239-(H239+M239+R239+W239+AB239+AG239+AL239+AQ239)))</f>
        <v>0</v>
      </c>
      <c r="AW239" s="55" t="n">
        <f aca="false">AU239+AV239</f>
        <v>0</v>
      </c>
      <c r="AX239" s="55" t="n">
        <f aca="false">ROUND(MAX(0,AX238+AY238-BB238),2)</f>
        <v>0</v>
      </c>
      <c r="AY239" s="55" t="n">
        <f aca="false">ROUND(AX239*$E$14/12,2)</f>
        <v>0</v>
      </c>
      <c r="AZ239" s="55" t="n">
        <f aca="false">MIN($F$14,AX239+AY239)</f>
        <v>0</v>
      </c>
      <c r="BA239" s="55" t="n">
        <f aca="false">MAX(0,MIN(AX239+AY239-AZ239,$D239-(H239+M239+R239+W239+AB239+AG239+AL239+AQ239+AV239)))</f>
        <v>0</v>
      </c>
      <c r="BB239" s="55" t="n">
        <f aca="false">AZ239+BA239</f>
        <v>0</v>
      </c>
      <c r="BC239" s="55" t="n">
        <f aca="false">I239+N239+S239+X239+AC239+AH239+AM239+AR239+AW239+BB239</f>
        <v>0</v>
      </c>
      <c r="BD239" s="55" t="n">
        <f aca="false">ROUND((E239+F239-I239)+(J239+K239-N239)+(O239+P239-S239)+(T239+U239-X239)+(Y239+Z239-AC239)+(AD239+AE239-AH239)+(AI239+AJ239-AM239)+(AN239+AO239-AR239)+(AS239+AT239-AW239)+(AX239+AY239-BB239),2)</f>
        <v>0</v>
      </c>
      <c r="BE239" s="25" t="str">
        <f aca="false">IF(H239&gt;0.005,$C$5,IF(M239&gt;0.005,$C$6,IF(R239&gt;0.005,$C$7,IF(W239&gt;0.005,$C$8,IF(AB239&gt;0.005,$C$9,IF(AG239&gt;0.005,$C$10,IF(AL239&gt;0.005,$C$11,IF(AQ239&gt;0.005,$C$12,IF(AV239&gt;0.005,$C$13,IF(BA239&gt;0.005,$C$14,""))))))))))</f>
        <v/>
      </c>
    </row>
    <row r="240" customFormat="false" ht="15" hidden="false" customHeight="false" outlineLevel="0" collapsed="false">
      <c r="A240" s="24" t="n">
        <v>217</v>
      </c>
      <c r="B240" s="54" t="n">
        <f aca="false">EDATE($C$17,A240-1)</f>
        <v>52902</v>
      </c>
      <c r="C240" s="55" t="n">
        <f aca="false">G240+L240+Q240+V240+AA240+AF240+AK240+AP240+AU240+AZ240</f>
        <v>0</v>
      </c>
      <c r="D240" s="55" t="n">
        <f aca="false">MAX(0,$C$16-C240)</f>
        <v>5822</v>
      </c>
      <c r="E240" s="55" t="n">
        <f aca="false">ROUND(MAX(0,E239+F239-I239),2)</f>
        <v>0</v>
      </c>
      <c r="F240" s="55" t="n">
        <f aca="false">ROUND(E240*$E$5/12,2)</f>
        <v>0</v>
      </c>
      <c r="G240" s="55" t="n">
        <f aca="false">MIN($F$5,E240+F240)</f>
        <v>0</v>
      </c>
      <c r="H240" s="55" t="n">
        <f aca="false">MAX(0,MIN(E240+F240-G240,$D240))</f>
        <v>0</v>
      </c>
      <c r="I240" s="55" t="n">
        <f aca="false">G240+H240</f>
        <v>0</v>
      </c>
      <c r="J240" s="55" t="n">
        <f aca="false">ROUND(MAX(0,J239+K239-N239),2)</f>
        <v>0</v>
      </c>
      <c r="K240" s="55" t="n">
        <f aca="false">ROUND(J240*$E$6/12,2)</f>
        <v>0</v>
      </c>
      <c r="L240" s="55" t="n">
        <f aca="false">MIN($F$6,J240+K240)</f>
        <v>0</v>
      </c>
      <c r="M240" s="55" t="n">
        <f aca="false">MAX(0,MIN(J240+K240-L240,$D240-(H240)))</f>
        <v>0</v>
      </c>
      <c r="N240" s="55" t="n">
        <f aca="false">L240+M240</f>
        <v>0</v>
      </c>
      <c r="O240" s="55" t="n">
        <f aca="false">ROUND(MAX(0,O239+P239-S239),2)</f>
        <v>0</v>
      </c>
      <c r="P240" s="55" t="n">
        <f aca="false">ROUND(O240*$E$7/12,2)</f>
        <v>0</v>
      </c>
      <c r="Q240" s="55" t="n">
        <f aca="false">MIN($F$7,O240+P240)</f>
        <v>0</v>
      </c>
      <c r="R240" s="55" t="n">
        <f aca="false">MAX(0,MIN(O240+P240-Q240,$D240-(H240+M240)))</f>
        <v>0</v>
      </c>
      <c r="S240" s="55" t="n">
        <f aca="false">Q240+R240</f>
        <v>0</v>
      </c>
      <c r="T240" s="55" t="n">
        <f aca="false">ROUND(MAX(0,T239+U239-X239),2)</f>
        <v>0</v>
      </c>
      <c r="U240" s="55" t="n">
        <f aca="false">ROUND(T240*$E$8/12,2)</f>
        <v>0</v>
      </c>
      <c r="V240" s="55" t="n">
        <f aca="false">MIN($F$8,T240+U240)</f>
        <v>0</v>
      </c>
      <c r="W240" s="55" t="n">
        <f aca="false">MAX(0,MIN(T240+U240-V240,$D240-(H240+M240+R240)))</f>
        <v>0</v>
      </c>
      <c r="X240" s="55" t="n">
        <f aca="false">V240+W240</f>
        <v>0</v>
      </c>
      <c r="Y240" s="55" t="n">
        <f aca="false">ROUND(MAX(0,Y239+Z239-AC239),2)</f>
        <v>0</v>
      </c>
      <c r="Z240" s="55" t="n">
        <f aca="false">ROUND(Y240*$E$9/12,2)</f>
        <v>0</v>
      </c>
      <c r="AA240" s="55" t="n">
        <f aca="false">MIN($F$9,Y240+Z240)</f>
        <v>0</v>
      </c>
      <c r="AB240" s="55" t="n">
        <f aca="false">MAX(0,MIN(Y240+Z240-AA240,$D240-(H240+M240+R240+W240)))</f>
        <v>0</v>
      </c>
      <c r="AC240" s="55" t="n">
        <f aca="false">AA240+AB240</f>
        <v>0</v>
      </c>
      <c r="AD240" s="55" t="n">
        <f aca="false">ROUND(MAX(0,AD239+AE239-AH239),2)</f>
        <v>0</v>
      </c>
      <c r="AE240" s="55" t="n">
        <f aca="false">ROUND(AD240*$E$10/12,2)</f>
        <v>0</v>
      </c>
      <c r="AF240" s="55" t="n">
        <f aca="false">MIN($F$10,AD240+AE240)</f>
        <v>0</v>
      </c>
      <c r="AG240" s="55" t="n">
        <f aca="false">MAX(0,MIN(AD240+AE240-AF240,$D240-(H240+M240+R240+W240+AB240)))</f>
        <v>0</v>
      </c>
      <c r="AH240" s="55" t="n">
        <f aca="false">AF240+AG240</f>
        <v>0</v>
      </c>
      <c r="AI240" s="55" t="n">
        <f aca="false">ROUND(MAX(0,AI239+AJ239-AM239),2)</f>
        <v>0</v>
      </c>
      <c r="AJ240" s="55" t="n">
        <f aca="false">ROUND(AI240*$E$11/12,2)</f>
        <v>0</v>
      </c>
      <c r="AK240" s="55" t="n">
        <f aca="false">MIN($F$11,AI240+AJ240)</f>
        <v>0</v>
      </c>
      <c r="AL240" s="55" t="n">
        <f aca="false">MAX(0,MIN(AI240+AJ240-AK240,$D240-(H240+M240+R240+W240+AB240+AG240)))</f>
        <v>0</v>
      </c>
      <c r="AM240" s="55" t="n">
        <f aca="false">AK240+AL240</f>
        <v>0</v>
      </c>
      <c r="AN240" s="55" t="n">
        <f aca="false">ROUND(MAX(0,AN239+AO239-AR239),2)</f>
        <v>0</v>
      </c>
      <c r="AO240" s="55" t="n">
        <f aca="false">ROUND(AN240*$E$12/12,2)</f>
        <v>0</v>
      </c>
      <c r="AP240" s="55" t="n">
        <f aca="false">MIN($F$12,AN240+AO240)</f>
        <v>0</v>
      </c>
      <c r="AQ240" s="55" t="n">
        <f aca="false">MAX(0,MIN(AN240+AO240-AP240,$D240-(H240+M240+R240+W240+AB240+AG240+AL240)))</f>
        <v>0</v>
      </c>
      <c r="AR240" s="55" t="n">
        <f aca="false">AP240+AQ240</f>
        <v>0</v>
      </c>
      <c r="AS240" s="55" t="n">
        <f aca="false">ROUND(MAX(0,AS239+AT239-AW239),2)</f>
        <v>0</v>
      </c>
      <c r="AT240" s="55" t="n">
        <f aca="false">ROUND(AS240*$E$13/12,2)</f>
        <v>0</v>
      </c>
      <c r="AU240" s="55" t="n">
        <f aca="false">MIN($F$13,AS240+AT240)</f>
        <v>0</v>
      </c>
      <c r="AV240" s="55" t="n">
        <f aca="false">MAX(0,MIN(AS240+AT240-AU240,$D240-(H240+M240+R240+W240+AB240+AG240+AL240+AQ240)))</f>
        <v>0</v>
      </c>
      <c r="AW240" s="55" t="n">
        <f aca="false">AU240+AV240</f>
        <v>0</v>
      </c>
      <c r="AX240" s="55" t="n">
        <f aca="false">ROUND(MAX(0,AX239+AY239-BB239),2)</f>
        <v>0</v>
      </c>
      <c r="AY240" s="55" t="n">
        <f aca="false">ROUND(AX240*$E$14/12,2)</f>
        <v>0</v>
      </c>
      <c r="AZ240" s="55" t="n">
        <f aca="false">MIN($F$14,AX240+AY240)</f>
        <v>0</v>
      </c>
      <c r="BA240" s="55" t="n">
        <f aca="false">MAX(0,MIN(AX240+AY240-AZ240,$D240-(H240+M240+R240+W240+AB240+AG240+AL240+AQ240+AV240)))</f>
        <v>0</v>
      </c>
      <c r="BB240" s="55" t="n">
        <f aca="false">AZ240+BA240</f>
        <v>0</v>
      </c>
      <c r="BC240" s="55" t="n">
        <f aca="false">I240+N240+S240+X240+AC240+AH240+AM240+AR240+AW240+BB240</f>
        <v>0</v>
      </c>
      <c r="BD240" s="55" t="n">
        <f aca="false">ROUND((E240+F240-I240)+(J240+K240-N240)+(O240+P240-S240)+(T240+U240-X240)+(Y240+Z240-AC240)+(AD240+AE240-AH240)+(AI240+AJ240-AM240)+(AN240+AO240-AR240)+(AS240+AT240-AW240)+(AX240+AY240-BB240),2)</f>
        <v>0</v>
      </c>
      <c r="BE240" s="25" t="str">
        <f aca="false">IF(H240&gt;0.005,$C$5,IF(M240&gt;0.005,$C$6,IF(R240&gt;0.005,$C$7,IF(W240&gt;0.005,$C$8,IF(AB240&gt;0.005,$C$9,IF(AG240&gt;0.005,$C$10,IF(AL240&gt;0.005,$C$11,IF(AQ240&gt;0.005,$C$12,IF(AV240&gt;0.005,$C$13,IF(BA240&gt;0.005,$C$14,""))))))))))</f>
        <v/>
      </c>
    </row>
    <row r="241" customFormat="false" ht="15" hidden="false" customHeight="false" outlineLevel="0" collapsed="false">
      <c r="A241" s="24" t="n">
        <v>218</v>
      </c>
      <c r="B241" s="54" t="n">
        <f aca="false">EDATE($C$17,A241-1)</f>
        <v>52932</v>
      </c>
      <c r="C241" s="55" t="n">
        <f aca="false">G241+L241+Q241+V241+AA241+AF241+AK241+AP241+AU241+AZ241</f>
        <v>0</v>
      </c>
      <c r="D241" s="55" t="n">
        <f aca="false">MAX(0,$C$16-C241)</f>
        <v>5822</v>
      </c>
      <c r="E241" s="55" t="n">
        <f aca="false">ROUND(MAX(0,E240+F240-I240),2)</f>
        <v>0</v>
      </c>
      <c r="F241" s="55" t="n">
        <f aca="false">ROUND(E241*$E$5/12,2)</f>
        <v>0</v>
      </c>
      <c r="G241" s="55" t="n">
        <f aca="false">MIN($F$5,E241+F241)</f>
        <v>0</v>
      </c>
      <c r="H241" s="55" t="n">
        <f aca="false">MAX(0,MIN(E241+F241-G241,$D241))</f>
        <v>0</v>
      </c>
      <c r="I241" s="55" t="n">
        <f aca="false">G241+H241</f>
        <v>0</v>
      </c>
      <c r="J241" s="55" t="n">
        <f aca="false">ROUND(MAX(0,J240+K240-N240),2)</f>
        <v>0</v>
      </c>
      <c r="K241" s="55" t="n">
        <f aca="false">ROUND(J241*$E$6/12,2)</f>
        <v>0</v>
      </c>
      <c r="L241" s="55" t="n">
        <f aca="false">MIN($F$6,J241+K241)</f>
        <v>0</v>
      </c>
      <c r="M241" s="55" t="n">
        <f aca="false">MAX(0,MIN(J241+K241-L241,$D241-(H241)))</f>
        <v>0</v>
      </c>
      <c r="N241" s="55" t="n">
        <f aca="false">L241+M241</f>
        <v>0</v>
      </c>
      <c r="O241" s="55" t="n">
        <f aca="false">ROUND(MAX(0,O240+P240-S240),2)</f>
        <v>0</v>
      </c>
      <c r="P241" s="55" t="n">
        <f aca="false">ROUND(O241*$E$7/12,2)</f>
        <v>0</v>
      </c>
      <c r="Q241" s="55" t="n">
        <f aca="false">MIN($F$7,O241+P241)</f>
        <v>0</v>
      </c>
      <c r="R241" s="55" t="n">
        <f aca="false">MAX(0,MIN(O241+P241-Q241,$D241-(H241+M241)))</f>
        <v>0</v>
      </c>
      <c r="S241" s="55" t="n">
        <f aca="false">Q241+R241</f>
        <v>0</v>
      </c>
      <c r="T241" s="55" t="n">
        <f aca="false">ROUND(MAX(0,T240+U240-X240),2)</f>
        <v>0</v>
      </c>
      <c r="U241" s="55" t="n">
        <f aca="false">ROUND(T241*$E$8/12,2)</f>
        <v>0</v>
      </c>
      <c r="V241" s="55" t="n">
        <f aca="false">MIN($F$8,T241+U241)</f>
        <v>0</v>
      </c>
      <c r="W241" s="55" t="n">
        <f aca="false">MAX(0,MIN(T241+U241-V241,$D241-(H241+M241+R241)))</f>
        <v>0</v>
      </c>
      <c r="X241" s="55" t="n">
        <f aca="false">V241+W241</f>
        <v>0</v>
      </c>
      <c r="Y241" s="55" t="n">
        <f aca="false">ROUND(MAX(0,Y240+Z240-AC240),2)</f>
        <v>0</v>
      </c>
      <c r="Z241" s="55" t="n">
        <f aca="false">ROUND(Y241*$E$9/12,2)</f>
        <v>0</v>
      </c>
      <c r="AA241" s="55" t="n">
        <f aca="false">MIN($F$9,Y241+Z241)</f>
        <v>0</v>
      </c>
      <c r="AB241" s="55" t="n">
        <f aca="false">MAX(0,MIN(Y241+Z241-AA241,$D241-(H241+M241+R241+W241)))</f>
        <v>0</v>
      </c>
      <c r="AC241" s="55" t="n">
        <f aca="false">AA241+AB241</f>
        <v>0</v>
      </c>
      <c r="AD241" s="55" t="n">
        <f aca="false">ROUND(MAX(0,AD240+AE240-AH240),2)</f>
        <v>0</v>
      </c>
      <c r="AE241" s="55" t="n">
        <f aca="false">ROUND(AD241*$E$10/12,2)</f>
        <v>0</v>
      </c>
      <c r="AF241" s="55" t="n">
        <f aca="false">MIN($F$10,AD241+AE241)</f>
        <v>0</v>
      </c>
      <c r="AG241" s="55" t="n">
        <f aca="false">MAX(0,MIN(AD241+AE241-AF241,$D241-(H241+M241+R241+W241+AB241)))</f>
        <v>0</v>
      </c>
      <c r="AH241" s="55" t="n">
        <f aca="false">AF241+AG241</f>
        <v>0</v>
      </c>
      <c r="AI241" s="55" t="n">
        <f aca="false">ROUND(MAX(0,AI240+AJ240-AM240),2)</f>
        <v>0</v>
      </c>
      <c r="AJ241" s="55" t="n">
        <f aca="false">ROUND(AI241*$E$11/12,2)</f>
        <v>0</v>
      </c>
      <c r="AK241" s="55" t="n">
        <f aca="false">MIN($F$11,AI241+AJ241)</f>
        <v>0</v>
      </c>
      <c r="AL241" s="55" t="n">
        <f aca="false">MAX(0,MIN(AI241+AJ241-AK241,$D241-(H241+M241+R241+W241+AB241+AG241)))</f>
        <v>0</v>
      </c>
      <c r="AM241" s="55" t="n">
        <f aca="false">AK241+AL241</f>
        <v>0</v>
      </c>
      <c r="AN241" s="55" t="n">
        <f aca="false">ROUND(MAX(0,AN240+AO240-AR240),2)</f>
        <v>0</v>
      </c>
      <c r="AO241" s="55" t="n">
        <f aca="false">ROUND(AN241*$E$12/12,2)</f>
        <v>0</v>
      </c>
      <c r="AP241" s="55" t="n">
        <f aca="false">MIN($F$12,AN241+AO241)</f>
        <v>0</v>
      </c>
      <c r="AQ241" s="55" t="n">
        <f aca="false">MAX(0,MIN(AN241+AO241-AP241,$D241-(H241+M241+R241+W241+AB241+AG241+AL241)))</f>
        <v>0</v>
      </c>
      <c r="AR241" s="55" t="n">
        <f aca="false">AP241+AQ241</f>
        <v>0</v>
      </c>
      <c r="AS241" s="55" t="n">
        <f aca="false">ROUND(MAX(0,AS240+AT240-AW240),2)</f>
        <v>0</v>
      </c>
      <c r="AT241" s="55" t="n">
        <f aca="false">ROUND(AS241*$E$13/12,2)</f>
        <v>0</v>
      </c>
      <c r="AU241" s="55" t="n">
        <f aca="false">MIN($F$13,AS241+AT241)</f>
        <v>0</v>
      </c>
      <c r="AV241" s="55" t="n">
        <f aca="false">MAX(0,MIN(AS241+AT241-AU241,$D241-(H241+M241+R241+W241+AB241+AG241+AL241+AQ241)))</f>
        <v>0</v>
      </c>
      <c r="AW241" s="55" t="n">
        <f aca="false">AU241+AV241</f>
        <v>0</v>
      </c>
      <c r="AX241" s="55" t="n">
        <f aca="false">ROUND(MAX(0,AX240+AY240-BB240),2)</f>
        <v>0</v>
      </c>
      <c r="AY241" s="55" t="n">
        <f aca="false">ROUND(AX241*$E$14/12,2)</f>
        <v>0</v>
      </c>
      <c r="AZ241" s="55" t="n">
        <f aca="false">MIN($F$14,AX241+AY241)</f>
        <v>0</v>
      </c>
      <c r="BA241" s="55" t="n">
        <f aca="false">MAX(0,MIN(AX241+AY241-AZ241,$D241-(H241+M241+R241+W241+AB241+AG241+AL241+AQ241+AV241)))</f>
        <v>0</v>
      </c>
      <c r="BB241" s="55" t="n">
        <f aca="false">AZ241+BA241</f>
        <v>0</v>
      </c>
      <c r="BC241" s="55" t="n">
        <f aca="false">I241+N241+S241+X241+AC241+AH241+AM241+AR241+AW241+BB241</f>
        <v>0</v>
      </c>
      <c r="BD241" s="55" t="n">
        <f aca="false">ROUND((E241+F241-I241)+(J241+K241-N241)+(O241+P241-S241)+(T241+U241-X241)+(Y241+Z241-AC241)+(AD241+AE241-AH241)+(AI241+AJ241-AM241)+(AN241+AO241-AR241)+(AS241+AT241-AW241)+(AX241+AY241-BB241),2)</f>
        <v>0</v>
      </c>
      <c r="BE241" s="25" t="str">
        <f aca="false">IF(H241&gt;0.005,$C$5,IF(M241&gt;0.005,$C$6,IF(R241&gt;0.005,$C$7,IF(W241&gt;0.005,$C$8,IF(AB241&gt;0.005,$C$9,IF(AG241&gt;0.005,$C$10,IF(AL241&gt;0.005,$C$11,IF(AQ241&gt;0.005,$C$12,IF(AV241&gt;0.005,$C$13,IF(BA241&gt;0.005,$C$14,""))))))))))</f>
        <v/>
      </c>
    </row>
    <row r="242" customFormat="false" ht="15" hidden="false" customHeight="false" outlineLevel="0" collapsed="false">
      <c r="A242" s="24" t="n">
        <v>219</v>
      </c>
      <c r="B242" s="54" t="n">
        <f aca="false">EDATE($C$17,A242-1)</f>
        <v>52963</v>
      </c>
      <c r="C242" s="55" t="n">
        <f aca="false">G242+L242+Q242+V242+AA242+AF242+AK242+AP242+AU242+AZ242</f>
        <v>0</v>
      </c>
      <c r="D242" s="55" t="n">
        <f aca="false">MAX(0,$C$16-C242)</f>
        <v>5822</v>
      </c>
      <c r="E242" s="55" t="n">
        <f aca="false">ROUND(MAX(0,E241+F241-I241),2)</f>
        <v>0</v>
      </c>
      <c r="F242" s="55" t="n">
        <f aca="false">ROUND(E242*$E$5/12,2)</f>
        <v>0</v>
      </c>
      <c r="G242" s="55" t="n">
        <f aca="false">MIN($F$5,E242+F242)</f>
        <v>0</v>
      </c>
      <c r="H242" s="55" t="n">
        <f aca="false">MAX(0,MIN(E242+F242-G242,$D242))</f>
        <v>0</v>
      </c>
      <c r="I242" s="55" t="n">
        <f aca="false">G242+H242</f>
        <v>0</v>
      </c>
      <c r="J242" s="55" t="n">
        <f aca="false">ROUND(MAX(0,J241+K241-N241),2)</f>
        <v>0</v>
      </c>
      <c r="K242" s="55" t="n">
        <f aca="false">ROUND(J242*$E$6/12,2)</f>
        <v>0</v>
      </c>
      <c r="L242" s="55" t="n">
        <f aca="false">MIN($F$6,J242+K242)</f>
        <v>0</v>
      </c>
      <c r="M242" s="55" t="n">
        <f aca="false">MAX(0,MIN(J242+K242-L242,$D242-(H242)))</f>
        <v>0</v>
      </c>
      <c r="N242" s="55" t="n">
        <f aca="false">L242+M242</f>
        <v>0</v>
      </c>
      <c r="O242" s="55" t="n">
        <f aca="false">ROUND(MAX(0,O241+P241-S241),2)</f>
        <v>0</v>
      </c>
      <c r="P242" s="55" t="n">
        <f aca="false">ROUND(O242*$E$7/12,2)</f>
        <v>0</v>
      </c>
      <c r="Q242" s="55" t="n">
        <f aca="false">MIN($F$7,O242+P242)</f>
        <v>0</v>
      </c>
      <c r="R242" s="55" t="n">
        <f aca="false">MAX(0,MIN(O242+P242-Q242,$D242-(H242+M242)))</f>
        <v>0</v>
      </c>
      <c r="S242" s="55" t="n">
        <f aca="false">Q242+R242</f>
        <v>0</v>
      </c>
      <c r="T242" s="55" t="n">
        <f aca="false">ROUND(MAX(0,T241+U241-X241),2)</f>
        <v>0</v>
      </c>
      <c r="U242" s="55" t="n">
        <f aca="false">ROUND(T242*$E$8/12,2)</f>
        <v>0</v>
      </c>
      <c r="V242" s="55" t="n">
        <f aca="false">MIN($F$8,T242+U242)</f>
        <v>0</v>
      </c>
      <c r="W242" s="55" t="n">
        <f aca="false">MAX(0,MIN(T242+U242-V242,$D242-(H242+M242+R242)))</f>
        <v>0</v>
      </c>
      <c r="X242" s="55" t="n">
        <f aca="false">V242+W242</f>
        <v>0</v>
      </c>
      <c r="Y242" s="55" t="n">
        <f aca="false">ROUND(MAX(0,Y241+Z241-AC241),2)</f>
        <v>0</v>
      </c>
      <c r="Z242" s="55" t="n">
        <f aca="false">ROUND(Y242*$E$9/12,2)</f>
        <v>0</v>
      </c>
      <c r="AA242" s="55" t="n">
        <f aca="false">MIN($F$9,Y242+Z242)</f>
        <v>0</v>
      </c>
      <c r="AB242" s="55" t="n">
        <f aca="false">MAX(0,MIN(Y242+Z242-AA242,$D242-(H242+M242+R242+W242)))</f>
        <v>0</v>
      </c>
      <c r="AC242" s="55" t="n">
        <f aca="false">AA242+AB242</f>
        <v>0</v>
      </c>
      <c r="AD242" s="55" t="n">
        <f aca="false">ROUND(MAX(0,AD241+AE241-AH241),2)</f>
        <v>0</v>
      </c>
      <c r="AE242" s="55" t="n">
        <f aca="false">ROUND(AD242*$E$10/12,2)</f>
        <v>0</v>
      </c>
      <c r="AF242" s="55" t="n">
        <f aca="false">MIN($F$10,AD242+AE242)</f>
        <v>0</v>
      </c>
      <c r="AG242" s="55" t="n">
        <f aca="false">MAX(0,MIN(AD242+AE242-AF242,$D242-(H242+M242+R242+W242+AB242)))</f>
        <v>0</v>
      </c>
      <c r="AH242" s="55" t="n">
        <f aca="false">AF242+AG242</f>
        <v>0</v>
      </c>
      <c r="AI242" s="55" t="n">
        <f aca="false">ROUND(MAX(0,AI241+AJ241-AM241),2)</f>
        <v>0</v>
      </c>
      <c r="AJ242" s="55" t="n">
        <f aca="false">ROUND(AI242*$E$11/12,2)</f>
        <v>0</v>
      </c>
      <c r="AK242" s="55" t="n">
        <f aca="false">MIN($F$11,AI242+AJ242)</f>
        <v>0</v>
      </c>
      <c r="AL242" s="55" t="n">
        <f aca="false">MAX(0,MIN(AI242+AJ242-AK242,$D242-(H242+M242+R242+W242+AB242+AG242)))</f>
        <v>0</v>
      </c>
      <c r="AM242" s="55" t="n">
        <f aca="false">AK242+AL242</f>
        <v>0</v>
      </c>
      <c r="AN242" s="55" t="n">
        <f aca="false">ROUND(MAX(0,AN241+AO241-AR241),2)</f>
        <v>0</v>
      </c>
      <c r="AO242" s="55" t="n">
        <f aca="false">ROUND(AN242*$E$12/12,2)</f>
        <v>0</v>
      </c>
      <c r="AP242" s="55" t="n">
        <f aca="false">MIN($F$12,AN242+AO242)</f>
        <v>0</v>
      </c>
      <c r="AQ242" s="55" t="n">
        <f aca="false">MAX(0,MIN(AN242+AO242-AP242,$D242-(H242+M242+R242+W242+AB242+AG242+AL242)))</f>
        <v>0</v>
      </c>
      <c r="AR242" s="55" t="n">
        <f aca="false">AP242+AQ242</f>
        <v>0</v>
      </c>
      <c r="AS242" s="55" t="n">
        <f aca="false">ROUND(MAX(0,AS241+AT241-AW241),2)</f>
        <v>0</v>
      </c>
      <c r="AT242" s="55" t="n">
        <f aca="false">ROUND(AS242*$E$13/12,2)</f>
        <v>0</v>
      </c>
      <c r="AU242" s="55" t="n">
        <f aca="false">MIN($F$13,AS242+AT242)</f>
        <v>0</v>
      </c>
      <c r="AV242" s="55" t="n">
        <f aca="false">MAX(0,MIN(AS242+AT242-AU242,$D242-(H242+M242+R242+W242+AB242+AG242+AL242+AQ242)))</f>
        <v>0</v>
      </c>
      <c r="AW242" s="55" t="n">
        <f aca="false">AU242+AV242</f>
        <v>0</v>
      </c>
      <c r="AX242" s="55" t="n">
        <f aca="false">ROUND(MAX(0,AX241+AY241-BB241),2)</f>
        <v>0</v>
      </c>
      <c r="AY242" s="55" t="n">
        <f aca="false">ROUND(AX242*$E$14/12,2)</f>
        <v>0</v>
      </c>
      <c r="AZ242" s="55" t="n">
        <f aca="false">MIN($F$14,AX242+AY242)</f>
        <v>0</v>
      </c>
      <c r="BA242" s="55" t="n">
        <f aca="false">MAX(0,MIN(AX242+AY242-AZ242,$D242-(H242+M242+R242+W242+AB242+AG242+AL242+AQ242+AV242)))</f>
        <v>0</v>
      </c>
      <c r="BB242" s="55" t="n">
        <f aca="false">AZ242+BA242</f>
        <v>0</v>
      </c>
      <c r="BC242" s="55" t="n">
        <f aca="false">I242+N242+S242+X242+AC242+AH242+AM242+AR242+AW242+BB242</f>
        <v>0</v>
      </c>
      <c r="BD242" s="55" t="n">
        <f aca="false">ROUND((E242+F242-I242)+(J242+K242-N242)+(O242+P242-S242)+(T242+U242-X242)+(Y242+Z242-AC242)+(AD242+AE242-AH242)+(AI242+AJ242-AM242)+(AN242+AO242-AR242)+(AS242+AT242-AW242)+(AX242+AY242-BB242),2)</f>
        <v>0</v>
      </c>
      <c r="BE242" s="25" t="str">
        <f aca="false">IF(H242&gt;0.005,$C$5,IF(M242&gt;0.005,$C$6,IF(R242&gt;0.005,$C$7,IF(W242&gt;0.005,$C$8,IF(AB242&gt;0.005,$C$9,IF(AG242&gt;0.005,$C$10,IF(AL242&gt;0.005,$C$11,IF(AQ242&gt;0.005,$C$12,IF(AV242&gt;0.005,$C$13,IF(BA242&gt;0.005,$C$14,""))))))))))</f>
        <v/>
      </c>
    </row>
    <row r="243" customFormat="false" ht="15" hidden="false" customHeight="false" outlineLevel="0" collapsed="false">
      <c r="A243" s="24" t="n">
        <v>220</v>
      </c>
      <c r="B243" s="54" t="n">
        <f aca="false">EDATE($C$17,A243-1)</f>
        <v>52994</v>
      </c>
      <c r="C243" s="55" t="n">
        <f aca="false">G243+L243+Q243+V243+AA243+AF243+AK243+AP243+AU243+AZ243</f>
        <v>0</v>
      </c>
      <c r="D243" s="55" t="n">
        <f aca="false">MAX(0,$C$16-C243)</f>
        <v>5822</v>
      </c>
      <c r="E243" s="55" t="n">
        <f aca="false">ROUND(MAX(0,E242+F242-I242),2)</f>
        <v>0</v>
      </c>
      <c r="F243" s="55" t="n">
        <f aca="false">ROUND(E243*$E$5/12,2)</f>
        <v>0</v>
      </c>
      <c r="G243" s="55" t="n">
        <f aca="false">MIN($F$5,E243+F243)</f>
        <v>0</v>
      </c>
      <c r="H243" s="55" t="n">
        <f aca="false">MAX(0,MIN(E243+F243-G243,$D243))</f>
        <v>0</v>
      </c>
      <c r="I243" s="55" t="n">
        <f aca="false">G243+H243</f>
        <v>0</v>
      </c>
      <c r="J243" s="55" t="n">
        <f aca="false">ROUND(MAX(0,J242+K242-N242),2)</f>
        <v>0</v>
      </c>
      <c r="K243" s="55" t="n">
        <f aca="false">ROUND(J243*$E$6/12,2)</f>
        <v>0</v>
      </c>
      <c r="L243" s="55" t="n">
        <f aca="false">MIN($F$6,J243+K243)</f>
        <v>0</v>
      </c>
      <c r="M243" s="55" t="n">
        <f aca="false">MAX(0,MIN(J243+K243-L243,$D243-(H243)))</f>
        <v>0</v>
      </c>
      <c r="N243" s="55" t="n">
        <f aca="false">L243+M243</f>
        <v>0</v>
      </c>
      <c r="O243" s="55" t="n">
        <f aca="false">ROUND(MAX(0,O242+P242-S242),2)</f>
        <v>0</v>
      </c>
      <c r="P243" s="55" t="n">
        <f aca="false">ROUND(O243*$E$7/12,2)</f>
        <v>0</v>
      </c>
      <c r="Q243" s="55" t="n">
        <f aca="false">MIN($F$7,O243+P243)</f>
        <v>0</v>
      </c>
      <c r="R243" s="55" t="n">
        <f aca="false">MAX(0,MIN(O243+P243-Q243,$D243-(H243+M243)))</f>
        <v>0</v>
      </c>
      <c r="S243" s="55" t="n">
        <f aca="false">Q243+R243</f>
        <v>0</v>
      </c>
      <c r="T243" s="55" t="n">
        <f aca="false">ROUND(MAX(0,T242+U242-X242),2)</f>
        <v>0</v>
      </c>
      <c r="U243" s="55" t="n">
        <f aca="false">ROUND(T243*$E$8/12,2)</f>
        <v>0</v>
      </c>
      <c r="V243" s="55" t="n">
        <f aca="false">MIN($F$8,T243+U243)</f>
        <v>0</v>
      </c>
      <c r="W243" s="55" t="n">
        <f aca="false">MAX(0,MIN(T243+U243-V243,$D243-(H243+M243+R243)))</f>
        <v>0</v>
      </c>
      <c r="X243" s="55" t="n">
        <f aca="false">V243+W243</f>
        <v>0</v>
      </c>
      <c r="Y243" s="55" t="n">
        <f aca="false">ROUND(MAX(0,Y242+Z242-AC242),2)</f>
        <v>0</v>
      </c>
      <c r="Z243" s="55" t="n">
        <f aca="false">ROUND(Y243*$E$9/12,2)</f>
        <v>0</v>
      </c>
      <c r="AA243" s="55" t="n">
        <f aca="false">MIN($F$9,Y243+Z243)</f>
        <v>0</v>
      </c>
      <c r="AB243" s="55" t="n">
        <f aca="false">MAX(0,MIN(Y243+Z243-AA243,$D243-(H243+M243+R243+W243)))</f>
        <v>0</v>
      </c>
      <c r="AC243" s="55" t="n">
        <f aca="false">AA243+AB243</f>
        <v>0</v>
      </c>
      <c r="AD243" s="55" t="n">
        <f aca="false">ROUND(MAX(0,AD242+AE242-AH242),2)</f>
        <v>0</v>
      </c>
      <c r="AE243" s="55" t="n">
        <f aca="false">ROUND(AD243*$E$10/12,2)</f>
        <v>0</v>
      </c>
      <c r="AF243" s="55" t="n">
        <f aca="false">MIN($F$10,AD243+AE243)</f>
        <v>0</v>
      </c>
      <c r="AG243" s="55" t="n">
        <f aca="false">MAX(0,MIN(AD243+AE243-AF243,$D243-(H243+M243+R243+W243+AB243)))</f>
        <v>0</v>
      </c>
      <c r="AH243" s="55" t="n">
        <f aca="false">AF243+AG243</f>
        <v>0</v>
      </c>
      <c r="AI243" s="55" t="n">
        <f aca="false">ROUND(MAX(0,AI242+AJ242-AM242),2)</f>
        <v>0</v>
      </c>
      <c r="AJ243" s="55" t="n">
        <f aca="false">ROUND(AI243*$E$11/12,2)</f>
        <v>0</v>
      </c>
      <c r="AK243" s="55" t="n">
        <f aca="false">MIN($F$11,AI243+AJ243)</f>
        <v>0</v>
      </c>
      <c r="AL243" s="55" t="n">
        <f aca="false">MAX(0,MIN(AI243+AJ243-AK243,$D243-(H243+M243+R243+W243+AB243+AG243)))</f>
        <v>0</v>
      </c>
      <c r="AM243" s="55" t="n">
        <f aca="false">AK243+AL243</f>
        <v>0</v>
      </c>
      <c r="AN243" s="55" t="n">
        <f aca="false">ROUND(MAX(0,AN242+AO242-AR242),2)</f>
        <v>0</v>
      </c>
      <c r="AO243" s="55" t="n">
        <f aca="false">ROUND(AN243*$E$12/12,2)</f>
        <v>0</v>
      </c>
      <c r="AP243" s="55" t="n">
        <f aca="false">MIN($F$12,AN243+AO243)</f>
        <v>0</v>
      </c>
      <c r="AQ243" s="55" t="n">
        <f aca="false">MAX(0,MIN(AN243+AO243-AP243,$D243-(H243+M243+R243+W243+AB243+AG243+AL243)))</f>
        <v>0</v>
      </c>
      <c r="AR243" s="55" t="n">
        <f aca="false">AP243+AQ243</f>
        <v>0</v>
      </c>
      <c r="AS243" s="55" t="n">
        <f aca="false">ROUND(MAX(0,AS242+AT242-AW242),2)</f>
        <v>0</v>
      </c>
      <c r="AT243" s="55" t="n">
        <f aca="false">ROUND(AS243*$E$13/12,2)</f>
        <v>0</v>
      </c>
      <c r="AU243" s="55" t="n">
        <f aca="false">MIN($F$13,AS243+AT243)</f>
        <v>0</v>
      </c>
      <c r="AV243" s="55" t="n">
        <f aca="false">MAX(0,MIN(AS243+AT243-AU243,$D243-(H243+M243+R243+W243+AB243+AG243+AL243+AQ243)))</f>
        <v>0</v>
      </c>
      <c r="AW243" s="55" t="n">
        <f aca="false">AU243+AV243</f>
        <v>0</v>
      </c>
      <c r="AX243" s="55" t="n">
        <f aca="false">ROUND(MAX(0,AX242+AY242-BB242),2)</f>
        <v>0</v>
      </c>
      <c r="AY243" s="55" t="n">
        <f aca="false">ROUND(AX243*$E$14/12,2)</f>
        <v>0</v>
      </c>
      <c r="AZ243" s="55" t="n">
        <f aca="false">MIN($F$14,AX243+AY243)</f>
        <v>0</v>
      </c>
      <c r="BA243" s="55" t="n">
        <f aca="false">MAX(0,MIN(AX243+AY243-AZ243,$D243-(H243+M243+R243+W243+AB243+AG243+AL243+AQ243+AV243)))</f>
        <v>0</v>
      </c>
      <c r="BB243" s="55" t="n">
        <f aca="false">AZ243+BA243</f>
        <v>0</v>
      </c>
      <c r="BC243" s="55" t="n">
        <f aca="false">I243+N243+S243+X243+AC243+AH243+AM243+AR243+AW243+BB243</f>
        <v>0</v>
      </c>
      <c r="BD243" s="55" t="n">
        <f aca="false">ROUND((E243+F243-I243)+(J243+K243-N243)+(O243+P243-S243)+(T243+U243-X243)+(Y243+Z243-AC243)+(AD243+AE243-AH243)+(AI243+AJ243-AM243)+(AN243+AO243-AR243)+(AS243+AT243-AW243)+(AX243+AY243-BB243),2)</f>
        <v>0</v>
      </c>
      <c r="BE243" s="25" t="str">
        <f aca="false">IF(H243&gt;0.005,$C$5,IF(M243&gt;0.005,$C$6,IF(R243&gt;0.005,$C$7,IF(W243&gt;0.005,$C$8,IF(AB243&gt;0.005,$C$9,IF(AG243&gt;0.005,$C$10,IF(AL243&gt;0.005,$C$11,IF(AQ243&gt;0.005,$C$12,IF(AV243&gt;0.005,$C$13,IF(BA243&gt;0.005,$C$14,""))))))))))</f>
        <v/>
      </c>
    </row>
    <row r="244" customFormat="false" ht="15" hidden="false" customHeight="false" outlineLevel="0" collapsed="false">
      <c r="A244" s="24" t="n">
        <v>221</v>
      </c>
      <c r="B244" s="54" t="n">
        <f aca="false">EDATE($C$17,A244-1)</f>
        <v>53022</v>
      </c>
      <c r="C244" s="55" t="n">
        <f aca="false">G244+L244+Q244+V244+AA244+AF244+AK244+AP244+AU244+AZ244</f>
        <v>0</v>
      </c>
      <c r="D244" s="55" t="n">
        <f aca="false">MAX(0,$C$16-C244)</f>
        <v>5822</v>
      </c>
      <c r="E244" s="55" t="n">
        <f aca="false">ROUND(MAX(0,E243+F243-I243),2)</f>
        <v>0</v>
      </c>
      <c r="F244" s="55" t="n">
        <f aca="false">ROUND(E244*$E$5/12,2)</f>
        <v>0</v>
      </c>
      <c r="G244" s="55" t="n">
        <f aca="false">MIN($F$5,E244+F244)</f>
        <v>0</v>
      </c>
      <c r="H244" s="55" t="n">
        <f aca="false">MAX(0,MIN(E244+F244-G244,$D244))</f>
        <v>0</v>
      </c>
      <c r="I244" s="55" t="n">
        <f aca="false">G244+H244</f>
        <v>0</v>
      </c>
      <c r="J244" s="55" t="n">
        <f aca="false">ROUND(MAX(0,J243+K243-N243),2)</f>
        <v>0</v>
      </c>
      <c r="K244" s="55" t="n">
        <f aca="false">ROUND(J244*$E$6/12,2)</f>
        <v>0</v>
      </c>
      <c r="L244" s="55" t="n">
        <f aca="false">MIN($F$6,J244+K244)</f>
        <v>0</v>
      </c>
      <c r="M244" s="55" t="n">
        <f aca="false">MAX(0,MIN(J244+K244-L244,$D244-(H244)))</f>
        <v>0</v>
      </c>
      <c r="N244" s="55" t="n">
        <f aca="false">L244+M244</f>
        <v>0</v>
      </c>
      <c r="O244" s="55" t="n">
        <f aca="false">ROUND(MAX(0,O243+P243-S243),2)</f>
        <v>0</v>
      </c>
      <c r="P244" s="55" t="n">
        <f aca="false">ROUND(O244*$E$7/12,2)</f>
        <v>0</v>
      </c>
      <c r="Q244" s="55" t="n">
        <f aca="false">MIN($F$7,O244+P244)</f>
        <v>0</v>
      </c>
      <c r="R244" s="55" t="n">
        <f aca="false">MAX(0,MIN(O244+P244-Q244,$D244-(H244+M244)))</f>
        <v>0</v>
      </c>
      <c r="S244" s="55" t="n">
        <f aca="false">Q244+R244</f>
        <v>0</v>
      </c>
      <c r="T244" s="55" t="n">
        <f aca="false">ROUND(MAX(0,T243+U243-X243),2)</f>
        <v>0</v>
      </c>
      <c r="U244" s="55" t="n">
        <f aca="false">ROUND(T244*$E$8/12,2)</f>
        <v>0</v>
      </c>
      <c r="V244" s="55" t="n">
        <f aca="false">MIN($F$8,T244+U244)</f>
        <v>0</v>
      </c>
      <c r="W244" s="55" t="n">
        <f aca="false">MAX(0,MIN(T244+U244-V244,$D244-(H244+M244+R244)))</f>
        <v>0</v>
      </c>
      <c r="X244" s="55" t="n">
        <f aca="false">V244+W244</f>
        <v>0</v>
      </c>
      <c r="Y244" s="55" t="n">
        <f aca="false">ROUND(MAX(0,Y243+Z243-AC243),2)</f>
        <v>0</v>
      </c>
      <c r="Z244" s="55" t="n">
        <f aca="false">ROUND(Y244*$E$9/12,2)</f>
        <v>0</v>
      </c>
      <c r="AA244" s="55" t="n">
        <f aca="false">MIN($F$9,Y244+Z244)</f>
        <v>0</v>
      </c>
      <c r="AB244" s="55" t="n">
        <f aca="false">MAX(0,MIN(Y244+Z244-AA244,$D244-(H244+M244+R244+W244)))</f>
        <v>0</v>
      </c>
      <c r="AC244" s="55" t="n">
        <f aca="false">AA244+AB244</f>
        <v>0</v>
      </c>
      <c r="AD244" s="55" t="n">
        <f aca="false">ROUND(MAX(0,AD243+AE243-AH243),2)</f>
        <v>0</v>
      </c>
      <c r="AE244" s="55" t="n">
        <f aca="false">ROUND(AD244*$E$10/12,2)</f>
        <v>0</v>
      </c>
      <c r="AF244" s="55" t="n">
        <f aca="false">MIN($F$10,AD244+AE244)</f>
        <v>0</v>
      </c>
      <c r="AG244" s="55" t="n">
        <f aca="false">MAX(0,MIN(AD244+AE244-AF244,$D244-(H244+M244+R244+W244+AB244)))</f>
        <v>0</v>
      </c>
      <c r="AH244" s="55" t="n">
        <f aca="false">AF244+AG244</f>
        <v>0</v>
      </c>
      <c r="AI244" s="55" t="n">
        <f aca="false">ROUND(MAX(0,AI243+AJ243-AM243),2)</f>
        <v>0</v>
      </c>
      <c r="AJ244" s="55" t="n">
        <f aca="false">ROUND(AI244*$E$11/12,2)</f>
        <v>0</v>
      </c>
      <c r="AK244" s="55" t="n">
        <f aca="false">MIN($F$11,AI244+AJ244)</f>
        <v>0</v>
      </c>
      <c r="AL244" s="55" t="n">
        <f aca="false">MAX(0,MIN(AI244+AJ244-AK244,$D244-(H244+M244+R244+W244+AB244+AG244)))</f>
        <v>0</v>
      </c>
      <c r="AM244" s="55" t="n">
        <f aca="false">AK244+AL244</f>
        <v>0</v>
      </c>
      <c r="AN244" s="55" t="n">
        <f aca="false">ROUND(MAX(0,AN243+AO243-AR243),2)</f>
        <v>0</v>
      </c>
      <c r="AO244" s="55" t="n">
        <f aca="false">ROUND(AN244*$E$12/12,2)</f>
        <v>0</v>
      </c>
      <c r="AP244" s="55" t="n">
        <f aca="false">MIN($F$12,AN244+AO244)</f>
        <v>0</v>
      </c>
      <c r="AQ244" s="55" t="n">
        <f aca="false">MAX(0,MIN(AN244+AO244-AP244,$D244-(H244+M244+R244+W244+AB244+AG244+AL244)))</f>
        <v>0</v>
      </c>
      <c r="AR244" s="55" t="n">
        <f aca="false">AP244+AQ244</f>
        <v>0</v>
      </c>
      <c r="AS244" s="55" t="n">
        <f aca="false">ROUND(MAX(0,AS243+AT243-AW243),2)</f>
        <v>0</v>
      </c>
      <c r="AT244" s="55" t="n">
        <f aca="false">ROUND(AS244*$E$13/12,2)</f>
        <v>0</v>
      </c>
      <c r="AU244" s="55" t="n">
        <f aca="false">MIN($F$13,AS244+AT244)</f>
        <v>0</v>
      </c>
      <c r="AV244" s="55" t="n">
        <f aca="false">MAX(0,MIN(AS244+AT244-AU244,$D244-(H244+M244+R244+W244+AB244+AG244+AL244+AQ244)))</f>
        <v>0</v>
      </c>
      <c r="AW244" s="55" t="n">
        <f aca="false">AU244+AV244</f>
        <v>0</v>
      </c>
      <c r="AX244" s="55" t="n">
        <f aca="false">ROUND(MAX(0,AX243+AY243-BB243),2)</f>
        <v>0</v>
      </c>
      <c r="AY244" s="55" t="n">
        <f aca="false">ROUND(AX244*$E$14/12,2)</f>
        <v>0</v>
      </c>
      <c r="AZ244" s="55" t="n">
        <f aca="false">MIN($F$14,AX244+AY244)</f>
        <v>0</v>
      </c>
      <c r="BA244" s="55" t="n">
        <f aca="false">MAX(0,MIN(AX244+AY244-AZ244,$D244-(H244+M244+R244+W244+AB244+AG244+AL244+AQ244+AV244)))</f>
        <v>0</v>
      </c>
      <c r="BB244" s="55" t="n">
        <f aca="false">AZ244+BA244</f>
        <v>0</v>
      </c>
      <c r="BC244" s="55" t="n">
        <f aca="false">I244+N244+S244+X244+AC244+AH244+AM244+AR244+AW244+BB244</f>
        <v>0</v>
      </c>
      <c r="BD244" s="55" t="n">
        <f aca="false">ROUND((E244+F244-I244)+(J244+K244-N244)+(O244+P244-S244)+(T244+U244-X244)+(Y244+Z244-AC244)+(AD244+AE244-AH244)+(AI244+AJ244-AM244)+(AN244+AO244-AR244)+(AS244+AT244-AW244)+(AX244+AY244-BB244),2)</f>
        <v>0</v>
      </c>
      <c r="BE244" s="25" t="str">
        <f aca="false">IF(H244&gt;0.005,$C$5,IF(M244&gt;0.005,$C$6,IF(R244&gt;0.005,$C$7,IF(W244&gt;0.005,$C$8,IF(AB244&gt;0.005,$C$9,IF(AG244&gt;0.005,$C$10,IF(AL244&gt;0.005,$C$11,IF(AQ244&gt;0.005,$C$12,IF(AV244&gt;0.005,$C$13,IF(BA244&gt;0.005,$C$14,""))))))))))</f>
        <v/>
      </c>
    </row>
    <row r="245" customFormat="false" ht="15" hidden="false" customHeight="false" outlineLevel="0" collapsed="false">
      <c r="A245" s="24" t="n">
        <v>222</v>
      </c>
      <c r="B245" s="54" t="n">
        <f aca="false">EDATE($C$17,A245-1)</f>
        <v>53053</v>
      </c>
      <c r="C245" s="55" t="n">
        <f aca="false">G245+L245+Q245+V245+AA245+AF245+AK245+AP245+AU245+AZ245</f>
        <v>0</v>
      </c>
      <c r="D245" s="55" t="n">
        <f aca="false">MAX(0,$C$16-C245)</f>
        <v>5822</v>
      </c>
      <c r="E245" s="55" t="n">
        <f aca="false">ROUND(MAX(0,E244+F244-I244),2)</f>
        <v>0</v>
      </c>
      <c r="F245" s="55" t="n">
        <f aca="false">ROUND(E245*$E$5/12,2)</f>
        <v>0</v>
      </c>
      <c r="G245" s="55" t="n">
        <f aca="false">MIN($F$5,E245+F245)</f>
        <v>0</v>
      </c>
      <c r="H245" s="55" t="n">
        <f aca="false">MAX(0,MIN(E245+F245-G245,$D245))</f>
        <v>0</v>
      </c>
      <c r="I245" s="55" t="n">
        <f aca="false">G245+H245</f>
        <v>0</v>
      </c>
      <c r="J245" s="55" t="n">
        <f aca="false">ROUND(MAX(0,J244+K244-N244),2)</f>
        <v>0</v>
      </c>
      <c r="K245" s="55" t="n">
        <f aca="false">ROUND(J245*$E$6/12,2)</f>
        <v>0</v>
      </c>
      <c r="L245" s="55" t="n">
        <f aca="false">MIN($F$6,J245+K245)</f>
        <v>0</v>
      </c>
      <c r="M245" s="55" t="n">
        <f aca="false">MAX(0,MIN(J245+K245-L245,$D245-(H245)))</f>
        <v>0</v>
      </c>
      <c r="N245" s="55" t="n">
        <f aca="false">L245+M245</f>
        <v>0</v>
      </c>
      <c r="O245" s="55" t="n">
        <f aca="false">ROUND(MAX(0,O244+P244-S244),2)</f>
        <v>0</v>
      </c>
      <c r="P245" s="55" t="n">
        <f aca="false">ROUND(O245*$E$7/12,2)</f>
        <v>0</v>
      </c>
      <c r="Q245" s="55" t="n">
        <f aca="false">MIN($F$7,O245+P245)</f>
        <v>0</v>
      </c>
      <c r="R245" s="55" t="n">
        <f aca="false">MAX(0,MIN(O245+P245-Q245,$D245-(H245+M245)))</f>
        <v>0</v>
      </c>
      <c r="S245" s="55" t="n">
        <f aca="false">Q245+R245</f>
        <v>0</v>
      </c>
      <c r="T245" s="55" t="n">
        <f aca="false">ROUND(MAX(0,T244+U244-X244),2)</f>
        <v>0</v>
      </c>
      <c r="U245" s="55" t="n">
        <f aca="false">ROUND(T245*$E$8/12,2)</f>
        <v>0</v>
      </c>
      <c r="V245" s="55" t="n">
        <f aca="false">MIN($F$8,T245+U245)</f>
        <v>0</v>
      </c>
      <c r="W245" s="55" t="n">
        <f aca="false">MAX(0,MIN(T245+U245-V245,$D245-(H245+M245+R245)))</f>
        <v>0</v>
      </c>
      <c r="X245" s="55" t="n">
        <f aca="false">V245+W245</f>
        <v>0</v>
      </c>
      <c r="Y245" s="55" t="n">
        <f aca="false">ROUND(MAX(0,Y244+Z244-AC244),2)</f>
        <v>0</v>
      </c>
      <c r="Z245" s="55" t="n">
        <f aca="false">ROUND(Y245*$E$9/12,2)</f>
        <v>0</v>
      </c>
      <c r="AA245" s="55" t="n">
        <f aca="false">MIN($F$9,Y245+Z245)</f>
        <v>0</v>
      </c>
      <c r="AB245" s="55" t="n">
        <f aca="false">MAX(0,MIN(Y245+Z245-AA245,$D245-(H245+M245+R245+W245)))</f>
        <v>0</v>
      </c>
      <c r="AC245" s="55" t="n">
        <f aca="false">AA245+AB245</f>
        <v>0</v>
      </c>
      <c r="AD245" s="55" t="n">
        <f aca="false">ROUND(MAX(0,AD244+AE244-AH244),2)</f>
        <v>0</v>
      </c>
      <c r="AE245" s="55" t="n">
        <f aca="false">ROUND(AD245*$E$10/12,2)</f>
        <v>0</v>
      </c>
      <c r="AF245" s="55" t="n">
        <f aca="false">MIN($F$10,AD245+AE245)</f>
        <v>0</v>
      </c>
      <c r="AG245" s="55" t="n">
        <f aca="false">MAX(0,MIN(AD245+AE245-AF245,$D245-(H245+M245+R245+W245+AB245)))</f>
        <v>0</v>
      </c>
      <c r="AH245" s="55" t="n">
        <f aca="false">AF245+AG245</f>
        <v>0</v>
      </c>
      <c r="AI245" s="55" t="n">
        <f aca="false">ROUND(MAX(0,AI244+AJ244-AM244),2)</f>
        <v>0</v>
      </c>
      <c r="AJ245" s="55" t="n">
        <f aca="false">ROUND(AI245*$E$11/12,2)</f>
        <v>0</v>
      </c>
      <c r="AK245" s="55" t="n">
        <f aca="false">MIN($F$11,AI245+AJ245)</f>
        <v>0</v>
      </c>
      <c r="AL245" s="55" t="n">
        <f aca="false">MAX(0,MIN(AI245+AJ245-AK245,$D245-(H245+M245+R245+W245+AB245+AG245)))</f>
        <v>0</v>
      </c>
      <c r="AM245" s="55" t="n">
        <f aca="false">AK245+AL245</f>
        <v>0</v>
      </c>
      <c r="AN245" s="55" t="n">
        <f aca="false">ROUND(MAX(0,AN244+AO244-AR244),2)</f>
        <v>0</v>
      </c>
      <c r="AO245" s="55" t="n">
        <f aca="false">ROUND(AN245*$E$12/12,2)</f>
        <v>0</v>
      </c>
      <c r="AP245" s="55" t="n">
        <f aca="false">MIN($F$12,AN245+AO245)</f>
        <v>0</v>
      </c>
      <c r="AQ245" s="55" t="n">
        <f aca="false">MAX(0,MIN(AN245+AO245-AP245,$D245-(H245+M245+R245+W245+AB245+AG245+AL245)))</f>
        <v>0</v>
      </c>
      <c r="AR245" s="55" t="n">
        <f aca="false">AP245+AQ245</f>
        <v>0</v>
      </c>
      <c r="AS245" s="55" t="n">
        <f aca="false">ROUND(MAX(0,AS244+AT244-AW244),2)</f>
        <v>0</v>
      </c>
      <c r="AT245" s="55" t="n">
        <f aca="false">ROUND(AS245*$E$13/12,2)</f>
        <v>0</v>
      </c>
      <c r="AU245" s="55" t="n">
        <f aca="false">MIN($F$13,AS245+AT245)</f>
        <v>0</v>
      </c>
      <c r="AV245" s="55" t="n">
        <f aca="false">MAX(0,MIN(AS245+AT245-AU245,$D245-(H245+M245+R245+W245+AB245+AG245+AL245+AQ245)))</f>
        <v>0</v>
      </c>
      <c r="AW245" s="55" t="n">
        <f aca="false">AU245+AV245</f>
        <v>0</v>
      </c>
      <c r="AX245" s="55" t="n">
        <f aca="false">ROUND(MAX(0,AX244+AY244-BB244),2)</f>
        <v>0</v>
      </c>
      <c r="AY245" s="55" t="n">
        <f aca="false">ROUND(AX245*$E$14/12,2)</f>
        <v>0</v>
      </c>
      <c r="AZ245" s="55" t="n">
        <f aca="false">MIN($F$14,AX245+AY245)</f>
        <v>0</v>
      </c>
      <c r="BA245" s="55" t="n">
        <f aca="false">MAX(0,MIN(AX245+AY245-AZ245,$D245-(H245+M245+R245+W245+AB245+AG245+AL245+AQ245+AV245)))</f>
        <v>0</v>
      </c>
      <c r="BB245" s="55" t="n">
        <f aca="false">AZ245+BA245</f>
        <v>0</v>
      </c>
      <c r="BC245" s="55" t="n">
        <f aca="false">I245+N245+S245+X245+AC245+AH245+AM245+AR245+AW245+BB245</f>
        <v>0</v>
      </c>
      <c r="BD245" s="55" t="n">
        <f aca="false">ROUND((E245+F245-I245)+(J245+K245-N245)+(O245+P245-S245)+(T245+U245-X245)+(Y245+Z245-AC245)+(AD245+AE245-AH245)+(AI245+AJ245-AM245)+(AN245+AO245-AR245)+(AS245+AT245-AW245)+(AX245+AY245-BB245),2)</f>
        <v>0</v>
      </c>
      <c r="BE245" s="25" t="str">
        <f aca="false">IF(H245&gt;0.005,$C$5,IF(M245&gt;0.005,$C$6,IF(R245&gt;0.005,$C$7,IF(W245&gt;0.005,$C$8,IF(AB245&gt;0.005,$C$9,IF(AG245&gt;0.005,$C$10,IF(AL245&gt;0.005,$C$11,IF(AQ245&gt;0.005,$C$12,IF(AV245&gt;0.005,$C$13,IF(BA245&gt;0.005,$C$14,""))))))))))</f>
        <v/>
      </c>
    </row>
    <row r="246" customFormat="false" ht="15" hidden="false" customHeight="false" outlineLevel="0" collapsed="false">
      <c r="A246" s="24" t="n">
        <v>223</v>
      </c>
      <c r="B246" s="54" t="n">
        <f aca="false">EDATE($C$17,A246-1)</f>
        <v>53083</v>
      </c>
      <c r="C246" s="55" t="n">
        <f aca="false">G246+L246+Q246+V246+AA246+AF246+AK246+AP246+AU246+AZ246</f>
        <v>0</v>
      </c>
      <c r="D246" s="55" t="n">
        <f aca="false">MAX(0,$C$16-C246)</f>
        <v>5822</v>
      </c>
      <c r="E246" s="55" t="n">
        <f aca="false">ROUND(MAX(0,E245+F245-I245),2)</f>
        <v>0</v>
      </c>
      <c r="F246" s="55" t="n">
        <f aca="false">ROUND(E246*$E$5/12,2)</f>
        <v>0</v>
      </c>
      <c r="G246" s="55" t="n">
        <f aca="false">MIN($F$5,E246+F246)</f>
        <v>0</v>
      </c>
      <c r="H246" s="55" t="n">
        <f aca="false">MAX(0,MIN(E246+F246-G246,$D246))</f>
        <v>0</v>
      </c>
      <c r="I246" s="55" t="n">
        <f aca="false">G246+H246</f>
        <v>0</v>
      </c>
      <c r="J246" s="55" t="n">
        <f aca="false">ROUND(MAX(0,J245+K245-N245),2)</f>
        <v>0</v>
      </c>
      <c r="K246" s="55" t="n">
        <f aca="false">ROUND(J246*$E$6/12,2)</f>
        <v>0</v>
      </c>
      <c r="L246" s="55" t="n">
        <f aca="false">MIN($F$6,J246+K246)</f>
        <v>0</v>
      </c>
      <c r="M246" s="55" t="n">
        <f aca="false">MAX(0,MIN(J246+K246-L246,$D246-(H246)))</f>
        <v>0</v>
      </c>
      <c r="N246" s="55" t="n">
        <f aca="false">L246+M246</f>
        <v>0</v>
      </c>
      <c r="O246" s="55" t="n">
        <f aca="false">ROUND(MAX(0,O245+P245-S245),2)</f>
        <v>0</v>
      </c>
      <c r="P246" s="55" t="n">
        <f aca="false">ROUND(O246*$E$7/12,2)</f>
        <v>0</v>
      </c>
      <c r="Q246" s="55" t="n">
        <f aca="false">MIN($F$7,O246+P246)</f>
        <v>0</v>
      </c>
      <c r="R246" s="55" t="n">
        <f aca="false">MAX(0,MIN(O246+P246-Q246,$D246-(H246+M246)))</f>
        <v>0</v>
      </c>
      <c r="S246" s="55" t="n">
        <f aca="false">Q246+R246</f>
        <v>0</v>
      </c>
      <c r="T246" s="55" t="n">
        <f aca="false">ROUND(MAX(0,T245+U245-X245),2)</f>
        <v>0</v>
      </c>
      <c r="U246" s="55" t="n">
        <f aca="false">ROUND(T246*$E$8/12,2)</f>
        <v>0</v>
      </c>
      <c r="V246" s="55" t="n">
        <f aca="false">MIN($F$8,T246+U246)</f>
        <v>0</v>
      </c>
      <c r="W246" s="55" t="n">
        <f aca="false">MAX(0,MIN(T246+U246-V246,$D246-(H246+M246+R246)))</f>
        <v>0</v>
      </c>
      <c r="X246" s="55" t="n">
        <f aca="false">V246+W246</f>
        <v>0</v>
      </c>
      <c r="Y246" s="55" t="n">
        <f aca="false">ROUND(MAX(0,Y245+Z245-AC245),2)</f>
        <v>0</v>
      </c>
      <c r="Z246" s="55" t="n">
        <f aca="false">ROUND(Y246*$E$9/12,2)</f>
        <v>0</v>
      </c>
      <c r="AA246" s="55" t="n">
        <f aca="false">MIN($F$9,Y246+Z246)</f>
        <v>0</v>
      </c>
      <c r="AB246" s="55" t="n">
        <f aca="false">MAX(0,MIN(Y246+Z246-AA246,$D246-(H246+M246+R246+W246)))</f>
        <v>0</v>
      </c>
      <c r="AC246" s="55" t="n">
        <f aca="false">AA246+AB246</f>
        <v>0</v>
      </c>
      <c r="AD246" s="55" t="n">
        <f aca="false">ROUND(MAX(0,AD245+AE245-AH245),2)</f>
        <v>0</v>
      </c>
      <c r="AE246" s="55" t="n">
        <f aca="false">ROUND(AD246*$E$10/12,2)</f>
        <v>0</v>
      </c>
      <c r="AF246" s="55" t="n">
        <f aca="false">MIN($F$10,AD246+AE246)</f>
        <v>0</v>
      </c>
      <c r="AG246" s="55" t="n">
        <f aca="false">MAX(0,MIN(AD246+AE246-AF246,$D246-(H246+M246+R246+W246+AB246)))</f>
        <v>0</v>
      </c>
      <c r="AH246" s="55" t="n">
        <f aca="false">AF246+AG246</f>
        <v>0</v>
      </c>
      <c r="AI246" s="55" t="n">
        <f aca="false">ROUND(MAX(0,AI245+AJ245-AM245),2)</f>
        <v>0</v>
      </c>
      <c r="AJ246" s="55" t="n">
        <f aca="false">ROUND(AI246*$E$11/12,2)</f>
        <v>0</v>
      </c>
      <c r="AK246" s="55" t="n">
        <f aca="false">MIN($F$11,AI246+AJ246)</f>
        <v>0</v>
      </c>
      <c r="AL246" s="55" t="n">
        <f aca="false">MAX(0,MIN(AI246+AJ246-AK246,$D246-(H246+M246+R246+W246+AB246+AG246)))</f>
        <v>0</v>
      </c>
      <c r="AM246" s="55" t="n">
        <f aca="false">AK246+AL246</f>
        <v>0</v>
      </c>
      <c r="AN246" s="55" t="n">
        <f aca="false">ROUND(MAX(0,AN245+AO245-AR245),2)</f>
        <v>0</v>
      </c>
      <c r="AO246" s="55" t="n">
        <f aca="false">ROUND(AN246*$E$12/12,2)</f>
        <v>0</v>
      </c>
      <c r="AP246" s="55" t="n">
        <f aca="false">MIN($F$12,AN246+AO246)</f>
        <v>0</v>
      </c>
      <c r="AQ246" s="55" t="n">
        <f aca="false">MAX(0,MIN(AN246+AO246-AP246,$D246-(H246+M246+R246+W246+AB246+AG246+AL246)))</f>
        <v>0</v>
      </c>
      <c r="AR246" s="55" t="n">
        <f aca="false">AP246+AQ246</f>
        <v>0</v>
      </c>
      <c r="AS246" s="55" t="n">
        <f aca="false">ROUND(MAX(0,AS245+AT245-AW245),2)</f>
        <v>0</v>
      </c>
      <c r="AT246" s="55" t="n">
        <f aca="false">ROUND(AS246*$E$13/12,2)</f>
        <v>0</v>
      </c>
      <c r="AU246" s="55" t="n">
        <f aca="false">MIN($F$13,AS246+AT246)</f>
        <v>0</v>
      </c>
      <c r="AV246" s="55" t="n">
        <f aca="false">MAX(0,MIN(AS246+AT246-AU246,$D246-(H246+M246+R246+W246+AB246+AG246+AL246+AQ246)))</f>
        <v>0</v>
      </c>
      <c r="AW246" s="55" t="n">
        <f aca="false">AU246+AV246</f>
        <v>0</v>
      </c>
      <c r="AX246" s="55" t="n">
        <f aca="false">ROUND(MAX(0,AX245+AY245-BB245),2)</f>
        <v>0</v>
      </c>
      <c r="AY246" s="55" t="n">
        <f aca="false">ROUND(AX246*$E$14/12,2)</f>
        <v>0</v>
      </c>
      <c r="AZ246" s="55" t="n">
        <f aca="false">MIN($F$14,AX246+AY246)</f>
        <v>0</v>
      </c>
      <c r="BA246" s="55" t="n">
        <f aca="false">MAX(0,MIN(AX246+AY246-AZ246,$D246-(H246+M246+R246+W246+AB246+AG246+AL246+AQ246+AV246)))</f>
        <v>0</v>
      </c>
      <c r="BB246" s="55" t="n">
        <f aca="false">AZ246+BA246</f>
        <v>0</v>
      </c>
      <c r="BC246" s="55" t="n">
        <f aca="false">I246+N246+S246+X246+AC246+AH246+AM246+AR246+AW246+BB246</f>
        <v>0</v>
      </c>
      <c r="BD246" s="55" t="n">
        <f aca="false">ROUND((E246+F246-I246)+(J246+K246-N246)+(O246+P246-S246)+(T246+U246-X246)+(Y246+Z246-AC246)+(AD246+AE246-AH246)+(AI246+AJ246-AM246)+(AN246+AO246-AR246)+(AS246+AT246-AW246)+(AX246+AY246-BB246),2)</f>
        <v>0</v>
      </c>
      <c r="BE246" s="25" t="str">
        <f aca="false">IF(H246&gt;0.005,$C$5,IF(M246&gt;0.005,$C$6,IF(R246&gt;0.005,$C$7,IF(W246&gt;0.005,$C$8,IF(AB246&gt;0.005,$C$9,IF(AG246&gt;0.005,$C$10,IF(AL246&gt;0.005,$C$11,IF(AQ246&gt;0.005,$C$12,IF(AV246&gt;0.005,$C$13,IF(BA246&gt;0.005,$C$14,""))))))))))</f>
        <v/>
      </c>
    </row>
    <row r="247" customFormat="false" ht="15" hidden="false" customHeight="false" outlineLevel="0" collapsed="false">
      <c r="A247" s="24" t="n">
        <v>224</v>
      </c>
      <c r="B247" s="54" t="n">
        <f aca="false">EDATE($C$17,A247-1)</f>
        <v>53114</v>
      </c>
      <c r="C247" s="55" t="n">
        <f aca="false">G247+L247+Q247+V247+AA247+AF247+AK247+AP247+AU247+AZ247</f>
        <v>0</v>
      </c>
      <c r="D247" s="55" t="n">
        <f aca="false">MAX(0,$C$16-C247)</f>
        <v>5822</v>
      </c>
      <c r="E247" s="55" t="n">
        <f aca="false">ROUND(MAX(0,E246+F246-I246),2)</f>
        <v>0</v>
      </c>
      <c r="F247" s="55" t="n">
        <f aca="false">ROUND(E247*$E$5/12,2)</f>
        <v>0</v>
      </c>
      <c r="G247" s="55" t="n">
        <f aca="false">MIN($F$5,E247+F247)</f>
        <v>0</v>
      </c>
      <c r="H247" s="55" t="n">
        <f aca="false">MAX(0,MIN(E247+F247-G247,$D247))</f>
        <v>0</v>
      </c>
      <c r="I247" s="55" t="n">
        <f aca="false">G247+H247</f>
        <v>0</v>
      </c>
      <c r="J247" s="55" t="n">
        <f aca="false">ROUND(MAX(0,J246+K246-N246),2)</f>
        <v>0</v>
      </c>
      <c r="K247" s="55" t="n">
        <f aca="false">ROUND(J247*$E$6/12,2)</f>
        <v>0</v>
      </c>
      <c r="L247" s="55" t="n">
        <f aca="false">MIN($F$6,J247+K247)</f>
        <v>0</v>
      </c>
      <c r="M247" s="55" t="n">
        <f aca="false">MAX(0,MIN(J247+K247-L247,$D247-(H247)))</f>
        <v>0</v>
      </c>
      <c r="N247" s="55" t="n">
        <f aca="false">L247+M247</f>
        <v>0</v>
      </c>
      <c r="O247" s="55" t="n">
        <f aca="false">ROUND(MAX(0,O246+P246-S246),2)</f>
        <v>0</v>
      </c>
      <c r="P247" s="55" t="n">
        <f aca="false">ROUND(O247*$E$7/12,2)</f>
        <v>0</v>
      </c>
      <c r="Q247" s="55" t="n">
        <f aca="false">MIN($F$7,O247+P247)</f>
        <v>0</v>
      </c>
      <c r="R247" s="55" t="n">
        <f aca="false">MAX(0,MIN(O247+P247-Q247,$D247-(H247+M247)))</f>
        <v>0</v>
      </c>
      <c r="S247" s="55" t="n">
        <f aca="false">Q247+R247</f>
        <v>0</v>
      </c>
      <c r="T247" s="55" t="n">
        <f aca="false">ROUND(MAX(0,T246+U246-X246),2)</f>
        <v>0</v>
      </c>
      <c r="U247" s="55" t="n">
        <f aca="false">ROUND(T247*$E$8/12,2)</f>
        <v>0</v>
      </c>
      <c r="V247" s="55" t="n">
        <f aca="false">MIN($F$8,T247+U247)</f>
        <v>0</v>
      </c>
      <c r="W247" s="55" t="n">
        <f aca="false">MAX(0,MIN(T247+U247-V247,$D247-(H247+M247+R247)))</f>
        <v>0</v>
      </c>
      <c r="X247" s="55" t="n">
        <f aca="false">V247+W247</f>
        <v>0</v>
      </c>
      <c r="Y247" s="55" t="n">
        <f aca="false">ROUND(MAX(0,Y246+Z246-AC246),2)</f>
        <v>0</v>
      </c>
      <c r="Z247" s="55" t="n">
        <f aca="false">ROUND(Y247*$E$9/12,2)</f>
        <v>0</v>
      </c>
      <c r="AA247" s="55" t="n">
        <f aca="false">MIN($F$9,Y247+Z247)</f>
        <v>0</v>
      </c>
      <c r="AB247" s="55" t="n">
        <f aca="false">MAX(0,MIN(Y247+Z247-AA247,$D247-(H247+M247+R247+W247)))</f>
        <v>0</v>
      </c>
      <c r="AC247" s="55" t="n">
        <f aca="false">AA247+AB247</f>
        <v>0</v>
      </c>
      <c r="AD247" s="55" t="n">
        <f aca="false">ROUND(MAX(0,AD246+AE246-AH246),2)</f>
        <v>0</v>
      </c>
      <c r="AE247" s="55" t="n">
        <f aca="false">ROUND(AD247*$E$10/12,2)</f>
        <v>0</v>
      </c>
      <c r="AF247" s="55" t="n">
        <f aca="false">MIN($F$10,AD247+AE247)</f>
        <v>0</v>
      </c>
      <c r="AG247" s="55" t="n">
        <f aca="false">MAX(0,MIN(AD247+AE247-AF247,$D247-(H247+M247+R247+W247+AB247)))</f>
        <v>0</v>
      </c>
      <c r="AH247" s="55" t="n">
        <f aca="false">AF247+AG247</f>
        <v>0</v>
      </c>
      <c r="AI247" s="55" t="n">
        <f aca="false">ROUND(MAX(0,AI246+AJ246-AM246),2)</f>
        <v>0</v>
      </c>
      <c r="AJ247" s="55" t="n">
        <f aca="false">ROUND(AI247*$E$11/12,2)</f>
        <v>0</v>
      </c>
      <c r="AK247" s="55" t="n">
        <f aca="false">MIN($F$11,AI247+AJ247)</f>
        <v>0</v>
      </c>
      <c r="AL247" s="55" t="n">
        <f aca="false">MAX(0,MIN(AI247+AJ247-AK247,$D247-(H247+M247+R247+W247+AB247+AG247)))</f>
        <v>0</v>
      </c>
      <c r="AM247" s="55" t="n">
        <f aca="false">AK247+AL247</f>
        <v>0</v>
      </c>
      <c r="AN247" s="55" t="n">
        <f aca="false">ROUND(MAX(0,AN246+AO246-AR246),2)</f>
        <v>0</v>
      </c>
      <c r="AO247" s="55" t="n">
        <f aca="false">ROUND(AN247*$E$12/12,2)</f>
        <v>0</v>
      </c>
      <c r="AP247" s="55" t="n">
        <f aca="false">MIN($F$12,AN247+AO247)</f>
        <v>0</v>
      </c>
      <c r="AQ247" s="55" t="n">
        <f aca="false">MAX(0,MIN(AN247+AO247-AP247,$D247-(H247+M247+R247+W247+AB247+AG247+AL247)))</f>
        <v>0</v>
      </c>
      <c r="AR247" s="55" t="n">
        <f aca="false">AP247+AQ247</f>
        <v>0</v>
      </c>
      <c r="AS247" s="55" t="n">
        <f aca="false">ROUND(MAX(0,AS246+AT246-AW246),2)</f>
        <v>0</v>
      </c>
      <c r="AT247" s="55" t="n">
        <f aca="false">ROUND(AS247*$E$13/12,2)</f>
        <v>0</v>
      </c>
      <c r="AU247" s="55" t="n">
        <f aca="false">MIN($F$13,AS247+AT247)</f>
        <v>0</v>
      </c>
      <c r="AV247" s="55" t="n">
        <f aca="false">MAX(0,MIN(AS247+AT247-AU247,$D247-(H247+M247+R247+W247+AB247+AG247+AL247+AQ247)))</f>
        <v>0</v>
      </c>
      <c r="AW247" s="55" t="n">
        <f aca="false">AU247+AV247</f>
        <v>0</v>
      </c>
      <c r="AX247" s="55" t="n">
        <f aca="false">ROUND(MAX(0,AX246+AY246-BB246),2)</f>
        <v>0</v>
      </c>
      <c r="AY247" s="55" t="n">
        <f aca="false">ROUND(AX247*$E$14/12,2)</f>
        <v>0</v>
      </c>
      <c r="AZ247" s="55" t="n">
        <f aca="false">MIN($F$14,AX247+AY247)</f>
        <v>0</v>
      </c>
      <c r="BA247" s="55" t="n">
        <f aca="false">MAX(0,MIN(AX247+AY247-AZ247,$D247-(H247+M247+R247+W247+AB247+AG247+AL247+AQ247+AV247)))</f>
        <v>0</v>
      </c>
      <c r="BB247" s="55" t="n">
        <f aca="false">AZ247+BA247</f>
        <v>0</v>
      </c>
      <c r="BC247" s="55" t="n">
        <f aca="false">I247+N247+S247+X247+AC247+AH247+AM247+AR247+AW247+BB247</f>
        <v>0</v>
      </c>
      <c r="BD247" s="55" t="n">
        <f aca="false">ROUND((E247+F247-I247)+(J247+K247-N247)+(O247+P247-S247)+(T247+U247-X247)+(Y247+Z247-AC247)+(AD247+AE247-AH247)+(AI247+AJ247-AM247)+(AN247+AO247-AR247)+(AS247+AT247-AW247)+(AX247+AY247-BB247),2)</f>
        <v>0</v>
      </c>
      <c r="BE247" s="25" t="str">
        <f aca="false">IF(H247&gt;0.005,$C$5,IF(M247&gt;0.005,$C$6,IF(R247&gt;0.005,$C$7,IF(W247&gt;0.005,$C$8,IF(AB247&gt;0.005,$C$9,IF(AG247&gt;0.005,$C$10,IF(AL247&gt;0.005,$C$11,IF(AQ247&gt;0.005,$C$12,IF(AV247&gt;0.005,$C$13,IF(BA247&gt;0.005,$C$14,""))))))))))</f>
        <v/>
      </c>
    </row>
    <row r="248" customFormat="false" ht="15" hidden="false" customHeight="false" outlineLevel="0" collapsed="false">
      <c r="A248" s="24" t="n">
        <v>225</v>
      </c>
      <c r="B248" s="54" t="n">
        <f aca="false">EDATE($C$17,A248-1)</f>
        <v>53144</v>
      </c>
      <c r="C248" s="55" t="n">
        <f aca="false">G248+L248+Q248+V248+AA248+AF248+AK248+AP248+AU248+AZ248</f>
        <v>0</v>
      </c>
      <c r="D248" s="55" t="n">
        <f aca="false">MAX(0,$C$16-C248)</f>
        <v>5822</v>
      </c>
      <c r="E248" s="55" t="n">
        <f aca="false">ROUND(MAX(0,E247+F247-I247),2)</f>
        <v>0</v>
      </c>
      <c r="F248" s="55" t="n">
        <f aca="false">ROUND(E248*$E$5/12,2)</f>
        <v>0</v>
      </c>
      <c r="G248" s="55" t="n">
        <f aca="false">MIN($F$5,E248+F248)</f>
        <v>0</v>
      </c>
      <c r="H248" s="55" t="n">
        <f aca="false">MAX(0,MIN(E248+F248-G248,$D248))</f>
        <v>0</v>
      </c>
      <c r="I248" s="55" t="n">
        <f aca="false">G248+H248</f>
        <v>0</v>
      </c>
      <c r="J248" s="55" t="n">
        <f aca="false">ROUND(MAX(0,J247+K247-N247),2)</f>
        <v>0</v>
      </c>
      <c r="K248" s="55" t="n">
        <f aca="false">ROUND(J248*$E$6/12,2)</f>
        <v>0</v>
      </c>
      <c r="L248" s="55" t="n">
        <f aca="false">MIN($F$6,J248+K248)</f>
        <v>0</v>
      </c>
      <c r="M248" s="55" t="n">
        <f aca="false">MAX(0,MIN(J248+K248-L248,$D248-(H248)))</f>
        <v>0</v>
      </c>
      <c r="N248" s="55" t="n">
        <f aca="false">L248+M248</f>
        <v>0</v>
      </c>
      <c r="O248" s="55" t="n">
        <f aca="false">ROUND(MAX(0,O247+P247-S247),2)</f>
        <v>0</v>
      </c>
      <c r="P248" s="55" t="n">
        <f aca="false">ROUND(O248*$E$7/12,2)</f>
        <v>0</v>
      </c>
      <c r="Q248" s="55" t="n">
        <f aca="false">MIN($F$7,O248+P248)</f>
        <v>0</v>
      </c>
      <c r="R248" s="55" t="n">
        <f aca="false">MAX(0,MIN(O248+P248-Q248,$D248-(H248+M248)))</f>
        <v>0</v>
      </c>
      <c r="S248" s="55" t="n">
        <f aca="false">Q248+R248</f>
        <v>0</v>
      </c>
      <c r="T248" s="55" t="n">
        <f aca="false">ROUND(MAX(0,T247+U247-X247),2)</f>
        <v>0</v>
      </c>
      <c r="U248" s="55" t="n">
        <f aca="false">ROUND(T248*$E$8/12,2)</f>
        <v>0</v>
      </c>
      <c r="V248" s="55" t="n">
        <f aca="false">MIN($F$8,T248+U248)</f>
        <v>0</v>
      </c>
      <c r="W248" s="55" t="n">
        <f aca="false">MAX(0,MIN(T248+U248-V248,$D248-(H248+M248+R248)))</f>
        <v>0</v>
      </c>
      <c r="X248" s="55" t="n">
        <f aca="false">V248+W248</f>
        <v>0</v>
      </c>
      <c r="Y248" s="55" t="n">
        <f aca="false">ROUND(MAX(0,Y247+Z247-AC247),2)</f>
        <v>0</v>
      </c>
      <c r="Z248" s="55" t="n">
        <f aca="false">ROUND(Y248*$E$9/12,2)</f>
        <v>0</v>
      </c>
      <c r="AA248" s="55" t="n">
        <f aca="false">MIN($F$9,Y248+Z248)</f>
        <v>0</v>
      </c>
      <c r="AB248" s="55" t="n">
        <f aca="false">MAX(0,MIN(Y248+Z248-AA248,$D248-(H248+M248+R248+W248)))</f>
        <v>0</v>
      </c>
      <c r="AC248" s="55" t="n">
        <f aca="false">AA248+AB248</f>
        <v>0</v>
      </c>
      <c r="AD248" s="55" t="n">
        <f aca="false">ROUND(MAX(0,AD247+AE247-AH247),2)</f>
        <v>0</v>
      </c>
      <c r="AE248" s="55" t="n">
        <f aca="false">ROUND(AD248*$E$10/12,2)</f>
        <v>0</v>
      </c>
      <c r="AF248" s="55" t="n">
        <f aca="false">MIN($F$10,AD248+AE248)</f>
        <v>0</v>
      </c>
      <c r="AG248" s="55" t="n">
        <f aca="false">MAX(0,MIN(AD248+AE248-AF248,$D248-(H248+M248+R248+W248+AB248)))</f>
        <v>0</v>
      </c>
      <c r="AH248" s="55" t="n">
        <f aca="false">AF248+AG248</f>
        <v>0</v>
      </c>
      <c r="AI248" s="55" t="n">
        <f aca="false">ROUND(MAX(0,AI247+AJ247-AM247),2)</f>
        <v>0</v>
      </c>
      <c r="AJ248" s="55" t="n">
        <f aca="false">ROUND(AI248*$E$11/12,2)</f>
        <v>0</v>
      </c>
      <c r="AK248" s="55" t="n">
        <f aca="false">MIN($F$11,AI248+AJ248)</f>
        <v>0</v>
      </c>
      <c r="AL248" s="55" t="n">
        <f aca="false">MAX(0,MIN(AI248+AJ248-AK248,$D248-(H248+M248+R248+W248+AB248+AG248)))</f>
        <v>0</v>
      </c>
      <c r="AM248" s="55" t="n">
        <f aca="false">AK248+AL248</f>
        <v>0</v>
      </c>
      <c r="AN248" s="55" t="n">
        <f aca="false">ROUND(MAX(0,AN247+AO247-AR247),2)</f>
        <v>0</v>
      </c>
      <c r="AO248" s="55" t="n">
        <f aca="false">ROUND(AN248*$E$12/12,2)</f>
        <v>0</v>
      </c>
      <c r="AP248" s="55" t="n">
        <f aca="false">MIN($F$12,AN248+AO248)</f>
        <v>0</v>
      </c>
      <c r="AQ248" s="55" t="n">
        <f aca="false">MAX(0,MIN(AN248+AO248-AP248,$D248-(H248+M248+R248+W248+AB248+AG248+AL248)))</f>
        <v>0</v>
      </c>
      <c r="AR248" s="55" t="n">
        <f aca="false">AP248+AQ248</f>
        <v>0</v>
      </c>
      <c r="AS248" s="55" t="n">
        <f aca="false">ROUND(MAX(0,AS247+AT247-AW247),2)</f>
        <v>0</v>
      </c>
      <c r="AT248" s="55" t="n">
        <f aca="false">ROUND(AS248*$E$13/12,2)</f>
        <v>0</v>
      </c>
      <c r="AU248" s="55" t="n">
        <f aca="false">MIN($F$13,AS248+AT248)</f>
        <v>0</v>
      </c>
      <c r="AV248" s="55" t="n">
        <f aca="false">MAX(0,MIN(AS248+AT248-AU248,$D248-(H248+M248+R248+W248+AB248+AG248+AL248+AQ248)))</f>
        <v>0</v>
      </c>
      <c r="AW248" s="55" t="n">
        <f aca="false">AU248+AV248</f>
        <v>0</v>
      </c>
      <c r="AX248" s="55" t="n">
        <f aca="false">ROUND(MAX(0,AX247+AY247-BB247),2)</f>
        <v>0</v>
      </c>
      <c r="AY248" s="55" t="n">
        <f aca="false">ROUND(AX248*$E$14/12,2)</f>
        <v>0</v>
      </c>
      <c r="AZ248" s="55" t="n">
        <f aca="false">MIN($F$14,AX248+AY248)</f>
        <v>0</v>
      </c>
      <c r="BA248" s="55" t="n">
        <f aca="false">MAX(0,MIN(AX248+AY248-AZ248,$D248-(H248+M248+R248+W248+AB248+AG248+AL248+AQ248+AV248)))</f>
        <v>0</v>
      </c>
      <c r="BB248" s="55" t="n">
        <f aca="false">AZ248+BA248</f>
        <v>0</v>
      </c>
      <c r="BC248" s="55" t="n">
        <f aca="false">I248+N248+S248+X248+AC248+AH248+AM248+AR248+AW248+BB248</f>
        <v>0</v>
      </c>
      <c r="BD248" s="55" t="n">
        <f aca="false">ROUND((E248+F248-I248)+(J248+K248-N248)+(O248+P248-S248)+(T248+U248-X248)+(Y248+Z248-AC248)+(AD248+AE248-AH248)+(AI248+AJ248-AM248)+(AN248+AO248-AR248)+(AS248+AT248-AW248)+(AX248+AY248-BB248),2)</f>
        <v>0</v>
      </c>
      <c r="BE248" s="25" t="str">
        <f aca="false">IF(H248&gt;0.005,$C$5,IF(M248&gt;0.005,$C$6,IF(R248&gt;0.005,$C$7,IF(W248&gt;0.005,$C$8,IF(AB248&gt;0.005,$C$9,IF(AG248&gt;0.005,$C$10,IF(AL248&gt;0.005,$C$11,IF(AQ248&gt;0.005,$C$12,IF(AV248&gt;0.005,$C$13,IF(BA248&gt;0.005,$C$14,""))))))))))</f>
        <v/>
      </c>
    </row>
    <row r="249" customFormat="false" ht="15" hidden="false" customHeight="false" outlineLevel="0" collapsed="false">
      <c r="A249" s="24" t="n">
        <v>226</v>
      </c>
      <c r="B249" s="54" t="n">
        <f aca="false">EDATE($C$17,A249-1)</f>
        <v>53175</v>
      </c>
      <c r="C249" s="55" t="n">
        <f aca="false">G249+L249+Q249+V249+AA249+AF249+AK249+AP249+AU249+AZ249</f>
        <v>0</v>
      </c>
      <c r="D249" s="55" t="n">
        <f aca="false">MAX(0,$C$16-C249)</f>
        <v>5822</v>
      </c>
      <c r="E249" s="55" t="n">
        <f aca="false">ROUND(MAX(0,E248+F248-I248),2)</f>
        <v>0</v>
      </c>
      <c r="F249" s="55" t="n">
        <f aca="false">ROUND(E249*$E$5/12,2)</f>
        <v>0</v>
      </c>
      <c r="G249" s="55" t="n">
        <f aca="false">MIN($F$5,E249+F249)</f>
        <v>0</v>
      </c>
      <c r="H249" s="55" t="n">
        <f aca="false">MAX(0,MIN(E249+F249-G249,$D249))</f>
        <v>0</v>
      </c>
      <c r="I249" s="55" t="n">
        <f aca="false">G249+H249</f>
        <v>0</v>
      </c>
      <c r="J249" s="55" t="n">
        <f aca="false">ROUND(MAX(0,J248+K248-N248),2)</f>
        <v>0</v>
      </c>
      <c r="K249" s="55" t="n">
        <f aca="false">ROUND(J249*$E$6/12,2)</f>
        <v>0</v>
      </c>
      <c r="L249" s="55" t="n">
        <f aca="false">MIN($F$6,J249+K249)</f>
        <v>0</v>
      </c>
      <c r="M249" s="55" t="n">
        <f aca="false">MAX(0,MIN(J249+K249-L249,$D249-(H249)))</f>
        <v>0</v>
      </c>
      <c r="N249" s="55" t="n">
        <f aca="false">L249+M249</f>
        <v>0</v>
      </c>
      <c r="O249" s="55" t="n">
        <f aca="false">ROUND(MAX(0,O248+P248-S248),2)</f>
        <v>0</v>
      </c>
      <c r="P249" s="55" t="n">
        <f aca="false">ROUND(O249*$E$7/12,2)</f>
        <v>0</v>
      </c>
      <c r="Q249" s="55" t="n">
        <f aca="false">MIN($F$7,O249+P249)</f>
        <v>0</v>
      </c>
      <c r="R249" s="55" t="n">
        <f aca="false">MAX(0,MIN(O249+P249-Q249,$D249-(H249+M249)))</f>
        <v>0</v>
      </c>
      <c r="S249" s="55" t="n">
        <f aca="false">Q249+R249</f>
        <v>0</v>
      </c>
      <c r="T249" s="55" t="n">
        <f aca="false">ROUND(MAX(0,T248+U248-X248),2)</f>
        <v>0</v>
      </c>
      <c r="U249" s="55" t="n">
        <f aca="false">ROUND(T249*$E$8/12,2)</f>
        <v>0</v>
      </c>
      <c r="V249" s="55" t="n">
        <f aca="false">MIN($F$8,T249+U249)</f>
        <v>0</v>
      </c>
      <c r="W249" s="55" t="n">
        <f aca="false">MAX(0,MIN(T249+U249-V249,$D249-(H249+M249+R249)))</f>
        <v>0</v>
      </c>
      <c r="X249" s="55" t="n">
        <f aca="false">V249+W249</f>
        <v>0</v>
      </c>
      <c r="Y249" s="55" t="n">
        <f aca="false">ROUND(MAX(0,Y248+Z248-AC248),2)</f>
        <v>0</v>
      </c>
      <c r="Z249" s="55" t="n">
        <f aca="false">ROUND(Y249*$E$9/12,2)</f>
        <v>0</v>
      </c>
      <c r="AA249" s="55" t="n">
        <f aca="false">MIN($F$9,Y249+Z249)</f>
        <v>0</v>
      </c>
      <c r="AB249" s="55" t="n">
        <f aca="false">MAX(0,MIN(Y249+Z249-AA249,$D249-(H249+M249+R249+W249)))</f>
        <v>0</v>
      </c>
      <c r="AC249" s="55" t="n">
        <f aca="false">AA249+AB249</f>
        <v>0</v>
      </c>
      <c r="AD249" s="55" t="n">
        <f aca="false">ROUND(MAX(0,AD248+AE248-AH248),2)</f>
        <v>0</v>
      </c>
      <c r="AE249" s="55" t="n">
        <f aca="false">ROUND(AD249*$E$10/12,2)</f>
        <v>0</v>
      </c>
      <c r="AF249" s="55" t="n">
        <f aca="false">MIN($F$10,AD249+AE249)</f>
        <v>0</v>
      </c>
      <c r="AG249" s="55" t="n">
        <f aca="false">MAX(0,MIN(AD249+AE249-AF249,$D249-(H249+M249+R249+W249+AB249)))</f>
        <v>0</v>
      </c>
      <c r="AH249" s="55" t="n">
        <f aca="false">AF249+AG249</f>
        <v>0</v>
      </c>
      <c r="AI249" s="55" t="n">
        <f aca="false">ROUND(MAX(0,AI248+AJ248-AM248),2)</f>
        <v>0</v>
      </c>
      <c r="AJ249" s="55" t="n">
        <f aca="false">ROUND(AI249*$E$11/12,2)</f>
        <v>0</v>
      </c>
      <c r="AK249" s="55" t="n">
        <f aca="false">MIN($F$11,AI249+AJ249)</f>
        <v>0</v>
      </c>
      <c r="AL249" s="55" t="n">
        <f aca="false">MAX(0,MIN(AI249+AJ249-AK249,$D249-(H249+M249+R249+W249+AB249+AG249)))</f>
        <v>0</v>
      </c>
      <c r="AM249" s="55" t="n">
        <f aca="false">AK249+AL249</f>
        <v>0</v>
      </c>
      <c r="AN249" s="55" t="n">
        <f aca="false">ROUND(MAX(0,AN248+AO248-AR248),2)</f>
        <v>0</v>
      </c>
      <c r="AO249" s="55" t="n">
        <f aca="false">ROUND(AN249*$E$12/12,2)</f>
        <v>0</v>
      </c>
      <c r="AP249" s="55" t="n">
        <f aca="false">MIN($F$12,AN249+AO249)</f>
        <v>0</v>
      </c>
      <c r="AQ249" s="55" t="n">
        <f aca="false">MAX(0,MIN(AN249+AO249-AP249,$D249-(H249+M249+R249+W249+AB249+AG249+AL249)))</f>
        <v>0</v>
      </c>
      <c r="AR249" s="55" t="n">
        <f aca="false">AP249+AQ249</f>
        <v>0</v>
      </c>
      <c r="AS249" s="55" t="n">
        <f aca="false">ROUND(MAX(0,AS248+AT248-AW248),2)</f>
        <v>0</v>
      </c>
      <c r="AT249" s="55" t="n">
        <f aca="false">ROUND(AS249*$E$13/12,2)</f>
        <v>0</v>
      </c>
      <c r="AU249" s="55" t="n">
        <f aca="false">MIN($F$13,AS249+AT249)</f>
        <v>0</v>
      </c>
      <c r="AV249" s="55" t="n">
        <f aca="false">MAX(0,MIN(AS249+AT249-AU249,$D249-(H249+M249+R249+W249+AB249+AG249+AL249+AQ249)))</f>
        <v>0</v>
      </c>
      <c r="AW249" s="55" t="n">
        <f aca="false">AU249+AV249</f>
        <v>0</v>
      </c>
      <c r="AX249" s="55" t="n">
        <f aca="false">ROUND(MAX(0,AX248+AY248-BB248),2)</f>
        <v>0</v>
      </c>
      <c r="AY249" s="55" t="n">
        <f aca="false">ROUND(AX249*$E$14/12,2)</f>
        <v>0</v>
      </c>
      <c r="AZ249" s="55" t="n">
        <f aca="false">MIN($F$14,AX249+AY249)</f>
        <v>0</v>
      </c>
      <c r="BA249" s="55" t="n">
        <f aca="false">MAX(0,MIN(AX249+AY249-AZ249,$D249-(H249+M249+R249+W249+AB249+AG249+AL249+AQ249+AV249)))</f>
        <v>0</v>
      </c>
      <c r="BB249" s="55" t="n">
        <f aca="false">AZ249+BA249</f>
        <v>0</v>
      </c>
      <c r="BC249" s="55" t="n">
        <f aca="false">I249+N249+S249+X249+AC249+AH249+AM249+AR249+AW249+BB249</f>
        <v>0</v>
      </c>
      <c r="BD249" s="55" t="n">
        <f aca="false">ROUND((E249+F249-I249)+(J249+K249-N249)+(O249+P249-S249)+(T249+U249-X249)+(Y249+Z249-AC249)+(AD249+AE249-AH249)+(AI249+AJ249-AM249)+(AN249+AO249-AR249)+(AS249+AT249-AW249)+(AX249+AY249-BB249),2)</f>
        <v>0</v>
      </c>
      <c r="BE249" s="25" t="str">
        <f aca="false">IF(H249&gt;0.005,$C$5,IF(M249&gt;0.005,$C$6,IF(R249&gt;0.005,$C$7,IF(W249&gt;0.005,$C$8,IF(AB249&gt;0.005,$C$9,IF(AG249&gt;0.005,$C$10,IF(AL249&gt;0.005,$C$11,IF(AQ249&gt;0.005,$C$12,IF(AV249&gt;0.005,$C$13,IF(BA249&gt;0.005,$C$14,""))))))))))</f>
        <v/>
      </c>
    </row>
    <row r="250" customFormat="false" ht="15" hidden="false" customHeight="false" outlineLevel="0" collapsed="false">
      <c r="A250" s="24" t="n">
        <v>227</v>
      </c>
      <c r="B250" s="54" t="n">
        <f aca="false">EDATE($C$17,A250-1)</f>
        <v>53206</v>
      </c>
      <c r="C250" s="55" t="n">
        <f aca="false">G250+L250+Q250+V250+AA250+AF250+AK250+AP250+AU250+AZ250</f>
        <v>0</v>
      </c>
      <c r="D250" s="55" t="n">
        <f aca="false">MAX(0,$C$16-C250)</f>
        <v>5822</v>
      </c>
      <c r="E250" s="55" t="n">
        <f aca="false">ROUND(MAX(0,E249+F249-I249),2)</f>
        <v>0</v>
      </c>
      <c r="F250" s="55" t="n">
        <f aca="false">ROUND(E250*$E$5/12,2)</f>
        <v>0</v>
      </c>
      <c r="G250" s="55" t="n">
        <f aca="false">MIN($F$5,E250+F250)</f>
        <v>0</v>
      </c>
      <c r="H250" s="55" t="n">
        <f aca="false">MAX(0,MIN(E250+F250-G250,$D250))</f>
        <v>0</v>
      </c>
      <c r="I250" s="55" t="n">
        <f aca="false">G250+H250</f>
        <v>0</v>
      </c>
      <c r="J250" s="55" t="n">
        <f aca="false">ROUND(MAX(0,J249+K249-N249),2)</f>
        <v>0</v>
      </c>
      <c r="K250" s="55" t="n">
        <f aca="false">ROUND(J250*$E$6/12,2)</f>
        <v>0</v>
      </c>
      <c r="L250" s="55" t="n">
        <f aca="false">MIN($F$6,J250+K250)</f>
        <v>0</v>
      </c>
      <c r="M250" s="55" t="n">
        <f aca="false">MAX(0,MIN(J250+K250-L250,$D250-(H250)))</f>
        <v>0</v>
      </c>
      <c r="N250" s="55" t="n">
        <f aca="false">L250+M250</f>
        <v>0</v>
      </c>
      <c r="O250" s="55" t="n">
        <f aca="false">ROUND(MAX(0,O249+P249-S249),2)</f>
        <v>0</v>
      </c>
      <c r="P250" s="55" t="n">
        <f aca="false">ROUND(O250*$E$7/12,2)</f>
        <v>0</v>
      </c>
      <c r="Q250" s="55" t="n">
        <f aca="false">MIN($F$7,O250+P250)</f>
        <v>0</v>
      </c>
      <c r="R250" s="55" t="n">
        <f aca="false">MAX(0,MIN(O250+P250-Q250,$D250-(H250+M250)))</f>
        <v>0</v>
      </c>
      <c r="S250" s="55" t="n">
        <f aca="false">Q250+R250</f>
        <v>0</v>
      </c>
      <c r="T250" s="55" t="n">
        <f aca="false">ROUND(MAX(0,T249+U249-X249),2)</f>
        <v>0</v>
      </c>
      <c r="U250" s="55" t="n">
        <f aca="false">ROUND(T250*$E$8/12,2)</f>
        <v>0</v>
      </c>
      <c r="V250" s="55" t="n">
        <f aca="false">MIN($F$8,T250+U250)</f>
        <v>0</v>
      </c>
      <c r="W250" s="55" t="n">
        <f aca="false">MAX(0,MIN(T250+U250-V250,$D250-(H250+M250+R250)))</f>
        <v>0</v>
      </c>
      <c r="X250" s="55" t="n">
        <f aca="false">V250+W250</f>
        <v>0</v>
      </c>
      <c r="Y250" s="55" t="n">
        <f aca="false">ROUND(MAX(0,Y249+Z249-AC249),2)</f>
        <v>0</v>
      </c>
      <c r="Z250" s="55" t="n">
        <f aca="false">ROUND(Y250*$E$9/12,2)</f>
        <v>0</v>
      </c>
      <c r="AA250" s="55" t="n">
        <f aca="false">MIN($F$9,Y250+Z250)</f>
        <v>0</v>
      </c>
      <c r="AB250" s="55" t="n">
        <f aca="false">MAX(0,MIN(Y250+Z250-AA250,$D250-(H250+M250+R250+W250)))</f>
        <v>0</v>
      </c>
      <c r="AC250" s="55" t="n">
        <f aca="false">AA250+AB250</f>
        <v>0</v>
      </c>
      <c r="AD250" s="55" t="n">
        <f aca="false">ROUND(MAX(0,AD249+AE249-AH249),2)</f>
        <v>0</v>
      </c>
      <c r="AE250" s="55" t="n">
        <f aca="false">ROUND(AD250*$E$10/12,2)</f>
        <v>0</v>
      </c>
      <c r="AF250" s="55" t="n">
        <f aca="false">MIN($F$10,AD250+AE250)</f>
        <v>0</v>
      </c>
      <c r="AG250" s="55" t="n">
        <f aca="false">MAX(0,MIN(AD250+AE250-AF250,$D250-(H250+M250+R250+W250+AB250)))</f>
        <v>0</v>
      </c>
      <c r="AH250" s="55" t="n">
        <f aca="false">AF250+AG250</f>
        <v>0</v>
      </c>
      <c r="AI250" s="55" t="n">
        <f aca="false">ROUND(MAX(0,AI249+AJ249-AM249),2)</f>
        <v>0</v>
      </c>
      <c r="AJ250" s="55" t="n">
        <f aca="false">ROUND(AI250*$E$11/12,2)</f>
        <v>0</v>
      </c>
      <c r="AK250" s="55" t="n">
        <f aca="false">MIN($F$11,AI250+AJ250)</f>
        <v>0</v>
      </c>
      <c r="AL250" s="55" t="n">
        <f aca="false">MAX(0,MIN(AI250+AJ250-AK250,$D250-(H250+M250+R250+W250+AB250+AG250)))</f>
        <v>0</v>
      </c>
      <c r="AM250" s="55" t="n">
        <f aca="false">AK250+AL250</f>
        <v>0</v>
      </c>
      <c r="AN250" s="55" t="n">
        <f aca="false">ROUND(MAX(0,AN249+AO249-AR249),2)</f>
        <v>0</v>
      </c>
      <c r="AO250" s="55" t="n">
        <f aca="false">ROUND(AN250*$E$12/12,2)</f>
        <v>0</v>
      </c>
      <c r="AP250" s="55" t="n">
        <f aca="false">MIN($F$12,AN250+AO250)</f>
        <v>0</v>
      </c>
      <c r="AQ250" s="55" t="n">
        <f aca="false">MAX(0,MIN(AN250+AO250-AP250,$D250-(H250+M250+R250+W250+AB250+AG250+AL250)))</f>
        <v>0</v>
      </c>
      <c r="AR250" s="55" t="n">
        <f aca="false">AP250+AQ250</f>
        <v>0</v>
      </c>
      <c r="AS250" s="55" t="n">
        <f aca="false">ROUND(MAX(0,AS249+AT249-AW249),2)</f>
        <v>0</v>
      </c>
      <c r="AT250" s="55" t="n">
        <f aca="false">ROUND(AS250*$E$13/12,2)</f>
        <v>0</v>
      </c>
      <c r="AU250" s="55" t="n">
        <f aca="false">MIN($F$13,AS250+AT250)</f>
        <v>0</v>
      </c>
      <c r="AV250" s="55" t="n">
        <f aca="false">MAX(0,MIN(AS250+AT250-AU250,$D250-(H250+M250+R250+W250+AB250+AG250+AL250+AQ250)))</f>
        <v>0</v>
      </c>
      <c r="AW250" s="55" t="n">
        <f aca="false">AU250+AV250</f>
        <v>0</v>
      </c>
      <c r="AX250" s="55" t="n">
        <f aca="false">ROUND(MAX(0,AX249+AY249-BB249),2)</f>
        <v>0</v>
      </c>
      <c r="AY250" s="55" t="n">
        <f aca="false">ROUND(AX250*$E$14/12,2)</f>
        <v>0</v>
      </c>
      <c r="AZ250" s="55" t="n">
        <f aca="false">MIN($F$14,AX250+AY250)</f>
        <v>0</v>
      </c>
      <c r="BA250" s="55" t="n">
        <f aca="false">MAX(0,MIN(AX250+AY250-AZ250,$D250-(H250+M250+R250+W250+AB250+AG250+AL250+AQ250+AV250)))</f>
        <v>0</v>
      </c>
      <c r="BB250" s="55" t="n">
        <f aca="false">AZ250+BA250</f>
        <v>0</v>
      </c>
      <c r="BC250" s="55" t="n">
        <f aca="false">I250+N250+S250+X250+AC250+AH250+AM250+AR250+AW250+BB250</f>
        <v>0</v>
      </c>
      <c r="BD250" s="55" t="n">
        <f aca="false">ROUND((E250+F250-I250)+(J250+K250-N250)+(O250+P250-S250)+(T250+U250-X250)+(Y250+Z250-AC250)+(AD250+AE250-AH250)+(AI250+AJ250-AM250)+(AN250+AO250-AR250)+(AS250+AT250-AW250)+(AX250+AY250-BB250),2)</f>
        <v>0</v>
      </c>
      <c r="BE250" s="25" t="str">
        <f aca="false">IF(H250&gt;0.005,$C$5,IF(M250&gt;0.005,$C$6,IF(R250&gt;0.005,$C$7,IF(W250&gt;0.005,$C$8,IF(AB250&gt;0.005,$C$9,IF(AG250&gt;0.005,$C$10,IF(AL250&gt;0.005,$C$11,IF(AQ250&gt;0.005,$C$12,IF(AV250&gt;0.005,$C$13,IF(BA250&gt;0.005,$C$14,""))))))))))</f>
        <v/>
      </c>
    </row>
    <row r="251" customFormat="false" ht="15" hidden="false" customHeight="false" outlineLevel="0" collapsed="false">
      <c r="A251" s="24" t="n">
        <v>228</v>
      </c>
      <c r="B251" s="54" t="n">
        <f aca="false">EDATE($C$17,A251-1)</f>
        <v>53236</v>
      </c>
      <c r="C251" s="55" t="n">
        <f aca="false">G251+L251+Q251+V251+AA251+AF251+AK251+AP251+AU251+AZ251</f>
        <v>0</v>
      </c>
      <c r="D251" s="55" t="n">
        <f aca="false">MAX(0,$C$16-C251)</f>
        <v>5822</v>
      </c>
      <c r="E251" s="55" t="n">
        <f aca="false">ROUND(MAX(0,E250+F250-I250),2)</f>
        <v>0</v>
      </c>
      <c r="F251" s="55" t="n">
        <f aca="false">ROUND(E251*$E$5/12,2)</f>
        <v>0</v>
      </c>
      <c r="G251" s="55" t="n">
        <f aca="false">MIN($F$5,E251+F251)</f>
        <v>0</v>
      </c>
      <c r="H251" s="55" t="n">
        <f aca="false">MAX(0,MIN(E251+F251-G251,$D251))</f>
        <v>0</v>
      </c>
      <c r="I251" s="55" t="n">
        <f aca="false">G251+H251</f>
        <v>0</v>
      </c>
      <c r="J251" s="55" t="n">
        <f aca="false">ROUND(MAX(0,J250+K250-N250),2)</f>
        <v>0</v>
      </c>
      <c r="K251" s="55" t="n">
        <f aca="false">ROUND(J251*$E$6/12,2)</f>
        <v>0</v>
      </c>
      <c r="L251" s="55" t="n">
        <f aca="false">MIN($F$6,J251+K251)</f>
        <v>0</v>
      </c>
      <c r="M251" s="55" t="n">
        <f aca="false">MAX(0,MIN(J251+K251-L251,$D251-(H251)))</f>
        <v>0</v>
      </c>
      <c r="N251" s="55" t="n">
        <f aca="false">L251+M251</f>
        <v>0</v>
      </c>
      <c r="O251" s="55" t="n">
        <f aca="false">ROUND(MAX(0,O250+P250-S250),2)</f>
        <v>0</v>
      </c>
      <c r="P251" s="55" t="n">
        <f aca="false">ROUND(O251*$E$7/12,2)</f>
        <v>0</v>
      </c>
      <c r="Q251" s="55" t="n">
        <f aca="false">MIN($F$7,O251+P251)</f>
        <v>0</v>
      </c>
      <c r="R251" s="55" t="n">
        <f aca="false">MAX(0,MIN(O251+P251-Q251,$D251-(H251+M251)))</f>
        <v>0</v>
      </c>
      <c r="S251" s="55" t="n">
        <f aca="false">Q251+R251</f>
        <v>0</v>
      </c>
      <c r="T251" s="55" t="n">
        <f aca="false">ROUND(MAX(0,T250+U250-X250),2)</f>
        <v>0</v>
      </c>
      <c r="U251" s="55" t="n">
        <f aca="false">ROUND(T251*$E$8/12,2)</f>
        <v>0</v>
      </c>
      <c r="V251" s="55" t="n">
        <f aca="false">MIN($F$8,T251+U251)</f>
        <v>0</v>
      </c>
      <c r="W251" s="55" t="n">
        <f aca="false">MAX(0,MIN(T251+U251-V251,$D251-(H251+M251+R251)))</f>
        <v>0</v>
      </c>
      <c r="X251" s="55" t="n">
        <f aca="false">V251+W251</f>
        <v>0</v>
      </c>
      <c r="Y251" s="55" t="n">
        <f aca="false">ROUND(MAX(0,Y250+Z250-AC250),2)</f>
        <v>0</v>
      </c>
      <c r="Z251" s="55" t="n">
        <f aca="false">ROUND(Y251*$E$9/12,2)</f>
        <v>0</v>
      </c>
      <c r="AA251" s="55" t="n">
        <f aca="false">MIN($F$9,Y251+Z251)</f>
        <v>0</v>
      </c>
      <c r="AB251" s="55" t="n">
        <f aca="false">MAX(0,MIN(Y251+Z251-AA251,$D251-(H251+M251+R251+W251)))</f>
        <v>0</v>
      </c>
      <c r="AC251" s="55" t="n">
        <f aca="false">AA251+AB251</f>
        <v>0</v>
      </c>
      <c r="AD251" s="55" t="n">
        <f aca="false">ROUND(MAX(0,AD250+AE250-AH250),2)</f>
        <v>0</v>
      </c>
      <c r="AE251" s="55" t="n">
        <f aca="false">ROUND(AD251*$E$10/12,2)</f>
        <v>0</v>
      </c>
      <c r="AF251" s="55" t="n">
        <f aca="false">MIN($F$10,AD251+AE251)</f>
        <v>0</v>
      </c>
      <c r="AG251" s="55" t="n">
        <f aca="false">MAX(0,MIN(AD251+AE251-AF251,$D251-(H251+M251+R251+W251+AB251)))</f>
        <v>0</v>
      </c>
      <c r="AH251" s="55" t="n">
        <f aca="false">AF251+AG251</f>
        <v>0</v>
      </c>
      <c r="AI251" s="55" t="n">
        <f aca="false">ROUND(MAX(0,AI250+AJ250-AM250),2)</f>
        <v>0</v>
      </c>
      <c r="AJ251" s="55" t="n">
        <f aca="false">ROUND(AI251*$E$11/12,2)</f>
        <v>0</v>
      </c>
      <c r="AK251" s="55" t="n">
        <f aca="false">MIN($F$11,AI251+AJ251)</f>
        <v>0</v>
      </c>
      <c r="AL251" s="55" t="n">
        <f aca="false">MAX(0,MIN(AI251+AJ251-AK251,$D251-(H251+M251+R251+W251+AB251+AG251)))</f>
        <v>0</v>
      </c>
      <c r="AM251" s="55" t="n">
        <f aca="false">AK251+AL251</f>
        <v>0</v>
      </c>
      <c r="AN251" s="55" t="n">
        <f aca="false">ROUND(MAX(0,AN250+AO250-AR250),2)</f>
        <v>0</v>
      </c>
      <c r="AO251" s="55" t="n">
        <f aca="false">ROUND(AN251*$E$12/12,2)</f>
        <v>0</v>
      </c>
      <c r="AP251" s="55" t="n">
        <f aca="false">MIN($F$12,AN251+AO251)</f>
        <v>0</v>
      </c>
      <c r="AQ251" s="55" t="n">
        <f aca="false">MAX(0,MIN(AN251+AO251-AP251,$D251-(H251+M251+R251+W251+AB251+AG251+AL251)))</f>
        <v>0</v>
      </c>
      <c r="AR251" s="55" t="n">
        <f aca="false">AP251+AQ251</f>
        <v>0</v>
      </c>
      <c r="AS251" s="55" t="n">
        <f aca="false">ROUND(MAX(0,AS250+AT250-AW250),2)</f>
        <v>0</v>
      </c>
      <c r="AT251" s="55" t="n">
        <f aca="false">ROUND(AS251*$E$13/12,2)</f>
        <v>0</v>
      </c>
      <c r="AU251" s="55" t="n">
        <f aca="false">MIN($F$13,AS251+AT251)</f>
        <v>0</v>
      </c>
      <c r="AV251" s="55" t="n">
        <f aca="false">MAX(0,MIN(AS251+AT251-AU251,$D251-(H251+M251+R251+W251+AB251+AG251+AL251+AQ251)))</f>
        <v>0</v>
      </c>
      <c r="AW251" s="55" t="n">
        <f aca="false">AU251+AV251</f>
        <v>0</v>
      </c>
      <c r="AX251" s="55" t="n">
        <f aca="false">ROUND(MAX(0,AX250+AY250-BB250),2)</f>
        <v>0</v>
      </c>
      <c r="AY251" s="55" t="n">
        <f aca="false">ROUND(AX251*$E$14/12,2)</f>
        <v>0</v>
      </c>
      <c r="AZ251" s="55" t="n">
        <f aca="false">MIN($F$14,AX251+AY251)</f>
        <v>0</v>
      </c>
      <c r="BA251" s="55" t="n">
        <f aca="false">MAX(0,MIN(AX251+AY251-AZ251,$D251-(H251+M251+R251+W251+AB251+AG251+AL251+AQ251+AV251)))</f>
        <v>0</v>
      </c>
      <c r="BB251" s="55" t="n">
        <f aca="false">AZ251+BA251</f>
        <v>0</v>
      </c>
      <c r="BC251" s="55" t="n">
        <f aca="false">I251+N251+S251+X251+AC251+AH251+AM251+AR251+AW251+BB251</f>
        <v>0</v>
      </c>
      <c r="BD251" s="55" t="n">
        <f aca="false">ROUND((E251+F251-I251)+(J251+K251-N251)+(O251+P251-S251)+(T251+U251-X251)+(Y251+Z251-AC251)+(AD251+AE251-AH251)+(AI251+AJ251-AM251)+(AN251+AO251-AR251)+(AS251+AT251-AW251)+(AX251+AY251-BB251),2)</f>
        <v>0</v>
      </c>
      <c r="BE251" s="25" t="str">
        <f aca="false">IF(H251&gt;0.005,$C$5,IF(M251&gt;0.005,$C$6,IF(R251&gt;0.005,$C$7,IF(W251&gt;0.005,$C$8,IF(AB251&gt;0.005,$C$9,IF(AG251&gt;0.005,$C$10,IF(AL251&gt;0.005,$C$11,IF(AQ251&gt;0.005,$C$12,IF(AV251&gt;0.005,$C$13,IF(BA251&gt;0.005,$C$14,""))))))))))</f>
        <v/>
      </c>
    </row>
    <row r="252" customFormat="false" ht="15" hidden="false" customHeight="false" outlineLevel="0" collapsed="false">
      <c r="A252" s="24" t="n">
        <v>229</v>
      </c>
      <c r="B252" s="54" t="n">
        <f aca="false">EDATE($C$17,A252-1)</f>
        <v>53267</v>
      </c>
      <c r="C252" s="55" t="n">
        <f aca="false">G252+L252+Q252+V252+AA252+AF252+AK252+AP252+AU252+AZ252</f>
        <v>0</v>
      </c>
      <c r="D252" s="55" t="n">
        <f aca="false">MAX(0,$C$16-C252)</f>
        <v>5822</v>
      </c>
      <c r="E252" s="55" t="n">
        <f aca="false">ROUND(MAX(0,E251+F251-I251),2)</f>
        <v>0</v>
      </c>
      <c r="F252" s="55" t="n">
        <f aca="false">ROUND(E252*$E$5/12,2)</f>
        <v>0</v>
      </c>
      <c r="G252" s="55" t="n">
        <f aca="false">MIN($F$5,E252+F252)</f>
        <v>0</v>
      </c>
      <c r="H252" s="55" t="n">
        <f aca="false">MAX(0,MIN(E252+F252-G252,$D252))</f>
        <v>0</v>
      </c>
      <c r="I252" s="55" t="n">
        <f aca="false">G252+H252</f>
        <v>0</v>
      </c>
      <c r="J252" s="55" t="n">
        <f aca="false">ROUND(MAX(0,J251+K251-N251),2)</f>
        <v>0</v>
      </c>
      <c r="K252" s="55" t="n">
        <f aca="false">ROUND(J252*$E$6/12,2)</f>
        <v>0</v>
      </c>
      <c r="L252" s="55" t="n">
        <f aca="false">MIN($F$6,J252+K252)</f>
        <v>0</v>
      </c>
      <c r="M252" s="55" t="n">
        <f aca="false">MAX(0,MIN(J252+K252-L252,$D252-(H252)))</f>
        <v>0</v>
      </c>
      <c r="N252" s="55" t="n">
        <f aca="false">L252+M252</f>
        <v>0</v>
      </c>
      <c r="O252" s="55" t="n">
        <f aca="false">ROUND(MAX(0,O251+P251-S251),2)</f>
        <v>0</v>
      </c>
      <c r="P252" s="55" t="n">
        <f aca="false">ROUND(O252*$E$7/12,2)</f>
        <v>0</v>
      </c>
      <c r="Q252" s="55" t="n">
        <f aca="false">MIN($F$7,O252+P252)</f>
        <v>0</v>
      </c>
      <c r="R252" s="55" t="n">
        <f aca="false">MAX(0,MIN(O252+P252-Q252,$D252-(H252+M252)))</f>
        <v>0</v>
      </c>
      <c r="S252" s="55" t="n">
        <f aca="false">Q252+R252</f>
        <v>0</v>
      </c>
      <c r="T252" s="55" t="n">
        <f aca="false">ROUND(MAX(0,T251+U251-X251),2)</f>
        <v>0</v>
      </c>
      <c r="U252" s="55" t="n">
        <f aca="false">ROUND(T252*$E$8/12,2)</f>
        <v>0</v>
      </c>
      <c r="V252" s="55" t="n">
        <f aca="false">MIN($F$8,T252+U252)</f>
        <v>0</v>
      </c>
      <c r="W252" s="55" t="n">
        <f aca="false">MAX(0,MIN(T252+U252-V252,$D252-(H252+M252+R252)))</f>
        <v>0</v>
      </c>
      <c r="X252" s="55" t="n">
        <f aca="false">V252+W252</f>
        <v>0</v>
      </c>
      <c r="Y252" s="55" t="n">
        <f aca="false">ROUND(MAX(0,Y251+Z251-AC251),2)</f>
        <v>0</v>
      </c>
      <c r="Z252" s="55" t="n">
        <f aca="false">ROUND(Y252*$E$9/12,2)</f>
        <v>0</v>
      </c>
      <c r="AA252" s="55" t="n">
        <f aca="false">MIN($F$9,Y252+Z252)</f>
        <v>0</v>
      </c>
      <c r="AB252" s="55" t="n">
        <f aca="false">MAX(0,MIN(Y252+Z252-AA252,$D252-(H252+M252+R252+W252)))</f>
        <v>0</v>
      </c>
      <c r="AC252" s="55" t="n">
        <f aca="false">AA252+AB252</f>
        <v>0</v>
      </c>
      <c r="AD252" s="55" t="n">
        <f aca="false">ROUND(MAX(0,AD251+AE251-AH251),2)</f>
        <v>0</v>
      </c>
      <c r="AE252" s="55" t="n">
        <f aca="false">ROUND(AD252*$E$10/12,2)</f>
        <v>0</v>
      </c>
      <c r="AF252" s="55" t="n">
        <f aca="false">MIN($F$10,AD252+AE252)</f>
        <v>0</v>
      </c>
      <c r="AG252" s="55" t="n">
        <f aca="false">MAX(0,MIN(AD252+AE252-AF252,$D252-(H252+M252+R252+W252+AB252)))</f>
        <v>0</v>
      </c>
      <c r="AH252" s="55" t="n">
        <f aca="false">AF252+AG252</f>
        <v>0</v>
      </c>
      <c r="AI252" s="55" t="n">
        <f aca="false">ROUND(MAX(0,AI251+AJ251-AM251),2)</f>
        <v>0</v>
      </c>
      <c r="AJ252" s="55" t="n">
        <f aca="false">ROUND(AI252*$E$11/12,2)</f>
        <v>0</v>
      </c>
      <c r="AK252" s="55" t="n">
        <f aca="false">MIN($F$11,AI252+AJ252)</f>
        <v>0</v>
      </c>
      <c r="AL252" s="55" t="n">
        <f aca="false">MAX(0,MIN(AI252+AJ252-AK252,$D252-(H252+M252+R252+W252+AB252+AG252)))</f>
        <v>0</v>
      </c>
      <c r="AM252" s="55" t="n">
        <f aca="false">AK252+AL252</f>
        <v>0</v>
      </c>
      <c r="AN252" s="55" t="n">
        <f aca="false">ROUND(MAX(0,AN251+AO251-AR251),2)</f>
        <v>0</v>
      </c>
      <c r="AO252" s="55" t="n">
        <f aca="false">ROUND(AN252*$E$12/12,2)</f>
        <v>0</v>
      </c>
      <c r="AP252" s="55" t="n">
        <f aca="false">MIN($F$12,AN252+AO252)</f>
        <v>0</v>
      </c>
      <c r="AQ252" s="55" t="n">
        <f aca="false">MAX(0,MIN(AN252+AO252-AP252,$D252-(H252+M252+R252+W252+AB252+AG252+AL252)))</f>
        <v>0</v>
      </c>
      <c r="AR252" s="55" t="n">
        <f aca="false">AP252+AQ252</f>
        <v>0</v>
      </c>
      <c r="AS252" s="55" t="n">
        <f aca="false">ROUND(MAX(0,AS251+AT251-AW251),2)</f>
        <v>0</v>
      </c>
      <c r="AT252" s="55" t="n">
        <f aca="false">ROUND(AS252*$E$13/12,2)</f>
        <v>0</v>
      </c>
      <c r="AU252" s="55" t="n">
        <f aca="false">MIN($F$13,AS252+AT252)</f>
        <v>0</v>
      </c>
      <c r="AV252" s="55" t="n">
        <f aca="false">MAX(0,MIN(AS252+AT252-AU252,$D252-(H252+M252+R252+W252+AB252+AG252+AL252+AQ252)))</f>
        <v>0</v>
      </c>
      <c r="AW252" s="55" t="n">
        <f aca="false">AU252+AV252</f>
        <v>0</v>
      </c>
      <c r="AX252" s="55" t="n">
        <f aca="false">ROUND(MAX(0,AX251+AY251-BB251),2)</f>
        <v>0</v>
      </c>
      <c r="AY252" s="55" t="n">
        <f aca="false">ROUND(AX252*$E$14/12,2)</f>
        <v>0</v>
      </c>
      <c r="AZ252" s="55" t="n">
        <f aca="false">MIN($F$14,AX252+AY252)</f>
        <v>0</v>
      </c>
      <c r="BA252" s="55" t="n">
        <f aca="false">MAX(0,MIN(AX252+AY252-AZ252,$D252-(H252+M252+R252+W252+AB252+AG252+AL252+AQ252+AV252)))</f>
        <v>0</v>
      </c>
      <c r="BB252" s="55" t="n">
        <f aca="false">AZ252+BA252</f>
        <v>0</v>
      </c>
      <c r="BC252" s="55" t="n">
        <f aca="false">I252+N252+S252+X252+AC252+AH252+AM252+AR252+AW252+BB252</f>
        <v>0</v>
      </c>
      <c r="BD252" s="55" t="n">
        <f aca="false">ROUND((E252+F252-I252)+(J252+K252-N252)+(O252+P252-S252)+(T252+U252-X252)+(Y252+Z252-AC252)+(AD252+AE252-AH252)+(AI252+AJ252-AM252)+(AN252+AO252-AR252)+(AS252+AT252-AW252)+(AX252+AY252-BB252),2)</f>
        <v>0</v>
      </c>
      <c r="BE252" s="25" t="str">
        <f aca="false">IF(H252&gt;0.005,$C$5,IF(M252&gt;0.005,$C$6,IF(R252&gt;0.005,$C$7,IF(W252&gt;0.005,$C$8,IF(AB252&gt;0.005,$C$9,IF(AG252&gt;0.005,$C$10,IF(AL252&gt;0.005,$C$11,IF(AQ252&gt;0.005,$C$12,IF(AV252&gt;0.005,$C$13,IF(BA252&gt;0.005,$C$14,""))))))))))</f>
        <v/>
      </c>
    </row>
    <row r="253" customFormat="false" ht="15" hidden="false" customHeight="false" outlineLevel="0" collapsed="false">
      <c r="A253" s="24" t="n">
        <v>230</v>
      </c>
      <c r="B253" s="54" t="n">
        <f aca="false">EDATE($C$17,A253-1)</f>
        <v>53297</v>
      </c>
      <c r="C253" s="55" t="n">
        <f aca="false">G253+L253+Q253+V253+AA253+AF253+AK253+AP253+AU253+AZ253</f>
        <v>0</v>
      </c>
      <c r="D253" s="55" t="n">
        <f aca="false">MAX(0,$C$16-C253)</f>
        <v>5822</v>
      </c>
      <c r="E253" s="55" t="n">
        <f aca="false">ROUND(MAX(0,E252+F252-I252),2)</f>
        <v>0</v>
      </c>
      <c r="F253" s="55" t="n">
        <f aca="false">ROUND(E253*$E$5/12,2)</f>
        <v>0</v>
      </c>
      <c r="G253" s="55" t="n">
        <f aca="false">MIN($F$5,E253+F253)</f>
        <v>0</v>
      </c>
      <c r="H253" s="55" t="n">
        <f aca="false">MAX(0,MIN(E253+F253-G253,$D253))</f>
        <v>0</v>
      </c>
      <c r="I253" s="55" t="n">
        <f aca="false">G253+H253</f>
        <v>0</v>
      </c>
      <c r="J253" s="55" t="n">
        <f aca="false">ROUND(MAX(0,J252+K252-N252),2)</f>
        <v>0</v>
      </c>
      <c r="K253" s="55" t="n">
        <f aca="false">ROUND(J253*$E$6/12,2)</f>
        <v>0</v>
      </c>
      <c r="L253" s="55" t="n">
        <f aca="false">MIN($F$6,J253+K253)</f>
        <v>0</v>
      </c>
      <c r="M253" s="55" t="n">
        <f aca="false">MAX(0,MIN(J253+K253-L253,$D253-(H253)))</f>
        <v>0</v>
      </c>
      <c r="N253" s="55" t="n">
        <f aca="false">L253+M253</f>
        <v>0</v>
      </c>
      <c r="O253" s="55" t="n">
        <f aca="false">ROUND(MAX(0,O252+P252-S252),2)</f>
        <v>0</v>
      </c>
      <c r="P253" s="55" t="n">
        <f aca="false">ROUND(O253*$E$7/12,2)</f>
        <v>0</v>
      </c>
      <c r="Q253" s="55" t="n">
        <f aca="false">MIN($F$7,O253+P253)</f>
        <v>0</v>
      </c>
      <c r="R253" s="55" t="n">
        <f aca="false">MAX(0,MIN(O253+P253-Q253,$D253-(H253+M253)))</f>
        <v>0</v>
      </c>
      <c r="S253" s="55" t="n">
        <f aca="false">Q253+R253</f>
        <v>0</v>
      </c>
      <c r="T253" s="55" t="n">
        <f aca="false">ROUND(MAX(0,T252+U252-X252),2)</f>
        <v>0</v>
      </c>
      <c r="U253" s="55" t="n">
        <f aca="false">ROUND(T253*$E$8/12,2)</f>
        <v>0</v>
      </c>
      <c r="V253" s="55" t="n">
        <f aca="false">MIN($F$8,T253+U253)</f>
        <v>0</v>
      </c>
      <c r="W253" s="55" t="n">
        <f aca="false">MAX(0,MIN(T253+U253-V253,$D253-(H253+M253+R253)))</f>
        <v>0</v>
      </c>
      <c r="X253" s="55" t="n">
        <f aca="false">V253+W253</f>
        <v>0</v>
      </c>
      <c r="Y253" s="55" t="n">
        <f aca="false">ROUND(MAX(0,Y252+Z252-AC252),2)</f>
        <v>0</v>
      </c>
      <c r="Z253" s="55" t="n">
        <f aca="false">ROUND(Y253*$E$9/12,2)</f>
        <v>0</v>
      </c>
      <c r="AA253" s="55" t="n">
        <f aca="false">MIN($F$9,Y253+Z253)</f>
        <v>0</v>
      </c>
      <c r="AB253" s="55" t="n">
        <f aca="false">MAX(0,MIN(Y253+Z253-AA253,$D253-(H253+M253+R253+W253)))</f>
        <v>0</v>
      </c>
      <c r="AC253" s="55" t="n">
        <f aca="false">AA253+AB253</f>
        <v>0</v>
      </c>
      <c r="AD253" s="55" t="n">
        <f aca="false">ROUND(MAX(0,AD252+AE252-AH252),2)</f>
        <v>0</v>
      </c>
      <c r="AE253" s="55" t="n">
        <f aca="false">ROUND(AD253*$E$10/12,2)</f>
        <v>0</v>
      </c>
      <c r="AF253" s="55" t="n">
        <f aca="false">MIN($F$10,AD253+AE253)</f>
        <v>0</v>
      </c>
      <c r="AG253" s="55" t="n">
        <f aca="false">MAX(0,MIN(AD253+AE253-AF253,$D253-(H253+M253+R253+W253+AB253)))</f>
        <v>0</v>
      </c>
      <c r="AH253" s="55" t="n">
        <f aca="false">AF253+AG253</f>
        <v>0</v>
      </c>
      <c r="AI253" s="55" t="n">
        <f aca="false">ROUND(MAX(0,AI252+AJ252-AM252),2)</f>
        <v>0</v>
      </c>
      <c r="AJ253" s="55" t="n">
        <f aca="false">ROUND(AI253*$E$11/12,2)</f>
        <v>0</v>
      </c>
      <c r="AK253" s="55" t="n">
        <f aca="false">MIN($F$11,AI253+AJ253)</f>
        <v>0</v>
      </c>
      <c r="AL253" s="55" t="n">
        <f aca="false">MAX(0,MIN(AI253+AJ253-AK253,$D253-(H253+M253+R253+W253+AB253+AG253)))</f>
        <v>0</v>
      </c>
      <c r="AM253" s="55" t="n">
        <f aca="false">AK253+AL253</f>
        <v>0</v>
      </c>
      <c r="AN253" s="55" t="n">
        <f aca="false">ROUND(MAX(0,AN252+AO252-AR252),2)</f>
        <v>0</v>
      </c>
      <c r="AO253" s="55" t="n">
        <f aca="false">ROUND(AN253*$E$12/12,2)</f>
        <v>0</v>
      </c>
      <c r="AP253" s="55" t="n">
        <f aca="false">MIN($F$12,AN253+AO253)</f>
        <v>0</v>
      </c>
      <c r="AQ253" s="55" t="n">
        <f aca="false">MAX(0,MIN(AN253+AO253-AP253,$D253-(H253+M253+R253+W253+AB253+AG253+AL253)))</f>
        <v>0</v>
      </c>
      <c r="AR253" s="55" t="n">
        <f aca="false">AP253+AQ253</f>
        <v>0</v>
      </c>
      <c r="AS253" s="55" t="n">
        <f aca="false">ROUND(MAX(0,AS252+AT252-AW252),2)</f>
        <v>0</v>
      </c>
      <c r="AT253" s="55" t="n">
        <f aca="false">ROUND(AS253*$E$13/12,2)</f>
        <v>0</v>
      </c>
      <c r="AU253" s="55" t="n">
        <f aca="false">MIN($F$13,AS253+AT253)</f>
        <v>0</v>
      </c>
      <c r="AV253" s="55" t="n">
        <f aca="false">MAX(0,MIN(AS253+AT253-AU253,$D253-(H253+M253+R253+W253+AB253+AG253+AL253+AQ253)))</f>
        <v>0</v>
      </c>
      <c r="AW253" s="55" t="n">
        <f aca="false">AU253+AV253</f>
        <v>0</v>
      </c>
      <c r="AX253" s="55" t="n">
        <f aca="false">ROUND(MAX(0,AX252+AY252-BB252),2)</f>
        <v>0</v>
      </c>
      <c r="AY253" s="55" t="n">
        <f aca="false">ROUND(AX253*$E$14/12,2)</f>
        <v>0</v>
      </c>
      <c r="AZ253" s="55" t="n">
        <f aca="false">MIN($F$14,AX253+AY253)</f>
        <v>0</v>
      </c>
      <c r="BA253" s="55" t="n">
        <f aca="false">MAX(0,MIN(AX253+AY253-AZ253,$D253-(H253+M253+R253+W253+AB253+AG253+AL253+AQ253+AV253)))</f>
        <v>0</v>
      </c>
      <c r="BB253" s="55" t="n">
        <f aca="false">AZ253+BA253</f>
        <v>0</v>
      </c>
      <c r="BC253" s="55" t="n">
        <f aca="false">I253+N253+S253+X253+AC253+AH253+AM253+AR253+AW253+BB253</f>
        <v>0</v>
      </c>
      <c r="BD253" s="55" t="n">
        <f aca="false">ROUND((E253+F253-I253)+(J253+K253-N253)+(O253+P253-S253)+(T253+U253-X253)+(Y253+Z253-AC253)+(AD253+AE253-AH253)+(AI253+AJ253-AM253)+(AN253+AO253-AR253)+(AS253+AT253-AW253)+(AX253+AY253-BB253),2)</f>
        <v>0</v>
      </c>
      <c r="BE253" s="25" t="str">
        <f aca="false">IF(H253&gt;0.005,$C$5,IF(M253&gt;0.005,$C$6,IF(R253&gt;0.005,$C$7,IF(W253&gt;0.005,$C$8,IF(AB253&gt;0.005,$C$9,IF(AG253&gt;0.005,$C$10,IF(AL253&gt;0.005,$C$11,IF(AQ253&gt;0.005,$C$12,IF(AV253&gt;0.005,$C$13,IF(BA253&gt;0.005,$C$14,""))))))))))</f>
        <v/>
      </c>
    </row>
    <row r="254" customFormat="false" ht="15" hidden="false" customHeight="false" outlineLevel="0" collapsed="false">
      <c r="A254" s="24" t="n">
        <v>231</v>
      </c>
      <c r="B254" s="54" t="n">
        <f aca="false">EDATE($C$17,A254-1)</f>
        <v>53328</v>
      </c>
      <c r="C254" s="55" t="n">
        <f aca="false">G254+L254+Q254+V254+AA254+AF254+AK254+AP254+AU254+AZ254</f>
        <v>0</v>
      </c>
      <c r="D254" s="55" t="n">
        <f aca="false">MAX(0,$C$16-C254)</f>
        <v>5822</v>
      </c>
      <c r="E254" s="55" t="n">
        <f aca="false">ROUND(MAX(0,E253+F253-I253),2)</f>
        <v>0</v>
      </c>
      <c r="F254" s="55" t="n">
        <f aca="false">ROUND(E254*$E$5/12,2)</f>
        <v>0</v>
      </c>
      <c r="G254" s="55" t="n">
        <f aca="false">MIN($F$5,E254+F254)</f>
        <v>0</v>
      </c>
      <c r="H254" s="55" t="n">
        <f aca="false">MAX(0,MIN(E254+F254-G254,$D254))</f>
        <v>0</v>
      </c>
      <c r="I254" s="55" t="n">
        <f aca="false">G254+H254</f>
        <v>0</v>
      </c>
      <c r="J254" s="55" t="n">
        <f aca="false">ROUND(MAX(0,J253+K253-N253),2)</f>
        <v>0</v>
      </c>
      <c r="K254" s="55" t="n">
        <f aca="false">ROUND(J254*$E$6/12,2)</f>
        <v>0</v>
      </c>
      <c r="L254" s="55" t="n">
        <f aca="false">MIN($F$6,J254+K254)</f>
        <v>0</v>
      </c>
      <c r="M254" s="55" t="n">
        <f aca="false">MAX(0,MIN(J254+K254-L254,$D254-(H254)))</f>
        <v>0</v>
      </c>
      <c r="N254" s="55" t="n">
        <f aca="false">L254+M254</f>
        <v>0</v>
      </c>
      <c r="O254" s="55" t="n">
        <f aca="false">ROUND(MAX(0,O253+P253-S253),2)</f>
        <v>0</v>
      </c>
      <c r="P254" s="55" t="n">
        <f aca="false">ROUND(O254*$E$7/12,2)</f>
        <v>0</v>
      </c>
      <c r="Q254" s="55" t="n">
        <f aca="false">MIN($F$7,O254+P254)</f>
        <v>0</v>
      </c>
      <c r="R254" s="55" t="n">
        <f aca="false">MAX(0,MIN(O254+P254-Q254,$D254-(H254+M254)))</f>
        <v>0</v>
      </c>
      <c r="S254" s="55" t="n">
        <f aca="false">Q254+R254</f>
        <v>0</v>
      </c>
      <c r="T254" s="55" t="n">
        <f aca="false">ROUND(MAX(0,T253+U253-X253),2)</f>
        <v>0</v>
      </c>
      <c r="U254" s="55" t="n">
        <f aca="false">ROUND(T254*$E$8/12,2)</f>
        <v>0</v>
      </c>
      <c r="V254" s="55" t="n">
        <f aca="false">MIN($F$8,T254+U254)</f>
        <v>0</v>
      </c>
      <c r="W254" s="55" t="n">
        <f aca="false">MAX(0,MIN(T254+U254-V254,$D254-(H254+M254+R254)))</f>
        <v>0</v>
      </c>
      <c r="X254" s="55" t="n">
        <f aca="false">V254+W254</f>
        <v>0</v>
      </c>
      <c r="Y254" s="55" t="n">
        <f aca="false">ROUND(MAX(0,Y253+Z253-AC253),2)</f>
        <v>0</v>
      </c>
      <c r="Z254" s="55" t="n">
        <f aca="false">ROUND(Y254*$E$9/12,2)</f>
        <v>0</v>
      </c>
      <c r="AA254" s="55" t="n">
        <f aca="false">MIN($F$9,Y254+Z254)</f>
        <v>0</v>
      </c>
      <c r="AB254" s="55" t="n">
        <f aca="false">MAX(0,MIN(Y254+Z254-AA254,$D254-(H254+M254+R254+W254)))</f>
        <v>0</v>
      </c>
      <c r="AC254" s="55" t="n">
        <f aca="false">AA254+AB254</f>
        <v>0</v>
      </c>
      <c r="AD254" s="55" t="n">
        <f aca="false">ROUND(MAX(0,AD253+AE253-AH253),2)</f>
        <v>0</v>
      </c>
      <c r="AE254" s="55" t="n">
        <f aca="false">ROUND(AD254*$E$10/12,2)</f>
        <v>0</v>
      </c>
      <c r="AF254" s="55" t="n">
        <f aca="false">MIN($F$10,AD254+AE254)</f>
        <v>0</v>
      </c>
      <c r="AG254" s="55" t="n">
        <f aca="false">MAX(0,MIN(AD254+AE254-AF254,$D254-(H254+M254+R254+W254+AB254)))</f>
        <v>0</v>
      </c>
      <c r="AH254" s="55" t="n">
        <f aca="false">AF254+AG254</f>
        <v>0</v>
      </c>
      <c r="AI254" s="55" t="n">
        <f aca="false">ROUND(MAX(0,AI253+AJ253-AM253),2)</f>
        <v>0</v>
      </c>
      <c r="AJ254" s="55" t="n">
        <f aca="false">ROUND(AI254*$E$11/12,2)</f>
        <v>0</v>
      </c>
      <c r="AK254" s="55" t="n">
        <f aca="false">MIN($F$11,AI254+AJ254)</f>
        <v>0</v>
      </c>
      <c r="AL254" s="55" t="n">
        <f aca="false">MAX(0,MIN(AI254+AJ254-AK254,$D254-(H254+M254+R254+W254+AB254+AG254)))</f>
        <v>0</v>
      </c>
      <c r="AM254" s="55" t="n">
        <f aca="false">AK254+AL254</f>
        <v>0</v>
      </c>
      <c r="AN254" s="55" t="n">
        <f aca="false">ROUND(MAX(0,AN253+AO253-AR253),2)</f>
        <v>0</v>
      </c>
      <c r="AO254" s="55" t="n">
        <f aca="false">ROUND(AN254*$E$12/12,2)</f>
        <v>0</v>
      </c>
      <c r="AP254" s="55" t="n">
        <f aca="false">MIN($F$12,AN254+AO254)</f>
        <v>0</v>
      </c>
      <c r="AQ254" s="55" t="n">
        <f aca="false">MAX(0,MIN(AN254+AO254-AP254,$D254-(H254+M254+R254+W254+AB254+AG254+AL254)))</f>
        <v>0</v>
      </c>
      <c r="AR254" s="55" t="n">
        <f aca="false">AP254+AQ254</f>
        <v>0</v>
      </c>
      <c r="AS254" s="55" t="n">
        <f aca="false">ROUND(MAX(0,AS253+AT253-AW253),2)</f>
        <v>0</v>
      </c>
      <c r="AT254" s="55" t="n">
        <f aca="false">ROUND(AS254*$E$13/12,2)</f>
        <v>0</v>
      </c>
      <c r="AU254" s="55" t="n">
        <f aca="false">MIN($F$13,AS254+AT254)</f>
        <v>0</v>
      </c>
      <c r="AV254" s="55" t="n">
        <f aca="false">MAX(0,MIN(AS254+AT254-AU254,$D254-(H254+M254+R254+W254+AB254+AG254+AL254+AQ254)))</f>
        <v>0</v>
      </c>
      <c r="AW254" s="55" t="n">
        <f aca="false">AU254+AV254</f>
        <v>0</v>
      </c>
      <c r="AX254" s="55" t="n">
        <f aca="false">ROUND(MAX(0,AX253+AY253-BB253),2)</f>
        <v>0</v>
      </c>
      <c r="AY254" s="55" t="n">
        <f aca="false">ROUND(AX254*$E$14/12,2)</f>
        <v>0</v>
      </c>
      <c r="AZ254" s="55" t="n">
        <f aca="false">MIN($F$14,AX254+AY254)</f>
        <v>0</v>
      </c>
      <c r="BA254" s="55" t="n">
        <f aca="false">MAX(0,MIN(AX254+AY254-AZ254,$D254-(H254+M254+R254+W254+AB254+AG254+AL254+AQ254+AV254)))</f>
        <v>0</v>
      </c>
      <c r="BB254" s="55" t="n">
        <f aca="false">AZ254+BA254</f>
        <v>0</v>
      </c>
      <c r="BC254" s="55" t="n">
        <f aca="false">I254+N254+S254+X254+AC254+AH254+AM254+AR254+AW254+BB254</f>
        <v>0</v>
      </c>
      <c r="BD254" s="55" t="n">
        <f aca="false">ROUND((E254+F254-I254)+(J254+K254-N254)+(O254+P254-S254)+(T254+U254-X254)+(Y254+Z254-AC254)+(AD254+AE254-AH254)+(AI254+AJ254-AM254)+(AN254+AO254-AR254)+(AS254+AT254-AW254)+(AX254+AY254-BB254),2)</f>
        <v>0</v>
      </c>
      <c r="BE254" s="25" t="str">
        <f aca="false">IF(H254&gt;0.005,$C$5,IF(M254&gt;0.005,$C$6,IF(R254&gt;0.005,$C$7,IF(W254&gt;0.005,$C$8,IF(AB254&gt;0.005,$C$9,IF(AG254&gt;0.005,$C$10,IF(AL254&gt;0.005,$C$11,IF(AQ254&gt;0.005,$C$12,IF(AV254&gt;0.005,$C$13,IF(BA254&gt;0.005,$C$14,""))))))))))</f>
        <v/>
      </c>
    </row>
    <row r="255" customFormat="false" ht="15" hidden="false" customHeight="false" outlineLevel="0" collapsed="false">
      <c r="A255" s="24" t="n">
        <v>232</v>
      </c>
      <c r="B255" s="54" t="n">
        <f aca="false">EDATE($C$17,A255-1)</f>
        <v>53359</v>
      </c>
      <c r="C255" s="55" t="n">
        <f aca="false">G255+L255+Q255+V255+AA255+AF255+AK255+AP255+AU255+AZ255</f>
        <v>0</v>
      </c>
      <c r="D255" s="55" t="n">
        <f aca="false">MAX(0,$C$16-C255)</f>
        <v>5822</v>
      </c>
      <c r="E255" s="55" t="n">
        <f aca="false">ROUND(MAX(0,E254+F254-I254),2)</f>
        <v>0</v>
      </c>
      <c r="F255" s="55" t="n">
        <f aca="false">ROUND(E255*$E$5/12,2)</f>
        <v>0</v>
      </c>
      <c r="G255" s="55" t="n">
        <f aca="false">MIN($F$5,E255+F255)</f>
        <v>0</v>
      </c>
      <c r="H255" s="55" t="n">
        <f aca="false">MAX(0,MIN(E255+F255-G255,$D255))</f>
        <v>0</v>
      </c>
      <c r="I255" s="55" t="n">
        <f aca="false">G255+H255</f>
        <v>0</v>
      </c>
      <c r="J255" s="55" t="n">
        <f aca="false">ROUND(MAX(0,J254+K254-N254),2)</f>
        <v>0</v>
      </c>
      <c r="K255" s="55" t="n">
        <f aca="false">ROUND(J255*$E$6/12,2)</f>
        <v>0</v>
      </c>
      <c r="L255" s="55" t="n">
        <f aca="false">MIN($F$6,J255+K255)</f>
        <v>0</v>
      </c>
      <c r="M255" s="55" t="n">
        <f aca="false">MAX(0,MIN(J255+K255-L255,$D255-(H255)))</f>
        <v>0</v>
      </c>
      <c r="N255" s="55" t="n">
        <f aca="false">L255+M255</f>
        <v>0</v>
      </c>
      <c r="O255" s="55" t="n">
        <f aca="false">ROUND(MAX(0,O254+P254-S254),2)</f>
        <v>0</v>
      </c>
      <c r="P255" s="55" t="n">
        <f aca="false">ROUND(O255*$E$7/12,2)</f>
        <v>0</v>
      </c>
      <c r="Q255" s="55" t="n">
        <f aca="false">MIN($F$7,O255+P255)</f>
        <v>0</v>
      </c>
      <c r="R255" s="55" t="n">
        <f aca="false">MAX(0,MIN(O255+P255-Q255,$D255-(H255+M255)))</f>
        <v>0</v>
      </c>
      <c r="S255" s="55" t="n">
        <f aca="false">Q255+R255</f>
        <v>0</v>
      </c>
      <c r="T255" s="55" t="n">
        <f aca="false">ROUND(MAX(0,T254+U254-X254),2)</f>
        <v>0</v>
      </c>
      <c r="U255" s="55" t="n">
        <f aca="false">ROUND(T255*$E$8/12,2)</f>
        <v>0</v>
      </c>
      <c r="V255" s="55" t="n">
        <f aca="false">MIN($F$8,T255+U255)</f>
        <v>0</v>
      </c>
      <c r="W255" s="55" t="n">
        <f aca="false">MAX(0,MIN(T255+U255-V255,$D255-(H255+M255+R255)))</f>
        <v>0</v>
      </c>
      <c r="X255" s="55" t="n">
        <f aca="false">V255+W255</f>
        <v>0</v>
      </c>
      <c r="Y255" s="55" t="n">
        <f aca="false">ROUND(MAX(0,Y254+Z254-AC254),2)</f>
        <v>0</v>
      </c>
      <c r="Z255" s="55" t="n">
        <f aca="false">ROUND(Y255*$E$9/12,2)</f>
        <v>0</v>
      </c>
      <c r="AA255" s="55" t="n">
        <f aca="false">MIN($F$9,Y255+Z255)</f>
        <v>0</v>
      </c>
      <c r="AB255" s="55" t="n">
        <f aca="false">MAX(0,MIN(Y255+Z255-AA255,$D255-(H255+M255+R255+W255)))</f>
        <v>0</v>
      </c>
      <c r="AC255" s="55" t="n">
        <f aca="false">AA255+AB255</f>
        <v>0</v>
      </c>
      <c r="AD255" s="55" t="n">
        <f aca="false">ROUND(MAX(0,AD254+AE254-AH254),2)</f>
        <v>0</v>
      </c>
      <c r="AE255" s="55" t="n">
        <f aca="false">ROUND(AD255*$E$10/12,2)</f>
        <v>0</v>
      </c>
      <c r="AF255" s="55" t="n">
        <f aca="false">MIN($F$10,AD255+AE255)</f>
        <v>0</v>
      </c>
      <c r="AG255" s="55" t="n">
        <f aca="false">MAX(0,MIN(AD255+AE255-AF255,$D255-(H255+M255+R255+W255+AB255)))</f>
        <v>0</v>
      </c>
      <c r="AH255" s="55" t="n">
        <f aca="false">AF255+AG255</f>
        <v>0</v>
      </c>
      <c r="AI255" s="55" t="n">
        <f aca="false">ROUND(MAX(0,AI254+AJ254-AM254),2)</f>
        <v>0</v>
      </c>
      <c r="AJ255" s="55" t="n">
        <f aca="false">ROUND(AI255*$E$11/12,2)</f>
        <v>0</v>
      </c>
      <c r="AK255" s="55" t="n">
        <f aca="false">MIN($F$11,AI255+AJ255)</f>
        <v>0</v>
      </c>
      <c r="AL255" s="55" t="n">
        <f aca="false">MAX(0,MIN(AI255+AJ255-AK255,$D255-(H255+M255+R255+W255+AB255+AG255)))</f>
        <v>0</v>
      </c>
      <c r="AM255" s="55" t="n">
        <f aca="false">AK255+AL255</f>
        <v>0</v>
      </c>
      <c r="AN255" s="55" t="n">
        <f aca="false">ROUND(MAX(0,AN254+AO254-AR254),2)</f>
        <v>0</v>
      </c>
      <c r="AO255" s="55" t="n">
        <f aca="false">ROUND(AN255*$E$12/12,2)</f>
        <v>0</v>
      </c>
      <c r="AP255" s="55" t="n">
        <f aca="false">MIN($F$12,AN255+AO255)</f>
        <v>0</v>
      </c>
      <c r="AQ255" s="55" t="n">
        <f aca="false">MAX(0,MIN(AN255+AO255-AP255,$D255-(H255+M255+R255+W255+AB255+AG255+AL255)))</f>
        <v>0</v>
      </c>
      <c r="AR255" s="55" t="n">
        <f aca="false">AP255+AQ255</f>
        <v>0</v>
      </c>
      <c r="AS255" s="55" t="n">
        <f aca="false">ROUND(MAX(0,AS254+AT254-AW254),2)</f>
        <v>0</v>
      </c>
      <c r="AT255" s="55" t="n">
        <f aca="false">ROUND(AS255*$E$13/12,2)</f>
        <v>0</v>
      </c>
      <c r="AU255" s="55" t="n">
        <f aca="false">MIN($F$13,AS255+AT255)</f>
        <v>0</v>
      </c>
      <c r="AV255" s="55" t="n">
        <f aca="false">MAX(0,MIN(AS255+AT255-AU255,$D255-(H255+M255+R255+W255+AB255+AG255+AL255+AQ255)))</f>
        <v>0</v>
      </c>
      <c r="AW255" s="55" t="n">
        <f aca="false">AU255+AV255</f>
        <v>0</v>
      </c>
      <c r="AX255" s="55" t="n">
        <f aca="false">ROUND(MAX(0,AX254+AY254-BB254),2)</f>
        <v>0</v>
      </c>
      <c r="AY255" s="55" t="n">
        <f aca="false">ROUND(AX255*$E$14/12,2)</f>
        <v>0</v>
      </c>
      <c r="AZ255" s="55" t="n">
        <f aca="false">MIN($F$14,AX255+AY255)</f>
        <v>0</v>
      </c>
      <c r="BA255" s="55" t="n">
        <f aca="false">MAX(0,MIN(AX255+AY255-AZ255,$D255-(H255+M255+R255+W255+AB255+AG255+AL255+AQ255+AV255)))</f>
        <v>0</v>
      </c>
      <c r="BB255" s="55" t="n">
        <f aca="false">AZ255+BA255</f>
        <v>0</v>
      </c>
      <c r="BC255" s="55" t="n">
        <f aca="false">I255+N255+S255+X255+AC255+AH255+AM255+AR255+AW255+BB255</f>
        <v>0</v>
      </c>
      <c r="BD255" s="55" t="n">
        <f aca="false">ROUND((E255+F255-I255)+(J255+K255-N255)+(O255+P255-S255)+(T255+U255-X255)+(Y255+Z255-AC255)+(AD255+AE255-AH255)+(AI255+AJ255-AM255)+(AN255+AO255-AR255)+(AS255+AT255-AW255)+(AX255+AY255-BB255),2)</f>
        <v>0</v>
      </c>
      <c r="BE255" s="25" t="str">
        <f aca="false">IF(H255&gt;0.005,$C$5,IF(M255&gt;0.005,$C$6,IF(R255&gt;0.005,$C$7,IF(W255&gt;0.005,$C$8,IF(AB255&gt;0.005,$C$9,IF(AG255&gt;0.005,$C$10,IF(AL255&gt;0.005,$C$11,IF(AQ255&gt;0.005,$C$12,IF(AV255&gt;0.005,$C$13,IF(BA255&gt;0.005,$C$14,""))))))))))</f>
        <v/>
      </c>
    </row>
    <row r="256" customFormat="false" ht="15" hidden="false" customHeight="false" outlineLevel="0" collapsed="false">
      <c r="A256" s="24" t="n">
        <v>233</v>
      </c>
      <c r="B256" s="54" t="n">
        <f aca="false">EDATE($C$17,A256-1)</f>
        <v>53387</v>
      </c>
      <c r="C256" s="55" t="n">
        <f aca="false">G256+L256+Q256+V256+AA256+AF256+AK256+AP256+AU256+AZ256</f>
        <v>0</v>
      </c>
      <c r="D256" s="55" t="n">
        <f aca="false">MAX(0,$C$16-C256)</f>
        <v>5822</v>
      </c>
      <c r="E256" s="55" t="n">
        <f aca="false">ROUND(MAX(0,E255+F255-I255),2)</f>
        <v>0</v>
      </c>
      <c r="F256" s="55" t="n">
        <f aca="false">ROUND(E256*$E$5/12,2)</f>
        <v>0</v>
      </c>
      <c r="G256" s="55" t="n">
        <f aca="false">MIN($F$5,E256+F256)</f>
        <v>0</v>
      </c>
      <c r="H256" s="55" t="n">
        <f aca="false">MAX(0,MIN(E256+F256-G256,$D256))</f>
        <v>0</v>
      </c>
      <c r="I256" s="55" t="n">
        <f aca="false">G256+H256</f>
        <v>0</v>
      </c>
      <c r="J256" s="55" t="n">
        <f aca="false">ROUND(MAX(0,J255+K255-N255),2)</f>
        <v>0</v>
      </c>
      <c r="K256" s="55" t="n">
        <f aca="false">ROUND(J256*$E$6/12,2)</f>
        <v>0</v>
      </c>
      <c r="L256" s="55" t="n">
        <f aca="false">MIN($F$6,J256+K256)</f>
        <v>0</v>
      </c>
      <c r="M256" s="55" t="n">
        <f aca="false">MAX(0,MIN(J256+K256-L256,$D256-(H256)))</f>
        <v>0</v>
      </c>
      <c r="N256" s="55" t="n">
        <f aca="false">L256+M256</f>
        <v>0</v>
      </c>
      <c r="O256" s="55" t="n">
        <f aca="false">ROUND(MAX(0,O255+P255-S255),2)</f>
        <v>0</v>
      </c>
      <c r="P256" s="55" t="n">
        <f aca="false">ROUND(O256*$E$7/12,2)</f>
        <v>0</v>
      </c>
      <c r="Q256" s="55" t="n">
        <f aca="false">MIN($F$7,O256+P256)</f>
        <v>0</v>
      </c>
      <c r="R256" s="55" t="n">
        <f aca="false">MAX(0,MIN(O256+P256-Q256,$D256-(H256+M256)))</f>
        <v>0</v>
      </c>
      <c r="S256" s="55" t="n">
        <f aca="false">Q256+R256</f>
        <v>0</v>
      </c>
      <c r="T256" s="55" t="n">
        <f aca="false">ROUND(MAX(0,T255+U255-X255),2)</f>
        <v>0</v>
      </c>
      <c r="U256" s="55" t="n">
        <f aca="false">ROUND(T256*$E$8/12,2)</f>
        <v>0</v>
      </c>
      <c r="V256" s="55" t="n">
        <f aca="false">MIN($F$8,T256+U256)</f>
        <v>0</v>
      </c>
      <c r="W256" s="55" t="n">
        <f aca="false">MAX(0,MIN(T256+U256-V256,$D256-(H256+M256+R256)))</f>
        <v>0</v>
      </c>
      <c r="X256" s="55" t="n">
        <f aca="false">V256+W256</f>
        <v>0</v>
      </c>
      <c r="Y256" s="55" t="n">
        <f aca="false">ROUND(MAX(0,Y255+Z255-AC255),2)</f>
        <v>0</v>
      </c>
      <c r="Z256" s="55" t="n">
        <f aca="false">ROUND(Y256*$E$9/12,2)</f>
        <v>0</v>
      </c>
      <c r="AA256" s="55" t="n">
        <f aca="false">MIN($F$9,Y256+Z256)</f>
        <v>0</v>
      </c>
      <c r="AB256" s="55" t="n">
        <f aca="false">MAX(0,MIN(Y256+Z256-AA256,$D256-(H256+M256+R256+W256)))</f>
        <v>0</v>
      </c>
      <c r="AC256" s="55" t="n">
        <f aca="false">AA256+AB256</f>
        <v>0</v>
      </c>
      <c r="AD256" s="55" t="n">
        <f aca="false">ROUND(MAX(0,AD255+AE255-AH255),2)</f>
        <v>0</v>
      </c>
      <c r="AE256" s="55" t="n">
        <f aca="false">ROUND(AD256*$E$10/12,2)</f>
        <v>0</v>
      </c>
      <c r="AF256" s="55" t="n">
        <f aca="false">MIN($F$10,AD256+AE256)</f>
        <v>0</v>
      </c>
      <c r="AG256" s="55" t="n">
        <f aca="false">MAX(0,MIN(AD256+AE256-AF256,$D256-(H256+M256+R256+W256+AB256)))</f>
        <v>0</v>
      </c>
      <c r="AH256" s="55" t="n">
        <f aca="false">AF256+AG256</f>
        <v>0</v>
      </c>
      <c r="AI256" s="55" t="n">
        <f aca="false">ROUND(MAX(0,AI255+AJ255-AM255),2)</f>
        <v>0</v>
      </c>
      <c r="AJ256" s="55" t="n">
        <f aca="false">ROUND(AI256*$E$11/12,2)</f>
        <v>0</v>
      </c>
      <c r="AK256" s="55" t="n">
        <f aca="false">MIN($F$11,AI256+AJ256)</f>
        <v>0</v>
      </c>
      <c r="AL256" s="55" t="n">
        <f aca="false">MAX(0,MIN(AI256+AJ256-AK256,$D256-(H256+M256+R256+W256+AB256+AG256)))</f>
        <v>0</v>
      </c>
      <c r="AM256" s="55" t="n">
        <f aca="false">AK256+AL256</f>
        <v>0</v>
      </c>
      <c r="AN256" s="55" t="n">
        <f aca="false">ROUND(MAX(0,AN255+AO255-AR255),2)</f>
        <v>0</v>
      </c>
      <c r="AO256" s="55" t="n">
        <f aca="false">ROUND(AN256*$E$12/12,2)</f>
        <v>0</v>
      </c>
      <c r="AP256" s="55" t="n">
        <f aca="false">MIN($F$12,AN256+AO256)</f>
        <v>0</v>
      </c>
      <c r="AQ256" s="55" t="n">
        <f aca="false">MAX(0,MIN(AN256+AO256-AP256,$D256-(H256+M256+R256+W256+AB256+AG256+AL256)))</f>
        <v>0</v>
      </c>
      <c r="AR256" s="55" t="n">
        <f aca="false">AP256+AQ256</f>
        <v>0</v>
      </c>
      <c r="AS256" s="55" t="n">
        <f aca="false">ROUND(MAX(0,AS255+AT255-AW255),2)</f>
        <v>0</v>
      </c>
      <c r="AT256" s="55" t="n">
        <f aca="false">ROUND(AS256*$E$13/12,2)</f>
        <v>0</v>
      </c>
      <c r="AU256" s="55" t="n">
        <f aca="false">MIN($F$13,AS256+AT256)</f>
        <v>0</v>
      </c>
      <c r="AV256" s="55" t="n">
        <f aca="false">MAX(0,MIN(AS256+AT256-AU256,$D256-(H256+M256+R256+W256+AB256+AG256+AL256+AQ256)))</f>
        <v>0</v>
      </c>
      <c r="AW256" s="55" t="n">
        <f aca="false">AU256+AV256</f>
        <v>0</v>
      </c>
      <c r="AX256" s="55" t="n">
        <f aca="false">ROUND(MAX(0,AX255+AY255-BB255),2)</f>
        <v>0</v>
      </c>
      <c r="AY256" s="55" t="n">
        <f aca="false">ROUND(AX256*$E$14/12,2)</f>
        <v>0</v>
      </c>
      <c r="AZ256" s="55" t="n">
        <f aca="false">MIN($F$14,AX256+AY256)</f>
        <v>0</v>
      </c>
      <c r="BA256" s="55" t="n">
        <f aca="false">MAX(0,MIN(AX256+AY256-AZ256,$D256-(H256+M256+R256+W256+AB256+AG256+AL256+AQ256+AV256)))</f>
        <v>0</v>
      </c>
      <c r="BB256" s="55" t="n">
        <f aca="false">AZ256+BA256</f>
        <v>0</v>
      </c>
      <c r="BC256" s="55" t="n">
        <f aca="false">I256+N256+S256+X256+AC256+AH256+AM256+AR256+AW256+BB256</f>
        <v>0</v>
      </c>
      <c r="BD256" s="55" t="n">
        <f aca="false">ROUND((E256+F256-I256)+(J256+K256-N256)+(O256+P256-S256)+(T256+U256-X256)+(Y256+Z256-AC256)+(AD256+AE256-AH256)+(AI256+AJ256-AM256)+(AN256+AO256-AR256)+(AS256+AT256-AW256)+(AX256+AY256-BB256),2)</f>
        <v>0</v>
      </c>
      <c r="BE256" s="25" t="str">
        <f aca="false">IF(H256&gt;0.005,$C$5,IF(M256&gt;0.005,$C$6,IF(R256&gt;0.005,$C$7,IF(W256&gt;0.005,$C$8,IF(AB256&gt;0.005,$C$9,IF(AG256&gt;0.005,$C$10,IF(AL256&gt;0.005,$C$11,IF(AQ256&gt;0.005,$C$12,IF(AV256&gt;0.005,$C$13,IF(BA256&gt;0.005,$C$14,""))))))))))</f>
        <v/>
      </c>
    </row>
    <row r="257" customFormat="false" ht="15" hidden="false" customHeight="false" outlineLevel="0" collapsed="false">
      <c r="A257" s="24" t="n">
        <v>234</v>
      </c>
      <c r="B257" s="54" t="n">
        <f aca="false">EDATE($C$17,A257-1)</f>
        <v>53418</v>
      </c>
      <c r="C257" s="55" t="n">
        <f aca="false">G257+L257+Q257+V257+AA257+AF257+AK257+AP257+AU257+AZ257</f>
        <v>0</v>
      </c>
      <c r="D257" s="55" t="n">
        <f aca="false">MAX(0,$C$16-C257)</f>
        <v>5822</v>
      </c>
      <c r="E257" s="55" t="n">
        <f aca="false">ROUND(MAX(0,E256+F256-I256),2)</f>
        <v>0</v>
      </c>
      <c r="F257" s="55" t="n">
        <f aca="false">ROUND(E257*$E$5/12,2)</f>
        <v>0</v>
      </c>
      <c r="G257" s="55" t="n">
        <f aca="false">MIN($F$5,E257+F257)</f>
        <v>0</v>
      </c>
      <c r="H257" s="55" t="n">
        <f aca="false">MAX(0,MIN(E257+F257-G257,$D257))</f>
        <v>0</v>
      </c>
      <c r="I257" s="55" t="n">
        <f aca="false">G257+H257</f>
        <v>0</v>
      </c>
      <c r="J257" s="55" t="n">
        <f aca="false">ROUND(MAX(0,J256+K256-N256),2)</f>
        <v>0</v>
      </c>
      <c r="K257" s="55" t="n">
        <f aca="false">ROUND(J257*$E$6/12,2)</f>
        <v>0</v>
      </c>
      <c r="L257" s="55" t="n">
        <f aca="false">MIN($F$6,J257+K257)</f>
        <v>0</v>
      </c>
      <c r="M257" s="55" t="n">
        <f aca="false">MAX(0,MIN(J257+K257-L257,$D257-(H257)))</f>
        <v>0</v>
      </c>
      <c r="N257" s="55" t="n">
        <f aca="false">L257+M257</f>
        <v>0</v>
      </c>
      <c r="O257" s="55" t="n">
        <f aca="false">ROUND(MAX(0,O256+P256-S256),2)</f>
        <v>0</v>
      </c>
      <c r="P257" s="55" t="n">
        <f aca="false">ROUND(O257*$E$7/12,2)</f>
        <v>0</v>
      </c>
      <c r="Q257" s="55" t="n">
        <f aca="false">MIN($F$7,O257+P257)</f>
        <v>0</v>
      </c>
      <c r="R257" s="55" t="n">
        <f aca="false">MAX(0,MIN(O257+P257-Q257,$D257-(H257+M257)))</f>
        <v>0</v>
      </c>
      <c r="S257" s="55" t="n">
        <f aca="false">Q257+R257</f>
        <v>0</v>
      </c>
      <c r="T257" s="55" t="n">
        <f aca="false">ROUND(MAX(0,T256+U256-X256),2)</f>
        <v>0</v>
      </c>
      <c r="U257" s="55" t="n">
        <f aca="false">ROUND(T257*$E$8/12,2)</f>
        <v>0</v>
      </c>
      <c r="V257" s="55" t="n">
        <f aca="false">MIN($F$8,T257+U257)</f>
        <v>0</v>
      </c>
      <c r="W257" s="55" t="n">
        <f aca="false">MAX(0,MIN(T257+U257-V257,$D257-(H257+M257+R257)))</f>
        <v>0</v>
      </c>
      <c r="X257" s="55" t="n">
        <f aca="false">V257+W257</f>
        <v>0</v>
      </c>
      <c r="Y257" s="55" t="n">
        <f aca="false">ROUND(MAX(0,Y256+Z256-AC256),2)</f>
        <v>0</v>
      </c>
      <c r="Z257" s="55" t="n">
        <f aca="false">ROUND(Y257*$E$9/12,2)</f>
        <v>0</v>
      </c>
      <c r="AA257" s="55" t="n">
        <f aca="false">MIN($F$9,Y257+Z257)</f>
        <v>0</v>
      </c>
      <c r="AB257" s="55" t="n">
        <f aca="false">MAX(0,MIN(Y257+Z257-AA257,$D257-(H257+M257+R257+W257)))</f>
        <v>0</v>
      </c>
      <c r="AC257" s="55" t="n">
        <f aca="false">AA257+AB257</f>
        <v>0</v>
      </c>
      <c r="AD257" s="55" t="n">
        <f aca="false">ROUND(MAX(0,AD256+AE256-AH256),2)</f>
        <v>0</v>
      </c>
      <c r="AE257" s="55" t="n">
        <f aca="false">ROUND(AD257*$E$10/12,2)</f>
        <v>0</v>
      </c>
      <c r="AF257" s="55" t="n">
        <f aca="false">MIN($F$10,AD257+AE257)</f>
        <v>0</v>
      </c>
      <c r="AG257" s="55" t="n">
        <f aca="false">MAX(0,MIN(AD257+AE257-AF257,$D257-(H257+M257+R257+W257+AB257)))</f>
        <v>0</v>
      </c>
      <c r="AH257" s="55" t="n">
        <f aca="false">AF257+AG257</f>
        <v>0</v>
      </c>
      <c r="AI257" s="55" t="n">
        <f aca="false">ROUND(MAX(0,AI256+AJ256-AM256),2)</f>
        <v>0</v>
      </c>
      <c r="AJ257" s="55" t="n">
        <f aca="false">ROUND(AI257*$E$11/12,2)</f>
        <v>0</v>
      </c>
      <c r="AK257" s="55" t="n">
        <f aca="false">MIN($F$11,AI257+AJ257)</f>
        <v>0</v>
      </c>
      <c r="AL257" s="55" t="n">
        <f aca="false">MAX(0,MIN(AI257+AJ257-AK257,$D257-(H257+M257+R257+W257+AB257+AG257)))</f>
        <v>0</v>
      </c>
      <c r="AM257" s="55" t="n">
        <f aca="false">AK257+AL257</f>
        <v>0</v>
      </c>
      <c r="AN257" s="55" t="n">
        <f aca="false">ROUND(MAX(0,AN256+AO256-AR256),2)</f>
        <v>0</v>
      </c>
      <c r="AO257" s="55" t="n">
        <f aca="false">ROUND(AN257*$E$12/12,2)</f>
        <v>0</v>
      </c>
      <c r="AP257" s="55" t="n">
        <f aca="false">MIN($F$12,AN257+AO257)</f>
        <v>0</v>
      </c>
      <c r="AQ257" s="55" t="n">
        <f aca="false">MAX(0,MIN(AN257+AO257-AP257,$D257-(H257+M257+R257+W257+AB257+AG257+AL257)))</f>
        <v>0</v>
      </c>
      <c r="AR257" s="55" t="n">
        <f aca="false">AP257+AQ257</f>
        <v>0</v>
      </c>
      <c r="AS257" s="55" t="n">
        <f aca="false">ROUND(MAX(0,AS256+AT256-AW256),2)</f>
        <v>0</v>
      </c>
      <c r="AT257" s="55" t="n">
        <f aca="false">ROUND(AS257*$E$13/12,2)</f>
        <v>0</v>
      </c>
      <c r="AU257" s="55" t="n">
        <f aca="false">MIN($F$13,AS257+AT257)</f>
        <v>0</v>
      </c>
      <c r="AV257" s="55" t="n">
        <f aca="false">MAX(0,MIN(AS257+AT257-AU257,$D257-(H257+M257+R257+W257+AB257+AG257+AL257+AQ257)))</f>
        <v>0</v>
      </c>
      <c r="AW257" s="55" t="n">
        <f aca="false">AU257+AV257</f>
        <v>0</v>
      </c>
      <c r="AX257" s="55" t="n">
        <f aca="false">ROUND(MAX(0,AX256+AY256-BB256),2)</f>
        <v>0</v>
      </c>
      <c r="AY257" s="55" t="n">
        <f aca="false">ROUND(AX257*$E$14/12,2)</f>
        <v>0</v>
      </c>
      <c r="AZ257" s="55" t="n">
        <f aca="false">MIN($F$14,AX257+AY257)</f>
        <v>0</v>
      </c>
      <c r="BA257" s="55" t="n">
        <f aca="false">MAX(0,MIN(AX257+AY257-AZ257,$D257-(H257+M257+R257+W257+AB257+AG257+AL257+AQ257+AV257)))</f>
        <v>0</v>
      </c>
      <c r="BB257" s="55" t="n">
        <f aca="false">AZ257+BA257</f>
        <v>0</v>
      </c>
      <c r="BC257" s="55" t="n">
        <f aca="false">I257+N257+S257+X257+AC257+AH257+AM257+AR257+AW257+BB257</f>
        <v>0</v>
      </c>
      <c r="BD257" s="55" t="n">
        <f aca="false">ROUND((E257+F257-I257)+(J257+K257-N257)+(O257+P257-S257)+(T257+U257-X257)+(Y257+Z257-AC257)+(AD257+AE257-AH257)+(AI257+AJ257-AM257)+(AN257+AO257-AR257)+(AS257+AT257-AW257)+(AX257+AY257-BB257),2)</f>
        <v>0</v>
      </c>
      <c r="BE257" s="25" t="str">
        <f aca="false">IF(H257&gt;0.005,$C$5,IF(M257&gt;0.005,$C$6,IF(R257&gt;0.005,$C$7,IF(W257&gt;0.005,$C$8,IF(AB257&gt;0.005,$C$9,IF(AG257&gt;0.005,$C$10,IF(AL257&gt;0.005,$C$11,IF(AQ257&gt;0.005,$C$12,IF(AV257&gt;0.005,$C$13,IF(BA257&gt;0.005,$C$14,""))))))))))</f>
        <v/>
      </c>
    </row>
    <row r="258" customFormat="false" ht="15" hidden="false" customHeight="false" outlineLevel="0" collapsed="false">
      <c r="A258" s="24" t="n">
        <v>235</v>
      </c>
      <c r="B258" s="54" t="n">
        <f aca="false">EDATE($C$17,A258-1)</f>
        <v>53448</v>
      </c>
      <c r="C258" s="55" t="n">
        <f aca="false">G258+L258+Q258+V258+AA258+AF258+AK258+AP258+AU258+AZ258</f>
        <v>0</v>
      </c>
      <c r="D258" s="55" t="n">
        <f aca="false">MAX(0,$C$16-C258)</f>
        <v>5822</v>
      </c>
      <c r="E258" s="55" t="n">
        <f aca="false">ROUND(MAX(0,E257+F257-I257),2)</f>
        <v>0</v>
      </c>
      <c r="F258" s="55" t="n">
        <f aca="false">ROUND(E258*$E$5/12,2)</f>
        <v>0</v>
      </c>
      <c r="G258" s="55" t="n">
        <f aca="false">MIN($F$5,E258+F258)</f>
        <v>0</v>
      </c>
      <c r="H258" s="55" t="n">
        <f aca="false">MAX(0,MIN(E258+F258-G258,$D258))</f>
        <v>0</v>
      </c>
      <c r="I258" s="55" t="n">
        <f aca="false">G258+H258</f>
        <v>0</v>
      </c>
      <c r="J258" s="55" t="n">
        <f aca="false">ROUND(MAX(0,J257+K257-N257),2)</f>
        <v>0</v>
      </c>
      <c r="K258" s="55" t="n">
        <f aca="false">ROUND(J258*$E$6/12,2)</f>
        <v>0</v>
      </c>
      <c r="L258" s="55" t="n">
        <f aca="false">MIN($F$6,J258+K258)</f>
        <v>0</v>
      </c>
      <c r="M258" s="55" t="n">
        <f aca="false">MAX(0,MIN(J258+K258-L258,$D258-(H258)))</f>
        <v>0</v>
      </c>
      <c r="N258" s="55" t="n">
        <f aca="false">L258+M258</f>
        <v>0</v>
      </c>
      <c r="O258" s="55" t="n">
        <f aca="false">ROUND(MAX(0,O257+P257-S257),2)</f>
        <v>0</v>
      </c>
      <c r="P258" s="55" t="n">
        <f aca="false">ROUND(O258*$E$7/12,2)</f>
        <v>0</v>
      </c>
      <c r="Q258" s="55" t="n">
        <f aca="false">MIN($F$7,O258+P258)</f>
        <v>0</v>
      </c>
      <c r="R258" s="55" t="n">
        <f aca="false">MAX(0,MIN(O258+P258-Q258,$D258-(H258+M258)))</f>
        <v>0</v>
      </c>
      <c r="S258" s="55" t="n">
        <f aca="false">Q258+R258</f>
        <v>0</v>
      </c>
      <c r="T258" s="55" t="n">
        <f aca="false">ROUND(MAX(0,T257+U257-X257),2)</f>
        <v>0</v>
      </c>
      <c r="U258" s="55" t="n">
        <f aca="false">ROUND(T258*$E$8/12,2)</f>
        <v>0</v>
      </c>
      <c r="V258" s="55" t="n">
        <f aca="false">MIN($F$8,T258+U258)</f>
        <v>0</v>
      </c>
      <c r="W258" s="55" t="n">
        <f aca="false">MAX(0,MIN(T258+U258-V258,$D258-(H258+M258+R258)))</f>
        <v>0</v>
      </c>
      <c r="X258" s="55" t="n">
        <f aca="false">V258+W258</f>
        <v>0</v>
      </c>
      <c r="Y258" s="55" t="n">
        <f aca="false">ROUND(MAX(0,Y257+Z257-AC257),2)</f>
        <v>0</v>
      </c>
      <c r="Z258" s="55" t="n">
        <f aca="false">ROUND(Y258*$E$9/12,2)</f>
        <v>0</v>
      </c>
      <c r="AA258" s="55" t="n">
        <f aca="false">MIN($F$9,Y258+Z258)</f>
        <v>0</v>
      </c>
      <c r="AB258" s="55" t="n">
        <f aca="false">MAX(0,MIN(Y258+Z258-AA258,$D258-(H258+M258+R258+W258)))</f>
        <v>0</v>
      </c>
      <c r="AC258" s="55" t="n">
        <f aca="false">AA258+AB258</f>
        <v>0</v>
      </c>
      <c r="AD258" s="55" t="n">
        <f aca="false">ROUND(MAX(0,AD257+AE257-AH257),2)</f>
        <v>0</v>
      </c>
      <c r="AE258" s="55" t="n">
        <f aca="false">ROUND(AD258*$E$10/12,2)</f>
        <v>0</v>
      </c>
      <c r="AF258" s="55" t="n">
        <f aca="false">MIN($F$10,AD258+AE258)</f>
        <v>0</v>
      </c>
      <c r="AG258" s="55" t="n">
        <f aca="false">MAX(0,MIN(AD258+AE258-AF258,$D258-(H258+M258+R258+W258+AB258)))</f>
        <v>0</v>
      </c>
      <c r="AH258" s="55" t="n">
        <f aca="false">AF258+AG258</f>
        <v>0</v>
      </c>
      <c r="AI258" s="55" t="n">
        <f aca="false">ROUND(MAX(0,AI257+AJ257-AM257),2)</f>
        <v>0</v>
      </c>
      <c r="AJ258" s="55" t="n">
        <f aca="false">ROUND(AI258*$E$11/12,2)</f>
        <v>0</v>
      </c>
      <c r="AK258" s="55" t="n">
        <f aca="false">MIN($F$11,AI258+AJ258)</f>
        <v>0</v>
      </c>
      <c r="AL258" s="55" t="n">
        <f aca="false">MAX(0,MIN(AI258+AJ258-AK258,$D258-(H258+M258+R258+W258+AB258+AG258)))</f>
        <v>0</v>
      </c>
      <c r="AM258" s="55" t="n">
        <f aca="false">AK258+AL258</f>
        <v>0</v>
      </c>
      <c r="AN258" s="55" t="n">
        <f aca="false">ROUND(MAX(0,AN257+AO257-AR257),2)</f>
        <v>0</v>
      </c>
      <c r="AO258" s="55" t="n">
        <f aca="false">ROUND(AN258*$E$12/12,2)</f>
        <v>0</v>
      </c>
      <c r="AP258" s="55" t="n">
        <f aca="false">MIN($F$12,AN258+AO258)</f>
        <v>0</v>
      </c>
      <c r="AQ258" s="55" t="n">
        <f aca="false">MAX(0,MIN(AN258+AO258-AP258,$D258-(H258+M258+R258+W258+AB258+AG258+AL258)))</f>
        <v>0</v>
      </c>
      <c r="AR258" s="55" t="n">
        <f aca="false">AP258+AQ258</f>
        <v>0</v>
      </c>
      <c r="AS258" s="55" t="n">
        <f aca="false">ROUND(MAX(0,AS257+AT257-AW257),2)</f>
        <v>0</v>
      </c>
      <c r="AT258" s="55" t="n">
        <f aca="false">ROUND(AS258*$E$13/12,2)</f>
        <v>0</v>
      </c>
      <c r="AU258" s="55" t="n">
        <f aca="false">MIN($F$13,AS258+AT258)</f>
        <v>0</v>
      </c>
      <c r="AV258" s="55" t="n">
        <f aca="false">MAX(0,MIN(AS258+AT258-AU258,$D258-(H258+M258+R258+W258+AB258+AG258+AL258+AQ258)))</f>
        <v>0</v>
      </c>
      <c r="AW258" s="55" t="n">
        <f aca="false">AU258+AV258</f>
        <v>0</v>
      </c>
      <c r="AX258" s="55" t="n">
        <f aca="false">ROUND(MAX(0,AX257+AY257-BB257),2)</f>
        <v>0</v>
      </c>
      <c r="AY258" s="55" t="n">
        <f aca="false">ROUND(AX258*$E$14/12,2)</f>
        <v>0</v>
      </c>
      <c r="AZ258" s="55" t="n">
        <f aca="false">MIN($F$14,AX258+AY258)</f>
        <v>0</v>
      </c>
      <c r="BA258" s="55" t="n">
        <f aca="false">MAX(0,MIN(AX258+AY258-AZ258,$D258-(H258+M258+R258+W258+AB258+AG258+AL258+AQ258+AV258)))</f>
        <v>0</v>
      </c>
      <c r="BB258" s="55" t="n">
        <f aca="false">AZ258+BA258</f>
        <v>0</v>
      </c>
      <c r="BC258" s="55" t="n">
        <f aca="false">I258+N258+S258+X258+AC258+AH258+AM258+AR258+AW258+BB258</f>
        <v>0</v>
      </c>
      <c r="BD258" s="55" t="n">
        <f aca="false">ROUND((E258+F258-I258)+(J258+K258-N258)+(O258+P258-S258)+(T258+U258-X258)+(Y258+Z258-AC258)+(AD258+AE258-AH258)+(AI258+AJ258-AM258)+(AN258+AO258-AR258)+(AS258+AT258-AW258)+(AX258+AY258-BB258),2)</f>
        <v>0</v>
      </c>
      <c r="BE258" s="25" t="str">
        <f aca="false">IF(H258&gt;0.005,$C$5,IF(M258&gt;0.005,$C$6,IF(R258&gt;0.005,$C$7,IF(W258&gt;0.005,$C$8,IF(AB258&gt;0.005,$C$9,IF(AG258&gt;0.005,$C$10,IF(AL258&gt;0.005,$C$11,IF(AQ258&gt;0.005,$C$12,IF(AV258&gt;0.005,$C$13,IF(BA258&gt;0.005,$C$14,""))))))))))</f>
        <v/>
      </c>
    </row>
    <row r="259" customFormat="false" ht="15" hidden="false" customHeight="false" outlineLevel="0" collapsed="false">
      <c r="A259" s="24" t="n">
        <v>236</v>
      </c>
      <c r="B259" s="54" t="n">
        <f aca="false">EDATE($C$17,A259-1)</f>
        <v>53479</v>
      </c>
      <c r="C259" s="55" t="n">
        <f aca="false">G259+L259+Q259+V259+AA259+AF259+AK259+AP259+AU259+AZ259</f>
        <v>0</v>
      </c>
      <c r="D259" s="55" t="n">
        <f aca="false">MAX(0,$C$16-C259)</f>
        <v>5822</v>
      </c>
      <c r="E259" s="55" t="n">
        <f aca="false">ROUND(MAX(0,E258+F258-I258),2)</f>
        <v>0</v>
      </c>
      <c r="F259" s="55" t="n">
        <f aca="false">ROUND(E259*$E$5/12,2)</f>
        <v>0</v>
      </c>
      <c r="G259" s="55" t="n">
        <f aca="false">MIN($F$5,E259+F259)</f>
        <v>0</v>
      </c>
      <c r="H259" s="55" t="n">
        <f aca="false">MAX(0,MIN(E259+F259-G259,$D259))</f>
        <v>0</v>
      </c>
      <c r="I259" s="55" t="n">
        <f aca="false">G259+H259</f>
        <v>0</v>
      </c>
      <c r="J259" s="55" t="n">
        <f aca="false">ROUND(MAX(0,J258+K258-N258),2)</f>
        <v>0</v>
      </c>
      <c r="K259" s="55" t="n">
        <f aca="false">ROUND(J259*$E$6/12,2)</f>
        <v>0</v>
      </c>
      <c r="L259" s="55" t="n">
        <f aca="false">MIN($F$6,J259+K259)</f>
        <v>0</v>
      </c>
      <c r="M259" s="55" t="n">
        <f aca="false">MAX(0,MIN(J259+K259-L259,$D259-(H259)))</f>
        <v>0</v>
      </c>
      <c r="N259" s="55" t="n">
        <f aca="false">L259+M259</f>
        <v>0</v>
      </c>
      <c r="O259" s="55" t="n">
        <f aca="false">ROUND(MAX(0,O258+P258-S258),2)</f>
        <v>0</v>
      </c>
      <c r="P259" s="55" t="n">
        <f aca="false">ROUND(O259*$E$7/12,2)</f>
        <v>0</v>
      </c>
      <c r="Q259" s="55" t="n">
        <f aca="false">MIN($F$7,O259+P259)</f>
        <v>0</v>
      </c>
      <c r="R259" s="55" t="n">
        <f aca="false">MAX(0,MIN(O259+P259-Q259,$D259-(H259+M259)))</f>
        <v>0</v>
      </c>
      <c r="S259" s="55" t="n">
        <f aca="false">Q259+R259</f>
        <v>0</v>
      </c>
      <c r="T259" s="55" t="n">
        <f aca="false">ROUND(MAX(0,T258+U258-X258),2)</f>
        <v>0</v>
      </c>
      <c r="U259" s="55" t="n">
        <f aca="false">ROUND(T259*$E$8/12,2)</f>
        <v>0</v>
      </c>
      <c r="V259" s="55" t="n">
        <f aca="false">MIN($F$8,T259+U259)</f>
        <v>0</v>
      </c>
      <c r="W259" s="55" t="n">
        <f aca="false">MAX(0,MIN(T259+U259-V259,$D259-(H259+M259+R259)))</f>
        <v>0</v>
      </c>
      <c r="X259" s="55" t="n">
        <f aca="false">V259+W259</f>
        <v>0</v>
      </c>
      <c r="Y259" s="55" t="n">
        <f aca="false">ROUND(MAX(0,Y258+Z258-AC258),2)</f>
        <v>0</v>
      </c>
      <c r="Z259" s="55" t="n">
        <f aca="false">ROUND(Y259*$E$9/12,2)</f>
        <v>0</v>
      </c>
      <c r="AA259" s="55" t="n">
        <f aca="false">MIN($F$9,Y259+Z259)</f>
        <v>0</v>
      </c>
      <c r="AB259" s="55" t="n">
        <f aca="false">MAX(0,MIN(Y259+Z259-AA259,$D259-(H259+M259+R259+W259)))</f>
        <v>0</v>
      </c>
      <c r="AC259" s="55" t="n">
        <f aca="false">AA259+AB259</f>
        <v>0</v>
      </c>
      <c r="AD259" s="55" t="n">
        <f aca="false">ROUND(MAX(0,AD258+AE258-AH258),2)</f>
        <v>0</v>
      </c>
      <c r="AE259" s="55" t="n">
        <f aca="false">ROUND(AD259*$E$10/12,2)</f>
        <v>0</v>
      </c>
      <c r="AF259" s="55" t="n">
        <f aca="false">MIN($F$10,AD259+AE259)</f>
        <v>0</v>
      </c>
      <c r="AG259" s="55" t="n">
        <f aca="false">MAX(0,MIN(AD259+AE259-AF259,$D259-(H259+M259+R259+W259+AB259)))</f>
        <v>0</v>
      </c>
      <c r="AH259" s="55" t="n">
        <f aca="false">AF259+AG259</f>
        <v>0</v>
      </c>
      <c r="AI259" s="55" t="n">
        <f aca="false">ROUND(MAX(0,AI258+AJ258-AM258),2)</f>
        <v>0</v>
      </c>
      <c r="AJ259" s="55" t="n">
        <f aca="false">ROUND(AI259*$E$11/12,2)</f>
        <v>0</v>
      </c>
      <c r="AK259" s="55" t="n">
        <f aca="false">MIN($F$11,AI259+AJ259)</f>
        <v>0</v>
      </c>
      <c r="AL259" s="55" t="n">
        <f aca="false">MAX(0,MIN(AI259+AJ259-AK259,$D259-(H259+M259+R259+W259+AB259+AG259)))</f>
        <v>0</v>
      </c>
      <c r="AM259" s="55" t="n">
        <f aca="false">AK259+AL259</f>
        <v>0</v>
      </c>
      <c r="AN259" s="55" t="n">
        <f aca="false">ROUND(MAX(0,AN258+AO258-AR258),2)</f>
        <v>0</v>
      </c>
      <c r="AO259" s="55" t="n">
        <f aca="false">ROUND(AN259*$E$12/12,2)</f>
        <v>0</v>
      </c>
      <c r="AP259" s="55" t="n">
        <f aca="false">MIN($F$12,AN259+AO259)</f>
        <v>0</v>
      </c>
      <c r="AQ259" s="55" t="n">
        <f aca="false">MAX(0,MIN(AN259+AO259-AP259,$D259-(H259+M259+R259+W259+AB259+AG259+AL259)))</f>
        <v>0</v>
      </c>
      <c r="AR259" s="55" t="n">
        <f aca="false">AP259+AQ259</f>
        <v>0</v>
      </c>
      <c r="AS259" s="55" t="n">
        <f aca="false">ROUND(MAX(0,AS258+AT258-AW258),2)</f>
        <v>0</v>
      </c>
      <c r="AT259" s="55" t="n">
        <f aca="false">ROUND(AS259*$E$13/12,2)</f>
        <v>0</v>
      </c>
      <c r="AU259" s="55" t="n">
        <f aca="false">MIN($F$13,AS259+AT259)</f>
        <v>0</v>
      </c>
      <c r="AV259" s="55" t="n">
        <f aca="false">MAX(0,MIN(AS259+AT259-AU259,$D259-(H259+M259+R259+W259+AB259+AG259+AL259+AQ259)))</f>
        <v>0</v>
      </c>
      <c r="AW259" s="55" t="n">
        <f aca="false">AU259+AV259</f>
        <v>0</v>
      </c>
      <c r="AX259" s="55" t="n">
        <f aca="false">ROUND(MAX(0,AX258+AY258-BB258),2)</f>
        <v>0</v>
      </c>
      <c r="AY259" s="55" t="n">
        <f aca="false">ROUND(AX259*$E$14/12,2)</f>
        <v>0</v>
      </c>
      <c r="AZ259" s="55" t="n">
        <f aca="false">MIN($F$14,AX259+AY259)</f>
        <v>0</v>
      </c>
      <c r="BA259" s="55" t="n">
        <f aca="false">MAX(0,MIN(AX259+AY259-AZ259,$D259-(H259+M259+R259+W259+AB259+AG259+AL259+AQ259+AV259)))</f>
        <v>0</v>
      </c>
      <c r="BB259" s="55" t="n">
        <f aca="false">AZ259+BA259</f>
        <v>0</v>
      </c>
      <c r="BC259" s="55" t="n">
        <f aca="false">I259+N259+S259+X259+AC259+AH259+AM259+AR259+AW259+BB259</f>
        <v>0</v>
      </c>
      <c r="BD259" s="55" t="n">
        <f aca="false">ROUND((E259+F259-I259)+(J259+K259-N259)+(O259+P259-S259)+(T259+U259-X259)+(Y259+Z259-AC259)+(AD259+AE259-AH259)+(AI259+AJ259-AM259)+(AN259+AO259-AR259)+(AS259+AT259-AW259)+(AX259+AY259-BB259),2)</f>
        <v>0</v>
      </c>
      <c r="BE259" s="25" t="str">
        <f aca="false">IF(H259&gt;0.005,$C$5,IF(M259&gt;0.005,$C$6,IF(R259&gt;0.005,$C$7,IF(W259&gt;0.005,$C$8,IF(AB259&gt;0.005,$C$9,IF(AG259&gt;0.005,$C$10,IF(AL259&gt;0.005,$C$11,IF(AQ259&gt;0.005,$C$12,IF(AV259&gt;0.005,$C$13,IF(BA259&gt;0.005,$C$14,""))))))))))</f>
        <v/>
      </c>
    </row>
    <row r="260" customFormat="false" ht="15" hidden="false" customHeight="false" outlineLevel="0" collapsed="false">
      <c r="A260" s="24" t="n">
        <v>237</v>
      </c>
      <c r="B260" s="54" t="n">
        <f aca="false">EDATE($C$17,A260-1)</f>
        <v>53509</v>
      </c>
      <c r="C260" s="55" t="n">
        <f aca="false">G260+L260+Q260+V260+AA260+AF260+AK260+AP260+AU260+AZ260</f>
        <v>0</v>
      </c>
      <c r="D260" s="55" t="n">
        <f aca="false">MAX(0,$C$16-C260)</f>
        <v>5822</v>
      </c>
      <c r="E260" s="55" t="n">
        <f aca="false">ROUND(MAX(0,E259+F259-I259),2)</f>
        <v>0</v>
      </c>
      <c r="F260" s="55" t="n">
        <f aca="false">ROUND(E260*$E$5/12,2)</f>
        <v>0</v>
      </c>
      <c r="G260" s="55" t="n">
        <f aca="false">MIN($F$5,E260+F260)</f>
        <v>0</v>
      </c>
      <c r="H260" s="55" t="n">
        <f aca="false">MAX(0,MIN(E260+F260-G260,$D260))</f>
        <v>0</v>
      </c>
      <c r="I260" s="55" t="n">
        <f aca="false">G260+H260</f>
        <v>0</v>
      </c>
      <c r="J260" s="55" t="n">
        <f aca="false">ROUND(MAX(0,J259+K259-N259),2)</f>
        <v>0</v>
      </c>
      <c r="K260" s="55" t="n">
        <f aca="false">ROUND(J260*$E$6/12,2)</f>
        <v>0</v>
      </c>
      <c r="L260" s="55" t="n">
        <f aca="false">MIN($F$6,J260+K260)</f>
        <v>0</v>
      </c>
      <c r="M260" s="55" t="n">
        <f aca="false">MAX(0,MIN(J260+K260-L260,$D260-(H260)))</f>
        <v>0</v>
      </c>
      <c r="N260" s="55" t="n">
        <f aca="false">L260+M260</f>
        <v>0</v>
      </c>
      <c r="O260" s="55" t="n">
        <f aca="false">ROUND(MAX(0,O259+P259-S259),2)</f>
        <v>0</v>
      </c>
      <c r="P260" s="55" t="n">
        <f aca="false">ROUND(O260*$E$7/12,2)</f>
        <v>0</v>
      </c>
      <c r="Q260" s="55" t="n">
        <f aca="false">MIN($F$7,O260+P260)</f>
        <v>0</v>
      </c>
      <c r="R260" s="55" t="n">
        <f aca="false">MAX(0,MIN(O260+P260-Q260,$D260-(H260+M260)))</f>
        <v>0</v>
      </c>
      <c r="S260" s="55" t="n">
        <f aca="false">Q260+R260</f>
        <v>0</v>
      </c>
      <c r="T260" s="55" t="n">
        <f aca="false">ROUND(MAX(0,T259+U259-X259),2)</f>
        <v>0</v>
      </c>
      <c r="U260" s="55" t="n">
        <f aca="false">ROUND(T260*$E$8/12,2)</f>
        <v>0</v>
      </c>
      <c r="V260" s="55" t="n">
        <f aca="false">MIN($F$8,T260+U260)</f>
        <v>0</v>
      </c>
      <c r="W260" s="55" t="n">
        <f aca="false">MAX(0,MIN(T260+U260-V260,$D260-(H260+M260+R260)))</f>
        <v>0</v>
      </c>
      <c r="X260" s="55" t="n">
        <f aca="false">V260+W260</f>
        <v>0</v>
      </c>
      <c r="Y260" s="55" t="n">
        <f aca="false">ROUND(MAX(0,Y259+Z259-AC259),2)</f>
        <v>0</v>
      </c>
      <c r="Z260" s="55" t="n">
        <f aca="false">ROUND(Y260*$E$9/12,2)</f>
        <v>0</v>
      </c>
      <c r="AA260" s="55" t="n">
        <f aca="false">MIN($F$9,Y260+Z260)</f>
        <v>0</v>
      </c>
      <c r="AB260" s="55" t="n">
        <f aca="false">MAX(0,MIN(Y260+Z260-AA260,$D260-(H260+M260+R260+W260)))</f>
        <v>0</v>
      </c>
      <c r="AC260" s="55" t="n">
        <f aca="false">AA260+AB260</f>
        <v>0</v>
      </c>
      <c r="AD260" s="55" t="n">
        <f aca="false">ROUND(MAX(0,AD259+AE259-AH259),2)</f>
        <v>0</v>
      </c>
      <c r="AE260" s="55" t="n">
        <f aca="false">ROUND(AD260*$E$10/12,2)</f>
        <v>0</v>
      </c>
      <c r="AF260" s="55" t="n">
        <f aca="false">MIN($F$10,AD260+AE260)</f>
        <v>0</v>
      </c>
      <c r="AG260" s="55" t="n">
        <f aca="false">MAX(0,MIN(AD260+AE260-AF260,$D260-(H260+M260+R260+W260+AB260)))</f>
        <v>0</v>
      </c>
      <c r="AH260" s="55" t="n">
        <f aca="false">AF260+AG260</f>
        <v>0</v>
      </c>
      <c r="AI260" s="55" t="n">
        <f aca="false">ROUND(MAX(0,AI259+AJ259-AM259),2)</f>
        <v>0</v>
      </c>
      <c r="AJ260" s="55" t="n">
        <f aca="false">ROUND(AI260*$E$11/12,2)</f>
        <v>0</v>
      </c>
      <c r="AK260" s="55" t="n">
        <f aca="false">MIN($F$11,AI260+AJ260)</f>
        <v>0</v>
      </c>
      <c r="AL260" s="55" t="n">
        <f aca="false">MAX(0,MIN(AI260+AJ260-AK260,$D260-(H260+M260+R260+W260+AB260+AG260)))</f>
        <v>0</v>
      </c>
      <c r="AM260" s="55" t="n">
        <f aca="false">AK260+AL260</f>
        <v>0</v>
      </c>
      <c r="AN260" s="55" t="n">
        <f aca="false">ROUND(MAX(0,AN259+AO259-AR259),2)</f>
        <v>0</v>
      </c>
      <c r="AO260" s="55" t="n">
        <f aca="false">ROUND(AN260*$E$12/12,2)</f>
        <v>0</v>
      </c>
      <c r="AP260" s="55" t="n">
        <f aca="false">MIN($F$12,AN260+AO260)</f>
        <v>0</v>
      </c>
      <c r="AQ260" s="55" t="n">
        <f aca="false">MAX(0,MIN(AN260+AO260-AP260,$D260-(H260+M260+R260+W260+AB260+AG260+AL260)))</f>
        <v>0</v>
      </c>
      <c r="AR260" s="55" t="n">
        <f aca="false">AP260+AQ260</f>
        <v>0</v>
      </c>
      <c r="AS260" s="55" t="n">
        <f aca="false">ROUND(MAX(0,AS259+AT259-AW259),2)</f>
        <v>0</v>
      </c>
      <c r="AT260" s="55" t="n">
        <f aca="false">ROUND(AS260*$E$13/12,2)</f>
        <v>0</v>
      </c>
      <c r="AU260" s="55" t="n">
        <f aca="false">MIN($F$13,AS260+AT260)</f>
        <v>0</v>
      </c>
      <c r="AV260" s="55" t="n">
        <f aca="false">MAX(0,MIN(AS260+AT260-AU260,$D260-(H260+M260+R260+W260+AB260+AG260+AL260+AQ260)))</f>
        <v>0</v>
      </c>
      <c r="AW260" s="55" t="n">
        <f aca="false">AU260+AV260</f>
        <v>0</v>
      </c>
      <c r="AX260" s="55" t="n">
        <f aca="false">ROUND(MAX(0,AX259+AY259-BB259),2)</f>
        <v>0</v>
      </c>
      <c r="AY260" s="55" t="n">
        <f aca="false">ROUND(AX260*$E$14/12,2)</f>
        <v>0</v>
      </c>
      <c r="AZ260" s="55" t="n">
        <f aca="false">MIN($F$14,AX260+AY260)</f>
        <v>0</v>
      </c>
      <c r="BA260" s="55" t="n">
        <f aca="false">MAX(0,MIN(AX260+AY260-AZ260,$D260-(H260+M260+R260+W260+AB260+AG260+AL260+AQ260+AV260)))</f>
        <v>0</v>
      </c>
      <c r="BB260" s="55" t="n">
        <f aca="false">AZ260+BA260</f>
        <v>0</v>
      </c>
      <c r="BC260" s="55" t="n">
        <f aca="false">I260+N260+S260+X260+AC260+AH260+AM260+AR260+AW260+BB260</f>
        <v>0</v>
      </c>
      <c r="BD260" s="55" t="n">
        <f aca="false">ROUND((E260+F260-I260)+(J260+K260-N260)+(O260+P260-S260)+(T260+U260-X260)+(Y260+Z260-AC260)+(AD260+AE260-AH260)+(AI260+AJ260-AM260)+(AN260+AO260-AR260)+(AS260+AT260-AW260)+(AX260+AY260-BB260),2)</f>
        <v>0</v>
      </c>
      <c r="BE260" s="25" t="str">
        <f aca="false">IF(H260&gt;0.005,$C$5,IF(M260&gt;0.005,$C$6,IF(R260&gt;0.005,$C$7,IF(W260&gt;0.005,$C$8,IF(AB260&gt;0.005,$C$9,IF(AG260&gt;0.005,$C$10,IF(AL260&gt;0.005,$C$11,IF(AQ260&gt;0.005,$C$12,IF(AV260&gt;0.005,$C$13,IF(BA260&gt;0.005,$C$14,""))))))))))</f>
        <v/>
      </c>
    </row>
    <row r="261" customFormat="false" ht="15" hidden="false" customHeight="false" outlineLevel="0" collapsed="false">
      <c r="A261" s="24" t="n">
        <v>238</v>
      </c>
      <c r="B261" s="54" t="n">
        <f aca="false">EDATE($C$17,A261-1)</f>
        <v>53540</v>
      </c>
      <c r="C261" s="55" t="n">
        <f aca="false">G261+L261+Q261+V261+AA261+AF261+AK261+AP261+AU261+AZ261</f>
        <v>0</v>
      </c>
      <c r="D261" s="55" t="n">
        <f aca="false">MAX(0,$C$16-C261)</f>
        <v>5822</v>
      </c>
      <c r="E261" s="55" t="n">
        <f aca="false">ROUND(MAX(0,E260+F260-I260),2)</f>
        <v>0</v>
      </c>
      <c r="F261" s="55" t="n">
        <f aca="false">ROUND(E261*$E$5/12,2)</f>
        <v>0</v>
      </c>
      <c r="G261" s="55" t="n">
        <f aca="false">MIN($F$5,E261+F261)</f>
        <v>0</v>
      </c>
      <c r="H261" s="55" t="n">
        <f aca="false">MAX(0,MIN(E261+F261-G261,$D261))</f>
        <v>0</v>
      </c>
      <c r="I261" s="55" t="n">
        <f aca="false">G261+H261</f>
        <v>0</v>
      </c>
      <c r="J261" s="55" t="n">
        <f aca="false">ROUND(MAX(0,J260+K260-N260),2)</f>
        <v>0</v>
      </c>
      <c r="K261" s="55" t="n">
        <f aca="false">ROUND(J261*$E$6/12,2)</f>
        <v>0</v>
      </c>
      <c r="L261" s="55" t="n">
        <f aca="false">MIN($F$6,J261+K261)</f>
        <v>0</v>
      </c>
      <c r="M261" s="55" t="n">
        <f aca="false">MAX(0,MIN(J261+K261-L261,$D261-(H261)))</f>
        <v>0</v>
      </c>
      <c r="N261" s="55" t="n">
        <f aca="false">L261+M261</f>
        <v>0</v>
      </c>
      <c r="O261" s="55" t="n">
        <f aca="false">ROUND(MAX(0,O260+P260-S260),2)</f>
        <v>0</v>
      </c>
      <c r="P261" s="55" t="n">
        <f aca="false">ROUND(O261*$E$7/12,2)</f>
        <v>0</v>
      </c>
      <c r="Q261" s="55" t="n">
        <f aca="false">MIN($F$7,O261+P261)</f>
        <v>0</v>
      </c>
      <c r="R261" s="55" t="n">
        <f aca="false">MAX(0,MIN(O261+P261-Q261,$D261-(H261+M261)))</f>
        <v>0</v>
      </c>
      <c r="S261" s="55" t="n">
        <f aca="false">Q261+R261</f>
        <v>0</v>
      </c>
      <c r="T261" s="55" t="n">
        <f aca="false">ROUND(MAX(0,T260+U260-X260),2)</f>
        <v>0</v>
      </c>
      <c r="U261" s="55" t="n">
        <f aca="false">ROUND(T261*$E$8/12,2)</f>
        <v>0</v>
      </c>
      <c r="V261" s="55" t="n">
        <f aca="false">MIN($F$8,T261+U261)</f>
        <v>0</v>
      </c>
      <c r="W261" s="55" t="n">
        <f aca="false">MAX(0,MIN(T261+U261-V261,$D261-(H261+M261+R261)))</f>
        <v>0</v>
      </c>
      <c r="X261" s="55" t="n">
        <f aca="false">V261+W261</f>
        <v>0</v>
      </c>
      <c r="Y261" s="55" t="n">
        <f aca="false">ROUND(MAX(0,Y260+Z260-AC260),2)</f>
        <v>0</v>
      </c>
      <c r="Z261" s="55" t="n">
        <f aca="false">ROUND(Y261*$E$9/12,2)</f>
        <v>0</v>
      </c>
      <c r="AA261" s="55" t="n">
        <f aca="false">MIN($F$9,Y261+Z261)</f>
        <v>0</v>
      </c>
      <c r="AB261" s="55" t="n">
        <f aca="false">MAX(0,MIN(Y261+Z261-AA261,$D261-(H261+M261+R261+W261)))</f>
        <v>0</v>
      </c>
      <c r="AC261" s="55" t="n">
        <f aca="false">AA261+AB261</f>
        <v>0</v>
      </c>
      <c r="AD261" s="55" t="n">
        <f aca="false">ROUND(MAX(0,AD260+AE260-AH260),2)</f>
        <v>0</v>
      </c>
      <c r="AE261" s="55" t="n">
        <f aca="false">ROUND(AD261*$E$10/12,2)</f>
        <v>0</v>
      </c>
      <c r="AF261" s="55" t="n">
        <f aca="false">MIN($F$10,AD261+AE261)</f>
        <v>0</v>
      </c>
      <c r="AG261" s="55" t="n">
        <f aca="false">MAX(0,MIN(AD261+AE261-AF261,$D261-(H261+M261+R261+W261+AB261)))</f>
        <v>0</v>
      </c>
      <c r="AH261" s="55" t="n">
        <f aca="false">AF261+AG261</f>
        <v>0</v>
      </c>
      <c r="AI261" s="55" t="n">
        <f aca="false">ROUND(MAX(0,AI260+AJ260-AM260),2)</f>
        <v>0</v>
      </c>
      <c r="AJ261" s="55" t="n">
        <f aca="false">ROUND(AI261*$E$11/12,2)</f>
        <v>0</v>
      </c>
      <c r="AK261" s="55" t="n">
        <f aca="false">MIN($F$11,AI261+AJ261)</f>
        <v>0</v>
      </c>
      <c r="AL261" s="55" t="n">
        <f aca="false">MAX(0,MIN(AI261+AJ261-AK261,$D261-(H261+M261+R261+W261+AB261+AG261)))</f>
        <v>0</v>
      </c>
      <c r="AM261" s="55" t="n">
        <f aca="false">AK261+AL261</f>
        <v>0</v>
      </c>
      <c r="AN261" s="55" t="n">
        <f aca="false">ROUND(MAX(0,AN260+AO260-AR260),2)</f>
        <v>0</v>
      </c>
      <c r="AO261" s="55" t="n">
        <f aca="false">ROUND(AN261*$E$12/12,2)</f>
        <v>0</v>
      </c>
      <c r="AP261" s="55" t="n">
        <f aca="false">MIN($F$12,AN261+AO261)</f>
        <v>0</v>
      </c>
      <c r="AQ261" s="55" t="n">
        <f aca="false">MAX(0,MIN(AN261+AO261-AP261,$D261-(H261+M261+R261+W261+AB261+AG261+AL261)))</f>
        <v>0</v>
      </c>
      <c r="AR261" s="55" t="n">
        <f aca="false">AP261+AQ261</f>
        <v>0</v>
      </c>
      <c r="AS261" s="55" t="n">
        <f aca="false">ROUND(MAX(0,AS260+AT260-AW260),2)</f>
        <v>0</v>
      </c>
      <c r="AT261" s="55" t="n">
        <f aca="false">ROUND(AS261*$E$13/12,2)</f>
        <v>0</v>
      </c>
      <c r="AU261" s="55" t="n">
        <f aca="false">MIN($F$13,AS261+AT261)</f>
        <v>0</v>
      </c>
      <c r="AV261" s="55" t="n">
        <f aca="false">MAX(0,MIN(AS261+AT261-AU261,$D261-(H261+M261+R261+W261+AB261+AG261+AL261+AQ261)))</f>
        <v>0</v>
      </c>
      <c r="AW261" s="55" t="n">
        <f aca="false">AU261+AV261</f>
        <v>0</v>
      </c>
      <c r="AX261" s="55" t="n">
        <f aca="false">ROUND(MAX(0,AX260+AY260-BB260),2)</f>
        <v>0</v>
      </c>
      <c r="AY261" s="55" t="n">
        <f aca="false">ROUND(AX261*$E$14/12,2)</f>
        <v>0</v>
      </c>
      <c r="AZ261" s="55" t="n">
        <f aca="false">MIN($F$14,AX261+AY261)</f>
        <v>0</v>
      </c>
      <c r="BA261" s="55" t="n">
        <f aca="false">MAX(0,MIN(AX261+AY261-AZ261,$D261-(H261+M261+R261+W261+AB261+AG261+AL261+AQ261+AV261)))</f>
        <v>0</v>
      </c>
      <c r="BB261" s="55" t="n">
        <f aca="false">AZ261+BA261</f>
        <v>0</v>
      </c>
      <c r="BC261" s="55" t="n">
        <f aca="false">I261+N261+S261+X261+AC261+AH261+AM261+AR261+AW261+BB261</f>
        <v>0</v>
      </c>
      <c r="BD261" s="55" t="n">
        <f aca="false">ROUND((E261+F261-I261)+(J261+K261-N261)+(O261+P261-S261)+(T261+U261-X261)+(Y261+Z261-AC261)+(AD261+AE261-AH261)+(AI261+AJ261-AM261)+(AN261+AO261-AR261)+(AS261+AT261-AW261)+(AX261+AY261-BB261),2)</f>
        <v>0</v>
      </c>
      <c r="BE261" s="25" t="str">
        <f aca="false">IF(H261&gt;0.005,$C$5,IF(M261&gt;0.005,$C$6,IF(R261&gt;0.005,$C$7,IF(W261&gt;0.005,$C$8,IF(AB261&gt;0.005,$C$9,IF(AG261&gt;0.005,$C$10,IF(AL261&gt;0.005,$C$11,IF(AQ261&gt;0.005,$C$12,IF(AV261&gt;0.005,$C$13,IF(BA261&gt;0.005,$C$14,""))))))))))</f>
        <v/>
      </c>
    </row>
    <row r="262" customFormat="false" ht="15" hidden="false" customHeight="false" outlineLevel="0" collapsed="false">
      <c r="A262" s="24" t="n">
        <v>239</v>
      </c>
      <c r="B262" s="54" t="n">
        <f aca="false">EDATE($C$17,A262-1)</f>
        <v>53571</v>
      </c>
      <c r="C262" s="55" t="n">
        <f aca="false">G262+L262+Q262+V262+AA262+AF262+AK262+AP262+AU262+AZ262</f>
        <v>0</v>
      </c>
      <c r="D262" s="55" t="n">
        <f aca="false">MAX(0,$C$16-C262)</f>
        <v>5822</v>
      </c>
      <c r="E262" s="55" t="n">
        <f aca="false">ROUND(MAX(0,E261+F261-I261),2)</f>
        <v>0</v>
      </c>
      <c r="F262" s="55" t="n">
        <f aca="false">ROUND(E262*$E$5/12,2)</f>
        <v>0</v>
      </c>
      <c r="G262" s="55" t="n">
        <f aca="false">MIN($F$5,E262+F262)</f>
        <v>0</v>
      </c>
      <c r="H262" s="55" t="n">
        <f aca="false">MAX(0,MIN(E262+F262-G262,$D262))</f>
        <v>0</v>
      </c>
      <c r="I262" s="55" t="n">
        <f aca="false">G262+H262</f>
        <v>0</v>
      </c>
      <c r="J262" s="55" t="n">
        <f aca="false">ROUND(MAX(0,J261+K261-N261),2)</f>
        <v>0</v>
      </c>
      <c r="K262" s="55" t="n">
        <f aca="false">ROUND(J262*$E$6/12,2)</f>
        <v>0</v>
      </c>
      <c r="L262" s="55" t="n">
        <f aca="false">MIN($F$6,J262+K262)</f>
        <v>0</v>
      </c>
      <c r="M262" s="55" t="n">
        <f aca="false">MAX(0,MIN(J262+K262-L262,$D262-(H262)))</f>
        <v>0</v>
      </c>
      <c r="N262" s="55" t="n">
        <f aca="false">L262+M262</f>
        <v>0</v>
      </c>
      <c r="O262" s="55" t="n">
        <f aca="false">ROUND(MAX(0,O261+P261-S261),2)</f>
        <v>0</v>
      </c>
      <c r="P262" s="55" t="n">
        <f aca="false">ROUND(O262*$E$7/12,2)</f>
        <v>0</v>
      </c>
      <c r="Q262" s="55" t="n">
        <f aca="false">MIN($F$7,O262+P262)</f>
        <v>0</v>
      </c>
      <c r="R262" s="55" t="n">
        <f aca="false">MAX(0,MIN(O262+P262-Q262,$D262-(H262+M262)))</f>
        <v>0</v>
      </c>
      <c r="S262" s="55" t="n">
        <f aca="false">Q262+R262</f>
        <v>0</v>
      </c>
      <c r="T262" s="55" t="n">
        <f aca="false">ROUND(MAX(0,T261+U261-X261),2)</f>
        <v>0</v>
      </c>
      <c r="U262" s="55" t="n">
        <f aca="false">ROUND(T262*$E$8/12,2)</f>
        <v>0</v>
      </c>
      <c r="V262" s="55" t="n">
        <f aca="false">MIN($F$8,T262+U262)</f>
        <v>0</v>
      </c>
      <c r="W262" s="55" t="n">
        <f aca="false">MAX(0,MIN(T262+U262-V262,$D262-(H262+M262+R262)))</f>
        <v>0</v>
      </c>
      <c r="X262" s="55" t="n">
        <f aca="false">V262+W262</f>
        <v>0</v>
      </c>
      <c r="Y262" s="55" t="n">
        <f aca="false">ROUND(MAX(0,Y261+Z261-AC261),2)</f>
        <v>0</v>
      </c>
      <c r="Z262" s="55" t="n">
        <f aca="false">ROUND(Y262*$E$9/12,2)</f>
        <v>0</v>
      </c>
      <c r="AA262" s="55" t="n">
        <f aca="false">MIN($F$9,Y262+Z262)</f>
        <v>0</v>
      </c>
      <c r="AB262" s="55" t="n">
        <f aca="false">MAX(0,MIN(Y262+Z262-AA262,$D262-(H262+M262+R262+W262)))</f>
        <v>0</v>
      </c>
      <c r="AC262" s="55" t="n">
        <f aca="false">AA262+AB262</f>
        <v>0</v>
      </c>
      <c r="AD262" s="55" t="n">
        <f aca="false">ROUND(MAX(0,AD261+AE261-AH261),2)</f>
        <v>0</v>
      </c>
      <c r="AE262" s="55" t="n">
        <f aca="false">ROUND(AD262*$E$10/12,2)</f>
        <v>0</v>
      </c>
      <c r="AF262" s="55" t="n">
        <f aca="false">MIN($F$10,AD262+AE262)</f>
        <v>0</v>
      </c>
      <c r="AG262" s="55" t="n">
        <f aca="false">MAX(0,MIN(AD262+AE262-AF262,$D262-(H262+M262+R262+W262+AB262)))</f>
        <v>0</v>
      </c>
      <c r="AH262" s="55" t="n">
        <f aca="false">AF262+AG262</f>
        <v>0</v>
      </c>
      <c r="AI262" s="55" t="n">
        <f aca="false">ROUND(MAX(0,AI261+AJ261-AM261),2)</f>
        <v>0</v>
      </c>
      <c r="AJ262" s="55" t="n">
        <f aca="false">ROUND(AI262*$E$11/12,2)</f>
        <v>0</v>
      </c>
      <c r="AK262" s="55" t="n">
        <f aca="false">MIN($F$11,AI262+AJ262)</f>
        <v>0</v>
      </c>
      <c r="AL262" s="55" t="n">
        <f aca="false">MAX(0,MIN(AI262+AJ262-AK262,$D262-(H262+M262+R262+W262+AB262+AG262)))</f>
        <v>0</v>
      </c>
      <c r="AM262" s="55" t="n">
        <f aca="false">AK262+AL262</f>
        <v>0</v>
      </c>
      <c r="AN262" s="55" t="n">
        <f aca="false">ROUND(MAX(0,AN261+AO261-AR261),2)</f>
        <v>0</v>
      </c>
      <c r="AO262" s="55" t="n">
        <f aca="false">ROUND(AN262*$E$12/12,2)</f>
        <v>0</v>
      </c>
      <c r="AP262" s="55" t="n">
        <f aca="false">MIN($F$12,AN262+AO262)</f>
        <v>0</v>
      </c>
      <c r="AQ262" s="55" t="n">
        <f aca="false">MAX(0,MIN(AN262+AO262-AP262,$D262-(H262+M262+R262+W262+AB262+AG262+AL262)))</f>
        <v>0</v>
      </c>
      <c r="AR262" s="55" t="n">
        <f aca="false">AP262+AQ262</f>
        <v>0</v>
      </c>
      <c r="AS262" s="55" t="n">
        <f aca="false">ROUND(MAX(0,AS261+AT261-AW261),2)</f>
        <v>0</v>
      </c>
      <c r="AT262" s="55" t="n">
        <f aca="false">ROUND(AS262*$E$13/12,2)</f>
        <v>0</v>
      </c>
      <c r="AU262" s="55" t="n">
        <f aca="false">MIN($F$13,AS262+AT262)</f>
        <v>0</v>
      </c>
      <c r="AV262" s="55" t="n">
        <f aca="false">MAX(0,MIN(AS262+AT262-AU262,$D262-(H262+M262+R262+W262+AB262+AG262+AL262+AQ262)))</f>
        <v>0</v>
      </c>
      <c r="AW262" s="55" t="n">
        <f aca="false">AU262+AV262</f>
        <v>0</v>
      </c>
      <c r="AX262" s="55" t="n">
        <f aca="false">ROUND(MAX(0,AX261+AY261-BB261),2)</f>
        <v>0</v>
      </c>
      <c r="AY262" s="55" t="n">
        <f aca="false">ROUND(AX262*$E$14/12,2)</f>
        <v>0</v>
      </c>
      <c r="AZ262" s="55" t="n">
        <f aca="false">MIN($F$14,AX262+AY262)</f>
        <v>0</v>
      </c>
      <c r="BA262" s="55" t="n">
        <f aca="false">MAX(0,MIN(AX262+AY262-AZ262,$D262-(H262+M262+R262+W262+AB262+AG262+AL262+AQ262+AV262)))</f>
        <v>0</v>
      </c>
      <c r="BB262" s="55" t="n">
        <f aca="false">AZ262+BA262</f>
        <v>0</v>
      </c>
      <c r="BC262" s="55" t="n">
        <f aca="false">I262+N262+S262+X262+AC262+AH262+AM262+AR262+AW262+BB262</f>
        <v>0</v>
      </c>
      <c r="BD262" s="55" t="n">
        <f aca="false">ROUND((E262+F262-I262)+(J262+K262-N262)+(O262+P262-S262)+(T262+U262-X262)+(Y262+Z262-AC262)+(AD262+AE262-AH262)+(AI262+AJ262-AM262)+(AN262+AO262-AR262)+(AS262+AT262-AW262)+(AX262+AY262-BB262),2)</f>
        <v>0</v>
      </c>
      <c r="BE262" s="25" t="str">
        <f aca="false">IF(H262&gt;0.005,$C$5,IF(M262&gt;0.005,$C$6,IF(R262&gt;0.005,$C$7,IF(W262&gt;0.005,$C$8,IF(AB262&gt;0.005,$C$9,IF(AG262&gt;0.005,$C$10,IF(AL262&gt;0.005,$C$11,IF(AQ262&gt;0.005,$C$12,IF(AV262&gt;0.005,$C$13,IF(BA262&gt;0.005,$C$14,""))))))))))</f>
        <v/>
      </c>
    </row>
    <row r="263" customFormat="false" ht="15" hidden="false" customHeight="false" outlineLevel="0" collapsed="false">
      <c r="A263" s="24" t="n">
        <v>240</v>
      </c>
      <c r="B263" s="54" t="n">
        <f aca="false">EDATE($C$17,A263-1)</f>
        <v>53601</v>
      </c>
      <c r="C263" s="55" t="n">
        <f aca="false">G263+L263+Q263+V263+AA263+AF263+AK263+AP263+AU263+AZ263</f>
        <v>0</v>
      </c>
      <c r="D263" s="55" t="n">
        <f aca="false">MAX(0,$C$16-C263)</f>
        <v>5822</v>
      </c>
      <c r="E263" s="55" t="n">
        <f aca="false">ROUND(MAX(0,E262+F262-I262),2)</f>
        <v>0</v>
      </c>
      <c r="F263" s="55" t="n">
        <f aca="false">ROUND(E263*$E$5/12,2)</f>
        <v>0</v>
      </c>
      <c r="G263" s="55" t="n">
        <f aca="false">MIN($F$5,E263+F263)</f>
        <v>0</v>
      </c>
      <c r="H263" s="55" t="n">
        <f aca="false">MAX(0,MIN(E263+F263-G263,$D263))</f>
        <v>0</v>
      </c>
      <c r="I263" s="55" t="n">
        <f aca="false">G263+H263</f>
        <v>0</v>
      </c>
      <c r="J263" s="55" t="n">
        <f aca="false">ROUND(MAX(0,J262+K262-N262),2)</f>
        <v>0</v>
      </c>
      <c r="K263" s="55" t="n">
        <f aca="false">ROUND(J263*$E$6/12,2)</f>
        <v>0</v>
      </c>
      <c r="L263" s="55" t="n">
        <f aca="false">MIN($F$6,J263+K263)</f>
        <v>0</v>
      </c>
      <c r="M263" s="55" t="n">
        <f aca="false">MAX(0,MIN(J263+K263-L263,$D263-(H263)))</f>
        <v>0</v>
      </c>
      <c r="N263" s="55" t="n">
        <f aca="false">L263+M263</f>
        <v>0</v>
      </c>
      <c r="O263" s="55" t="n">
        <f aca="false">ROUND(MAX(0,O262+P262-S262),2)</f>
        <v>0</v>
      </c>
      <c r="P263" s="55" t="n">
        <f aca="false">ROUND(O263*$E$7/12,2)</f>
        <v>0</v>
      </c>
      <c r="Q263" s="55" t="n">
        <f aca="false">MIN($F$7,O263+P263)</f>
        <v>0</v>
      </c>
      <c r="R263" s="55" t="n">
        <f aca="false">MAX(0,MIN(O263+P263-Q263,$D263-(H263+M263)))</f>
        <v>0</v>
      </c>
      <c r="S263" s="55" t="n">
        <f aca="false">Q263+R263</f>
        <v>0</v>
      </c>
      <c r="T263" s="55" t="n">
        <f aca="false">ROUND(MAX(0,T262+U262-X262),2)</f>
        <v>0</v>
      </c>
      <c r="U263" s="55" t="n">
        <f aca="false">ROUND(T263*$E$8/12,2)</f>
        <v>0</v>
      </c>
      <c r="V263" s="55" t="n">
        <f aca="false">MIN($F$8,T263+U263)</f>
        <v>0</v>
      </c>
      <c r="W263" s="55" t="n">
        <f aca="false">MAX(0,MIN(T263+U263-V263,$D263-(H263+M263+R263)))</f>
        <v>0</v>
      </c>
      <c r="X263" s="55" t="n">
        <f aca="false">V263+W263</f>
        <v>0</v>
      </c>
      <c r="Y263" s="55" t="n">
        <f aca="false">ROUND(MAX(0,Y262+Z262-AC262),2)</f>
        <v>0</v>
      </c>
      <c r="Z263" s="55" t="n">
        <f aca="false">ROUND(Y263*$E$9/12,2)</f>
        <v>0</v>
      </c>
      <c r="AA263" s="55" t="n">
        <f aca="false">MIN($F$9,Y263+Z263)</f>
        <v>0</v>
      </c>
      <c r="AB263" s="55" t="n">
        <f aca="false">MAX(0,MIN(Y263+Z263-AA263,$D263-(H263+M263+R263+W263)))</f>
        <v>0</v>
      </c>
      <c r="AC263" s="55" t="n">
        <f aca="false">AA263+AB263</f>
        <v>0</v>
      </c>
      <c r="AD263" s="55" t="n">
        <f aca="false">ROUND(MAX(0,AD262+AE262-AH262),2)</f>
        <v>0</v>
      </c>
      <c r="AE263" s="55" t="n">
        <f aca="false">ROUND(AD263*$E$10/12,2)</f>
        <v>0</v>
      </c>
      <c r="AF263" s="55" t="n">
        <f aca="false">MIN($F$10,AD263+AE263)</f>
        <v>0</v>
      </c>
      <c r="AG263" s="55" t="n">
        <f aca="false">MAX(0,MIN(AD263+AE263-AF263,$D263-(H263+M263+R263+W263+AB263)))</f>
        <v>0</v>
      </c>
      <c r="AH263" s="55" t="n">
        <f aca="false">AF263+AG263</f>
        <v>0</v>
      </c>
      <c r="AI263" s="55" t="n">
        <f aca="false">ROUND(MAX(0,AI262+AJ262-AM262),2)</f>
        <v>0</v>
      </c>
      <c r="AJ263" s="55" t="n">
        <f aca="false">ROUND(AI263*$E$11/12,2)</f>
        <v>0</v>
      </c>
      <c r="AK263" s="55" t="n">
        <f aca="false">MIN($F$11,AI263+AJ263)</f>
        <v>0</v>
      </c>
      <c r="AL263" s="55" t="n">
        <f aca="false">MAX(0,MIN(AI263+AJ263-AK263,$D263-(H263+M263+R263+W263+AB263+AG263)))</f>
        <v>0</v>
      </c>
      <c r="AM263" s="55" t="n">
        <f aca="false">AK263+AL263</f>
        <v>0</v>
      </c>
      <c r="AN263" s="55" t="n">
        <f aca="false">ROUND(MAX(0,AN262+AO262-AR262),2)</f>
        <v>0</v>
      </c>
      <c r="AO263" s="55" t="n">
        <f aca="false">ROUND(AN263*$E$12/12,2)</f>
        <v>0</v>
      </c>
      <c r="AP263" s="55" t="n">
        <f aca="false">MIN($F$12,AN263+AO263)</f>
        <v>0</v>
      </c>
      <c r="AQ263" s="55" t="n">
        <f aca="false">MAX(0,MIN(AN263+AO263-AP263,$D263-(H263+M263+R263+W263+AB263+AG263+AL263)))</f>
        <v>0</v>
      </c>
      <c r="AR263" s="55" t="n">
        <f aca="false">AP263+AQ263</f>
        <v>0</v>
      </c>
      <c r="AS263" s="55" t="n">
        <f aca="false">ROUND(MAX(0,AS262+AT262-AW262),2)</f>
        <v>0</v>
      </c>
      <c r="AT263" s="55" t="n">
        <f aca="false">ROUND(AS263*$E$13/12,2)</f>
        <v>0</v>
      </c>
      <c r="AU263" s="55" t="n">
        <f aca="false">MIN($F$13,AS263+AT263)</f>
        <v>0</v>
      </c>
      <c r="AV263" s="55" t="n">
        <f aca="false">MAX(0,MIN(AS263+AT263-AU263,$D263-(H263+M263+R263+W263+AB263+AG263+AL263+AQ263)))</f>
        <v>0</v>
      </c>
      <c r="AW263" s="55" t="n">
        <f aca="false">AU263+AV263</f>
        <v>0</v>
      </c>
      <c r="AX263" s="55" t="n">
        <f aca="false">ROUND(MAX(0,AX262+AY262-BB262),2)</f>
        <v>0</v>
      </c>
      <c r="AY263" s="55" t="n">
        <f aca="false">ROUND(AX263*$E$14/12,2)</f>
        <v>0</v>
      </c>
      <c r="AZ263" s="55" t="n">
        <f aca="false">MIN($F$14,AX263+AY263)</f>
        <v>0</v>
      </c>
      <c r="BA263" s="55" t="n">
        <f aca="false">MAX(0,MIN(AX263+AY263-AZ263,$D263-(H263+M263+R263+W263+AB263+AG263+AL263+AQ263+AV263)))</f>
        <v>0</v>
      </c>
      <c r="BB263" s="55" t="n">
        <f aca="false">AZ263+BA263</f>
        <v>0</v>
      </c>
      <c r="BC263" s="55" t="n">
        <f aca="false">I263+N263+S263+X263+AC263+AH263+AM263+AR263+AW263+BB263</f>
        <v>0</v>
      </c>
      <c r="BD263" s="55" t="n">
        <f aca="false">ROUND((E263+F263-I263)+(J263+K263-N263)+(O263+P263-S263)+(T263+U263-X263)+(Y263+Z263-AC263)+(AD263+AE263-AH263)+(AI263+AJ263-AM263)+(AN263+AO263-AR263)+(AS263+AT263-AW263)+(AX263+AY263-BB263),2)</f>
        <v>0</v>
      </c>
      <c r="BE263" s="25" t="str">
        <f aca="false">IF(H263&gt;0.005,$C$5,IF(M263&gt;0.005,$C$6,IF(R263&gt;0.005,$C$7,IF(W263&gt;0.005,$C$8,IF(AB263&gt;0.005,$C$9,IF(AG263&gt;0.005,$C$10,IF(AL263&gt;0.005,$C$11,IF(AQ263&gt;0.005,$C$12,IF(AV263&gt;0.005,$C$13,IF(BA263&gt;0.005,$C$14,""))))))))))</f>
        <v/>
      </c>
    </row>
  </sheetData>
  <mergeCells count="10">
    <mergeCell ref="E22:I22"/>
    <mergeCell ref="J22:N22"/>
    <mergeCell ref="O22:S22"/>
    <mergeCell ref="T22:X22"/>
    <mergeCell ref="Y22:AC22"/>
    <mergeCell ref="AD22:AH22"/>
    <mergeCell ref="AI22:AM22"/>
    <mergeCell ref="AN22:AR22"/>
    <mergeCell ref="AS22:AW22"/>
    <mergeCell ref="AX22:B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BE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3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7" min="5" style="0" width="12"/>
  </cols>
  <sheetData>
    <row r="1" customFormat="false" ht="17.35" hidden="false" customHeight="false" outlineLevel="0" collapsed="false">
      <c r="A1" s="7" t="s">
        <v>143</v>
      </c>
    </row>
    <row r="2" customFormat="false" ht="15" hidden="false" customHeight="false" outlineLevel="0" collapsed="false">
      <c r="A2" s="8" t="s">
        <v>124</v>
      </c>
    </row>
    <row r="4" customFormat="false" ht="15" hidden="false" customHeight="false" outlineLevel="0" collapsed="false">
      <c r="A4" s="10" t="s">
        <v>125</v>
      </c>
      <c r="B4" s="10" t="s">
        <v>126</v>
      </c>
      <c r="C4" s="10" t="s">
        <v>127</v>
      </c>
      <c r="D4" s="10" t="s">
        <v>128</v>
      </c>
      <c r="E4" s="10" t="s">
        <v>107</v>
      </c>
      <c r="F4" s="10" t="s">
        <v>129</v>
      </c>
      <c r="G4" s="10" t="s">
        <v>90</v>
      </c>
      <c r="H4" s="10" t="s">
        <v>130</v>
      </c>
    </row>
    <row r="5" customFormat="false" ht="15" hidden="false" customHeight="false" outlineLevel="0" collapsed="false">
      <c r="A5" s="48" t="n">
        <v>1</v>
      </c>
      <c r="B5" s="49" t="n">
        <f aca="false">IFERROR(MATCH(A5,债务清单!$K$5:$K$14,0),"")</f>
        <v>3</v>
      </c>
      <c r="C5" s="40" t="str">
        <f aca="false">IF(B5="","",INDEX(债务清单!$B$5:$B$14,B5))</f>
        <v>网贷X</v>
      </c>
      <c r="D5" s="26" t="n">
        <f aca="false">IF(B5="",0,INDEX(债务清单!$D$5:$D$14,B5))</f>
        <v>25000</v>
      </c>
      <c r="E5" s="50" t="n">
        <f aca="false">IF(B5="",0,INDEX(债务清单!$O$5:$O$14,B5))</f>
        <v>0.24</v>
      </c>
      <c r="F5" s="26" t="n">
        <f aca="false">IF(B5="",0,N(INDEX(债务清单!$F$5:$F$14,B5)))</f>
        <v>1350</v>
      </c>
      <c r="G5" s="51" t="n">
        <f aca="false">IF(D5&lt;=0,"",IF(E263+F263-I263&gt;0.01,"超过20年",COUNTIF(E24:E263,"&gt;0.005")))</f>
        <v>13</v>
      </c>
      <c r="H5" s="46" t="n">
        <f aca="false">SUM(F24:F263)</f>
        <v>3391.34</v>
      </c>
    </row>
    <row r="6" customFormat="false" ht="15" hidden="false" customHeight="false" outlineLevel="0" collapsed="false">
      <c r="A6" s="48" t="n">
        <v>2</v>
      </c>
      <c r="B6" s="49" t="n">
        <f aca="false">IFERROR(MATCH(A6,债务清单!$K$5:$K$14,0),"")</f>
        <v>1</v>
      </c>
      <c r="C6" s="40" t="str">
        <f aca="false">IF(B6="","",INDEX(债务清单!$B$5:$B$14,B6))</f>
        <v>信用卡A</v>
      </c>
      <c r="D6" s="26" t="n">
        <f aca="false">IF(B6="",0,INDEX(债务清单!$D$5:$D$14,B6))</f>
        <v>38000</v>
      </c>
      <c r="E6" s="50" t="n">
        <f aca="false">IF(B6="",0,INDEX(债务清单!$O$5:$O$14,B6))</f>
        <v>0.18</v>
      </c>
      <c r="F6" s="26" t="n">
        <f aca="false">IF(B6="",0,N(INDEX(债务清单!$F$5:$F$14,B6)))</f>
        <v>1900</v>
      </c>
      <c r="G6" s="51" t="n">
        <f aca="false">IF(D6&lt;=0,"",IF(J263+K263-N263&gt;0.01,"超过20年",COUNTIF(J24:J263,"&gt;0.005")))</f>
        <v>17</v>
      </c>
      <c r="H6" s="46" t="n">
        <f aca="false">SUM(K24:K263)</f>
        <v>6252.74</v>
      </c>
    </row>
    <row r="7" customFormat="false" ht="15" hidden="false" customHeight="false" outlineLevel="0" collapsed="false">
      <c r="A7" s="48" t="n">
        <v>3</v>
      </c>
      <c r="B7" s="49" t="n">
        <f aca="false">IFERROR(MATCH(A7,债务清单!$K$5:$K$14,0),"")</f>
        <v>2</v>
      </c>
      <c r="C7" s="40" t="str">
        <f aca="false">IF(B7="","",INDEX(债务清单!$B$5:$B$14,B7))</f>
        <v>信用卡B（分期）</v>
      </c>
      <c r="D7" s="26" t="n">
        <f aca="false">IF(B7="",0,INDEX(债务清单!$D$5:$D$14,B7))</f>
        <v>12000</v>
      </c>
      <c r="E7" s="50" t="n">
        <f aca="false">IF(B7="",0,INDEX(债务清单!$O$5:$O$14,B7))</f>
        <v>0.13</v>
      </c>
      <c r="F7" s="26" t="n">
        <f aca="false">IF(B7="",0,N(INDEX(债务清单!$F$5:$F$14,B7)))</f>
        <v>1072</v>
      </c>
      <c r="G7" s="51" t="n">
        <f aca="false">IF(D7&lt;=0,"",IF(O263+P263-S263&gt;0.01,"超过20年",COUNTIF(O24:O263,"&gt;0.005")))</f>
        <v>12</v>
      </c>
      <c r="H7" s="46" t="n">
        <f aca="false">SUM(P24:P263)</f>
        <v>861.55</v>
      </c>
    </row>
    <row r="8" customFormat="false" ht="15" hidden="false" customHeight="false" outlineLevel="0" collapsed="false">
      <c r="A8" s="48" t="n">
        <v>4</v>
      </c>
      <c r="B8" s="49" t="n">
        <f aca="false">IFERROR(MATCH(A8,债务清单!$K$5:$K$14,0),"")</f>
        <v>4</v>
      </c>
      <c r="C8" s="40" t="str">
        <f aca="false">IF(B8="","",INDEX(债务清单!$B$5:$B$14,B8))</f>
        <v>亲友借款（老王）</v>
      </c>
      <c r="D8" s="26" t="n">
        <f aca="false">IF(B8="",0,INDEX(债务清单!$D$5:$D$14,B8))</f>
        <v>20000</v>
      </c>
      <c r="E8" s="50" t="n">
        <f aca="false">IF(B8="",0,INDEX(债务清单!$O$5:$O$14,B8))</f>
        <v>0</v>
      </c>
      <c r="F8" s="26" t="n">
        <f aca="false">IF(B8="",0,N(INDEX(债务清单!$F$5:$F$14,B8)))</f>
        <v>500</v>
      </c>
      <c r="G8" s="51" t="n">
        <f aca="false">IF(D8&lt;=0,"",IF(T263+U263-X263&gt;0.01,"超过20年",COUNTIF(T24:T263,"&gt;0.005")))</f>
        <v>19</v>
      </c>
      <c r="H8" s="46" t="n">
        <f aca="false">SUM(U24:U263)</f>
        <v>0</v>
      </c>
    </row>
    <row r="9" customFormat="false" ht="15" hidden="false" customHeight="false" outlineLevel="0" collapsed="false">
      <c r="A9" s="48" t="n">
        <v>5</v>
      </c>
      <c r="B9" s="49" t="str">
        <f aca="false">IFERROR(MATCH(A9,债务清单!$K$5:$K$14,0),"")</f>
        <v/>
      </c>
      <c r="C9" s="40" t="str">
        <f aca="false">IF(B9="","",INDEX(债务清单!$B$5:$B$14,B9))</f>
        <v/>
      </c>
      <c r="D9" s="26" t="n">
        <f aca="false">IF(B9="",0,INDEX(债务清单!$D$5:$D$14,B9))</f>
        <v>0</v>
      </c>
      <c r="E9" s="50" t="n">
        <f aca="false">IF(B9="",0,INDEX(债务清单!$O$5:$O$14,B9))</f>
        <v>0</v>
      </c>
      <c r="F9" s="26" t="n">
        <f aca="false">IF(B9="",0,N(INDEX(债务清单!$F$5:$F$14,B9)))</f>
        <v>0</v>
      </c>
      <c r="G9" s="51" t="str">
        <f aca="false">IF(D9&lt;=0,"",IF(Y263+Z263-AC263&gt;0.01,"超过20年",COUNTIF(Y24:Y263,"&gt;0.005")))</f>
        <v/>
      </c>
      <c r="H9" s="46" t="n">
        <f aca="false">SUM(Z24:Z263)</f>
        <v>0</v>
      </c>
    </row>
    <row r="10" customFormat="false" ht="15" hidden="false" customHeight="false" outlineLevel="0" collapsed="false">
      <c r="A10" s="48" t="n">
        <v>6</v>
      </c>
      <c r="B10" s="49" t="str">
        <f aca="false">IFERROR(MATCH(A10,债务清单!$K$5:$K$14,0),"")</f>
        <v/>
      </c>
      <c r="C10" s="40" t="str">
        <f aca="false">IF(B10="","",INDEX(债务清单!$B$5:$B$14,B10))</f>
        <v/>
      </c>
      <c r="D10" s="26" t="n">
        <f aca="false">IF(B10="",0,INDEX(债务清单!$D$5:$D$14,B10))</f>
        <v>0</v>
      </c>
      <c r="E10" s="50" t="n">
        <f aca="false">IF(B10="",0,INDEX(债务清单!$O$5:$O$14,B10))</f>
        <v>0</v>
      </c>
      <c r="F10" s="26" t="n">
        <f aca="false">IF(B10="",0,N(INDEX(债务清单!$F$5:$F$14,B10)))</f>
        <v>0</v>
      </c>
      <c r="G10" s="51" t="str">
        <f aca="false">IF(D10&lt;=0,"",IF(AD263+AE263-AH263&gt;0.01,"超过20年",COUNTIF(AD24:AD263,"&gt;0.005")))</f>
        <v/>
      </c>
      <c r="H10" s="46" t="n">
        <f aca="false">SUM(AE24:AE263)</f>
        <v>0</v>
      </c>
    </row>
    <row r="11" customFormat="false" ht="15" hidden="false" customHeight="false" outlineLevel="0" collapsed="false">
      <c r="A11" s="48" t="n">
        <v>7</v>
      </c>
      <c r="B11" s="49" t="str">
        <f aca="false">IFERROR(MATCH(A11,债务清单!$K$5:$K$14,0),"")</f>
        <v/>
      </c>
      <c r="C11" s="40" t="str">
        <f aca="false">IF(B11="","",INDEX(债务清单!$B$5:$B$14,B11))</f>
        <v/>
      </c>
      <c r="D11" s="26" t="n">
        <f aca="false">IF(B11="",0,INDEX(债务清单!$D$5:$D$14,B11))</f>
        <v>0</v>
      </c>
      <c r="E11" s="50" t="n">
        <f aca="false">IF(B11="",0,INDEX(债务清单!$O$5:$O$14,B11))</f>
        <v>0</v>
      </c>
      <c r="F11" s="26" t="n">
        <f aca="false">IF(B11="",0,N(INDEX(债务清单!$F$5:$F$14,B11)))</f>
        <v>0</v>
      </c>
      <c r="G11" s="51" t="str">
        <f aca="false">IF(D11&lt;=0,"",IF(AI263+AJ263-AM263&gt;0.01,"超过20年",COUNTIF(AI24:AI263,"&gt;0.005")))</f>
        <v/>
      </c>
      <c r="H11" s="46" t="n">
        <f aca="false">SUM(AJ24:AJ263)</f>
        <v>0</v>
      </c>
    </row>
    <row r="12" customFormat="false" ht="15" hidden="false" customHeight="false" outlineLevel="0" collapsed="false">
      <c r="A12" s="48" t="n">
        <v>8</v>
      </c>
      <c r="B12" s="49" t="str">
        <f aca="false">IFERROR(MATCH(A12,债务清单!$K$5:$K$14,0),"")</f>
        <v/>
      </c>
      <c r="C12" s="40" t="str">
        <f aca="false">IF(B12="","",INDEX(债务清单!$B$5:$B$14,B12))</f>
        <v/>
      </c>
      <c r="D12" s="26" t="n">
        <f aca="false">IF(B12="",0,INDEX(债务清单!$D$5:$D$14,B12))</f>
        <v>0</v>
      </c>
      <c r="E12" s="50" t="n">
        <f aca="false">IF(B12="",0,INDEX(债务清单!$O$5:$O$14,B12))</f>
        <v>0</v>
      </c>
      <c r="F12" s="26" t="n">
        <f aca="false">IF(B12="",0,N(INDEX(债务清单!$F$5:$F$14,B12)))</f>
        <v>0</v>
      </c>
      <c r="G12" s="51" t="str">
        <f aca="false">IF(D12&lt;=0,"",IF(AN263+AO263-AR263&gt;0.01,"超过20年",COUNTIF(AN24:AN263,"&gt;0.005")))</f>
        <v/>
      </c>
      <c r="H12" s="46" t="n">
        <f aca="false">SUM(AO24:AO263)</f>
        <v>0</v>
      </c>
    </row>
    <row r="13" customFormat="false" ht="15" hidden="false" customHeight="false" outlineLevel="0" collapsed="false">
      <c r="A13" s="48" t="n">
        <v>9</v>
      </c>
      <c r="B13" s="49" t="str">
        <f aca="false">IFERROR(MATCH(A13,债务清单!$K$5:$K$14,0),"")</f>
        <v/>
      </c>
      <c r="C13" s="40" t="str">
        <f aca="false">IF(B13="","",INDEX(债务清单!$B$5:$B$14,B13))</f>
        <v/>
      </c>
      <c r="D13" s="26" t="n">
        <f aca="false">IF(B13="",0,INDEX(债务清单!$D$5:$D$14,B13))</f>
        <v>0</v>
      </c>
      <c r="E13" s="50" t="n">
        <f aca="false">IF(B13="",0,INDEX(债务清单!$O$5:$O$14,B13))</f>
        <v>0</v>
      </c>
      <c r="F13" s="26" t="n">
        <f aca="false">IF(B13="",0,N(INDEX(债务清单!$F$5:$F$14,B13)))</f>
        <v>0</v>
      </c>
      <c r="G13" s="51" t="str">
        <f aca="false">IF(D13&lt;=0,"",IF(AS263+AT263-AW263&gt;0.01,"超过20年",COUNTIF(AS24:AS263,"&gt;0.005")))</f>
        <v/>
      </c>
      <c r="H13" s="46" t="n">
        <f aca="false">SUM(AT24:AT263)</f>
        <v>0</v>
      </c>
    </row>
    <row r="14" customFormat="false" ht="15" hidden="false" customHeight="false" outlineLevel="0" collapsed="false">
      <c r="A14" s="48" t="n">
        <v>10</v>
      </c>
      <c r="B14" s="49" t="str">
        <f aca="false">IFERROR(MATCH(A14,债务清单!$K$5:$K$14,0),"")</f>
        <v/>
      </c>
      <c r="C14" s="40" t="str">
        <f aca="false">IF(B14="","",INDEX(债务清单!$B$5:$B$14,B14))</f>
        <v/>
      </c>
      <c r="D14" s="26" t="n">
        <f aca="false">IF(B14="",0,INDEX(债务清单!$D$5:$D$14,B14))</f>
        <v>0</v>
      </c>
      <c r="E14" s="50" t="n">
        <f aca="false">IF(B14="",0,INDEX(债务清单!$O$5:$O$14,B14))</f>
        <v>0</v>
      </c>
      <c r="F14" s="26" t="n">
        <f aca="false">IF(B14="",0,N(INDEX(债务清单!$F$5:$F$14,B14)))</f>
        <v>0</v>
      </c>
      <c r="G14" s="51" t="str">
        <f aca="false">IF(D14&lt;=0,"",IF(AX263+AY263-BB263&gt;0.01,"超过20年",COUNTIF(AX24:AX263,"&gt;0.005")))</f>
        <v/>
      </c>
      <c r="H14" s="46" t="n">
        <f aca="false">SUM(AY24:AY263)</f>
        <v>0</v>
      </c>
    </row>
    <row r="16" customFormat="false" ht="15" hidden="false" customHeight="false" outlineLevel="0" collapsed="false">
      <c r="A16" s="25" t="s">
        <v>131</v>
      </c>
      <c r="C16" s="26" t="n">
        <f aca="false">每月预算!B27</f>
        <v>5822</v>
      </c>
    </row>
    <row r="17" customFormat="false" ht="15" hidden="false" customHeight="false" outlineLevel="0" collapsed="false">
      <c r="A17" s="25" t="s">
        <v>132</v>
      </c>
      <c r="C17" s="52" t="n">
        <f aca="false">每月预算!B30</f>
        <v>46327</v>
      </c>
    </row>
    <row r="18" customFormat="false" ht="15" hidden="false" customHeight="false" outlineLevel="0" collapsed="false">
      <c r="A18" s="25" t="s">
        <v>79</v>
      </c>
      <c r="C18" s="48" t="n">
        <f aca="false">IF(COUNTIF(G5:G14,"超过20年")&gt;0,"超过20年",IF(COUNT(G5:G14)=0,0,MAX(G5:G14)))</f>
        <v>19</v>
      </c>
    </row>
    <row r="19" customFormat="false" ht="15" hidden="false" customHeight="false" outlineLevel="0" collapsed="false">
      <c r="A19" s="25" t="s">
        <v>130</v>
      </c>
      <c r="C19" s="46" t="n">
        <f aca="false">SUM(H5:H14)</f>
        <v>10505.63</v>
      </c>
    </row>
    <row r="20" customFormat="false" ht="15" hidden="false" customHeight="false" outlineLevel="0" collapsed="false">
      <c r="A20" s="25" t="s">
        <v>133</v>
      </c>
      <c r="C20" s="48" t="n">
        <f aca="false">IF(COUNT(G5:G14)=0,"",MIN(G5:G14))</f>
        <v>12</v>
      </c>
    </row>
    <row r="22" customFormat="false" ht="15" hidden="false" customHeight="false" outlineLevel="0" collapsed="false">
      <c r="E22" s="53" t="str">
        <f aca="false">IF(C5="","第1笔（空）","第1笔："&amp;C5)</f>
        <v>第1笔：网贷X</v>
      </c>
      <c r="F22" s="53"/>
      <c r="G22" s="53"/>
      <c r="H22" s="53"/>
      <c r="I22" s="53"/>
      <c r="J22" s="53" t="str">
        <f aca="false">IF(C6="","第2笔（空）","第2笔："&amp;C6)</f>
        <v>第2笔：信用卡A</v>
      </c>
      <c r="K22" s="53"/>
      <c r="L22" s="53"/>
      <c r="M22" s="53"/>
      <c r="N22" s="53"/>
      <c r="O22" s="53" t="str">
        <f aca="false">IF(C7="","第3笔（空）","第3笔："&amp;C7)</f>
        <v>第3笔：信用卡B（分期）</v>
      </c>
      <c r="P22" s="53"/>
      <c r="Q22" s="53"/>
      <c r="R22" s="53"/>
      <c r="S22" s="53"/>
      <c r="T22" s="53" t="str">
        <f aca="false">IF(C8="","第4笔（空）","第4笔："&amp;C8)</f>
        <v>第4笔：亲友借款（老王）</v>
      </c>
      <c r="U22" s="53"/>
      <c r="V22" s="53"/>
      <c r="W22" s="53"/>
      <c r="X22" s="53"/>
      <c r="Y22" s="53" t="str">
        <f aca="false">IF(C9="","第5笔（空）","第5笔："&amp;C9)</f>
        <v>第5笔（空）</v>
      </c>
      <c r="Z22" s="53"/>
      <c r="AA22" s="53"/>
      <c r="AB22" s="53"/>
      <c r="AC22" s="53"/>
      <c r="AD22" s="53" t="str">
        <f aca="false">IF(C10="","第6笔（空）","第6笔："&amp;C10)</f>
        <v>第6笔（空）</v>
      </c>
      <c r="AE22" s="53"/>
      <c r="AF22" s="53"/>
      <c r="AG22" s="53"/>
      <c r="AH22" s="53"/>
      <c r="AI22" s="53" t="str">
        <f aca="false">IF(C11="","第7笔（空）","第7笔："&amp;C11)</f>
        <v>第7笔（空）</v>
      </c>
      <c r="AJ22" s="53"/>
      <c r="AK22" s="53"/>
      <c r="AL22" s="53"/>
      <c r="AM22" s="53"/>
      <c r="AN22" s="53" t="str">
        <f aca="false">IF(C12="","第8笔（空）","第8笔："&amp;C12)</f>
        <v>第8笔（空）</v>
      </c>
      <c r="AO22" s="53"/>
      <c r="AP22" s="53"/>
      <c r="AQ22" s="53"/>
      <c r="AR22" s="53"/>
      <c r="AS22" s="53" t="str">
        <f aca="false">IF(C13="","第9笔（空）","第9笔："&amp;C13)</f>
        <v>第9笔（空）</v>
      </c>
      <c r="AT22" s="53"/>
      <c r="AU22" s="53"/>
      <c r="AV22" s="53"/>
      <c r="AW22" s="53"/>
      <c r="AX22" s="53" t="str">
        <f aca="false">IF(C14="","第10笔（空）","第10笔："&amp;C14)</f>
        <v>第10笔（空）</v>
      </c>
      <c r="AY22" s="53"/>
      <c r="AZ22" s="53"/>
      <c r="BA22" s="53"/>
      <c r="BB22" s="53"/>
    </row>
    <row r="23" customFormat="false" ht="15" hidden="false" customHeight="false" outlineLevel="0" collapsed="false">
      <c r="A23" s="10" t="s">
        <v>94</v>
      </c>
      <c r="B23" s="10" t="s">
        <v>95</v>
      </c>
      <c r="C23" s="10" t="s">
        <v>134</v>
      </c>
      <c r="D23" s="10" t="s">
        <v>135</v>
      </c>
      <c r="E23" s="10" t="s">
        <v>136</v>
      </c>
      <c r="F23" s="10" t="s">
        <v>137</v>
      </c>
      <c r="G23" s="10" t="s">
        <v>138</v>
      </c>
      <c r="H23" s="10" t="s">
        <v>139</v>
      </c>
      <c r="I23" s="10" t="s">
        <v>140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0" t="s">
        <v>140</v>
      </c>
      <c r="O23" s="10" t="s">
        <v>136</v>
      </c>
      <c r="P23" s="10" t="s">
        <v>137</v>
      </c>
      <c r="Q23" s="10" t="s">
        <v>138</v>
      </c>
      <c r="R23" s="10" t="s">
        <v>139</v>
      </c>
      <c r="S23" s="10" t="s">
        <v>140</v>
      </c>
      <c r="T23" s="10" t="s">
        <v>136</v>
      </c>
      <c r="U23" s="10" t="s">
        <v>137</v>
      </c>
      <c r="V23" s="10" t="s">
        <v>138</v>
      </c>
      <c r="W23" s="10" t="s">
        <v>139</v>
      </c>
      <c r="X23" s="10" t="s">
        <v>140</v>
      </c>
      <c r="Y23" s="10" t="s">
        <v>136</v>
      </c>
      <c r="Z23" s="10" t="s">
        <v>137</v>
      </c>
      <c r="AA23" s="10" t="s">
        <v>138</v>
      </c>
      <c r="AB23" s="10" t="s">
        <v>139</v>
      </c>
      <c r="AC23" s="10" t="s">
        <v>140</v>
      </c>
      <c r="AD23" s="10" t="s">
        <v>136</v>
      </c>
      <c r="AE23" s="10" t="s">
        <v>137</v>
      </c>
      <c r="AF23" s="10" t="s">
        <v>138</v>
      </c>
      <c r="AG23" s="10" t="s">
        <v>139</v>
      </c>
      <c r="AH23" s="10" t="s">
        <v>140</v>
      </c>
      <c r="AI23" s="10" t="s">
        <v>136</v>
      </c>
      <c r="AJ23" s="10" t="s">
        <v>137</v>
      </c>
      <c r="AK23" s="10" t="s">
        <v>138</v>
      </c>
      <c r="AL23" s="10" t="s">
        <v>139</v>
      </c>
      <c r="AM23" s="10" t="s">
        <v>140</v>
      </c>
      <c r="AN23" s="10" t="s">
        <v>136</v>
      </c>
      <c r="AO23" s="10" t="s">
        <v>137</v>
      </c>
      <c r="AP23" s="10" t="s">
        <v>138</v>
      </c>
      <c r="AQ23" s="10" t="s">
        <v>139</v>
      </c>
      <c r="AR23" s="10" t="s">
        <v>140</v>
      </c>
      <c r="AS23" s="10" t="s">
        <v>136</v>
      </c>
      <c r="AT23" s="10" t="s">
        <v>137</v>
      </c>
      <c r="AU23" s="10" t="s">
        <v>138</v>
      </c>
      <c r="AV23" s="10" t="s">
        <v>139</v>
      </c>
      <c r="AW23" s="10" t="s">
        <v>140</v>
      </c>
      <c r="AX23" s="10" t="s">
        <v>136</v>
      </c>
      <c r="AY23" s="10" t="s">
        <v>137</v>
      </c>
      <c r="AZ23" s="10" t="s">
        <v>138</v>
      </c>
      <c r="BA23" s="10" t="s">
        <v>139</v>
      </c>
      <c r="BB23" s="10" t="s">
        <v>140</v>
      </c>
      <c r="BC23" s="10" t="s">
        <v>141</v>
      </c>
      <c r="BD23" s="10" t="s">
        <v>142</v>
      </c>
      <c r="BE23" s="10" t="s">
        <v>97</v>
      </c>
    </row>
    <row r="24" customFormat="false" ht="15" hidden="false" customHeight="false" outlineLevel="0" collapsed="false">
      <c r="A24" s="24" t="n">
        <v>1</v>
      </c>
      <c r="B24" s="54" t="n">
        <f aca="false">EDATE($C$17,A24-1)</f>
        <v>46327</v>
      </c>
      <c r="C24" s="55" t="n">
        <f aca="false">G24+L24+Q24+V24+AA24+AF24+AK24+AP24+AU24+AZ24</f>
        <v>4822</v>
      </c>
      <c r="D24" s="55" t="n">
        <f aca="false">MAX(0,$C$16-C24)</f>
        <v>1000</v>
      </c>
      <c r="E24" s="55" t="n">
        <f aca="false">$D$5</f>
        <v>25000</v>
      </c>
      <c r="F24" s="55" t="n">
        <f aca="false">ROUND(E24*$E$5/12,2)</f>
        <v>500</v>
      </c>
      <c r="G24" s="55" t="n">
        <f aca="false">MIN($F$5,E24+F24)</f>
        <v>1350</v>
      </c>
      <c r="H24" s="55" t="n">
        <f aca="false">MAX(0,MIN(E24+F24-G24,$D24))</f>
        <v>1000</v>
      </c>
      <c r="I24" s="55" t="n">
        <f aca="false">G24+H24</f>
        <v>2350</v>
      </c>
      <c r="J24" s="55" t="n">
        <f aca="false">$D$6</f>
        <v>38000</v>
      </c>
      <c r="K24" s="55" t="n">
        <f aca="false">ROUND(J24*$E$6/12,2)</f>
        <v>570</v>
      </c>
      <c r="L24" s="55" t="n">
        <f aca="false">MIN($F$6,J24+K24)</f>
        <v>1900</v>
      </c>
      <c r="M24" s="55" t="n">
        <f aca="false">MAX(0,MIN(J24+K24-L24,$D24-(H24)))</f>
        <v>0</v>
      </c>
      <c r="N24" s="55" t="n">
        <f aca="false">L24+M24</f>
        <v>1900</v>
      </c>
      <c r="O24" s="55" t="n">
        <f aca="false">$D$7</f>
        <v>12000</v>
      </c>
      <c r="P24" s="55" t="n">
        <f aca="false">ROUND(O24*$E$7/12,2)</f>
        <v>130</v>
      </c>
      <c r="Q24" s="55" t="n">
        <f aca="false">MIN($F$7,O24+P24)</f>
        <v>1072</v>
      </c>
      <c r="R24" s="55" t="n">
        <f aca="false">MAX(0,MIN(O24+P24-Q24,$D24-(H24+M24)))</f>
        <v>0</v>
      </c>
      <c r="S24" s="55" t="n">
        <f aca="false">Q24+R24</f>
        <v>1072</v>
      </c>
      <c r="T24" s="55" t="n">
        <f aca="false">$D$8</f>
        <v>20000</v>
      </c>
      <c r="U24" s="55" t="n">
        <f aca="false">ROUND(T24*$E$8/12,2)</f>
        <v>0</v>
      </c>
      <c r="V24" s="55" t="n">
        <f aca="false">MIN($F$8,T24+U24)</f>
        <v>500</v>
      </c>
      <c r="W24" s="55" t="n">
        <f aca="false">MAX(0,MIN(T24+U24-V24,$D24-(H24+M24+R24)))</f>
        <v>0</v>
      </c>
      <c r="X24" s="55" t="n">
        <f aca="false">V24+W24</f>
        <v>500</v>
      </c>
      <c r="Y24" s="55" t="n">
        <f aca="false">$D$9</f>
        <v>0</v>
      </c>
      <c r="Z24" s="55" t="n">
        <f aca="false">ROUND(Y24*$E$9/12,2)</f>
        <v>0</v>
      </c>
      <c r="AA24" s="55" t="n">
        <f aca="false">MIN($F$9,Y24+Z24)</f>
        <v>0</v>
      </c>
      <c r="AB24" s="55" t="n">
        <f aca="false">MAX(0,MIN(Y24+Z24-AA24,$D24-(H24+M24+R24+W24)))</f>
        <v>0</v>
      </c>
      <c r="AC24" s="55" t="n">
        <f aca="false">AA24+AB24</f>
        <v>0</v>
      </c>
      <c r="AD24" s="55" t="n">
        <f aca="false">$D$10</f>
        <v>0</v>
      </c>
      <c r="AE24" s="55" t="n">
        <f aca="false">ROUND(AD24*$E$10/12,2)</f>
        <v>0</v>
      </c>
      <c r="AF24" s="55" t="n">
        <f aca="false">MIN($F$10,AD24+AE24)</f>
        <v>0</v>
      </c>
      <c r="AG24" s="55" t="n">
        <f aca="false">MAX(0,MIN(AD24+AE24-AF24,$D24-(H24+M24+R24+W24+AB24)))</f>
        <v>0</v>
      </c>
      <c r="AH24" s="55" t="n">
        <f aca="false">AF24+AG24</f>
        <v>0</v>
      </c>
      <c r="AI24" s="55" t="n">
        <f aca="false">$D$11</f>
        <v>0</v>
      </c>
      <c r="AJ24" s="55" t="n">
        <f aca="false">ROUND(AI24*$E$11/12,2)</f>
        <v>0</v>
      </c>
      <c r="AK24" s="55" t="n">
        <f aca="false">MIN($F$11,AI24+AJ24)</f>
        <v>0</v>
      </c>
      <c r="AL24" s="55" t="n">
        <f aca="false">MAX(0,MIN(AI24+AJ24-AK24,$D24-(H24+M24+R24+W24+AB24+AG24)))</f>
        <v>0</v>
      </c>
      <c r="AM24" s="55" t="n">
        <f aca="false">AK24+AL24</f>
        <v>0</v>
      </c>
      <c r="AN24" s="55" t="n">
        <f aca="false">$D$12</f>
        <v>0</v>
      </c>
      <c r="AO24" s="55" t="n">
        <f aca="false">ROUND(AN24*$E$12/12,2)</f>
        <v>0</v>
      </c>
      <c r="AP24" s="55" t="n">
        <f aca="false">MIN($F$12,AN24+AO24)</f>
        <v>0</v>
      </c>
      <c r="AQ24" s="55" t="n">
        <f aca="false">MAX(0,MIN(AN24+AO24-AP24,$D24-(H24+M24+R24+W24+AB24+AG24+AL24)))</f>
        <v>0</v>
      </c>
      <c r="AR24" s="55" t="n">
        <f aca="false">AP24+AQ24</f>
        <v>0</v>
      </c>
      <c r="AS24" s="55" t="n">
        <f aca="false">$D$13</f>
        <v>0</v>
      </c>
      <c r="AT24" s="55" t="n">
        <f aca="false">ROUND(AS24*$E$13/12,2)</f>
        <v>0</v>
      </c>
      <c r="AU24" s="55" t="n">
        <f aca="false">MIN($F$13,AS24+AT24)</f>
        <v>0</v>
      </c>
      <c r="AV24" s="55" t="n">
        <f aca="false">MAX(0,MIN(AS24+AT24-AU24,$D24-(H24+M24+R24+W24+AB24+AG24+AL24+AQ24)))</f>
        <v>0</v>
      </c>
      <c r="AW24" s="55" t="n">
        <f aca="false">AU24+AV24</f>
        <v>0</v>
      </c>
      <c r="AX24" s="55" t="n">
        <f aca="false">$D$14</f>
        <v>0</v>
      </c>
      <c r="AY24" s="55" t="n">
        <f aca="false">ROUND(AX24*$E$14/12,2)</f>
        <v>0</v>
      </c>
      <c r="AZ24" s="55" t="n">
        <f aca="false">MIN($F$14,AX24+AY24)</f>
        <v>0</v>
      </c>
      <c r="BA24" s="55" t="n">
        <f aca="false">MAX(0,MIN(AX24+AY24-AZ24,$D24-(H24+M24+R24+W24+AB24+AG24+AL24+AQ24+AV24)))</f>
        <v>0</v>
      </c>
      <c r="BB24" s="55" t="n">
        <f aca="false">AZ24+BA24</f>
        <v>0</v>
      </c>
      <c r="BC24" s="55" t="n">
        <f aca="false">I24+N24+S24+X24+AC24+AH24+AM24+AR24+AW24+BB24</f>
        <v>5822</v>
      </c>
      <c r="BD24" s="55" t="n">
        <f aca="false">ROUND((E24+F24-I24)+(J24+K24-N24)+(O24+P24-S24)+(T24+U24-X24)+(Y24+Z24-AC24)+(AD24+AE24-AH24)+(AI24+AJ24-AM24)+(AN24+AO24-AR24)+(AS24+AT24-AW24)+(AX24+AY24-BB24),2)</f>
        <v>90378</v>
      </c>
      <c r="BE24" s="25" t="str">
        <f aca="false">IF(H24&gt;0.005,$C$5,IF(M24&gt;0.005,$C$6,IF(R24&gt;0.005,$C$7,IF(W24&gt;0.005,$C$8,IF(AB24&gt;0.005,$C$9,IF(AG24&gt;0.005,$C$10,IF(AL24&gt;0.005,$C$11,IF(AQ24&gt;0.005,$C$12,IF(AV24&gt;0.005,$C$13,IF(BA24&gt;0.005,$C$14,""))))))))))</f>
        <v>网贷X</v>
      </c>
    </row>
    <row r="25" customFormat="false" ht="15" hidden="false" customHeight="false" outlineLevel="0" collapsed="false">
      <c r="A25" s="24" t="n">
        <v>2</v>
      </c>
      <c r="B25" s="54" t="n">
        <f aca="false">EDATE($C$17,A25-1)</f>
        <v>46357</v>
      </c>
      <c r="C25" s="55" t="n">
        <f aca="false">G25+L25+Q25+V25+AA25+AF25+AK25+AP25+AU25+AZ25</f>
        <v>4822</v>
      </c>
      <c r="D25" s="55" t="n">
        <f aca="false">MAX(0,$C$16-C25)</f>
        <v>1000</v>
      </c>
      <c r="E25" s="55" t="n">
        <f aca="false">ROUND(MAX(0,E24+F24-I24),2)</f>
        <v>23150</v>
      </c>
      <c r="F25" s="55" t="n">
        <f aca="false">ROUND(E25*$E$5/12,2)</f>
        <v>463</v>
      </c>
      <c r="G25" s="55" t="n">
        <f aca="false">MIN($F$5,E25+F25)</f>
        <v>1350</v>
      </c>
      <c r="H25" s="55" t="n">
        <f aca="false">MAX(0,MIN(E25+F25-G25,$D25))</f>
        <v>1000</v>
      </c>
      <c r="I25" s="55" t="n">
        <f aca="false">G25+H25</f>
        <v>2350</v>
      </c>
      <c r="J25" s="55" t="n">
        <f aca="false">ROUND(MAX(0,J24+K24-N24),2)</f>
        <v>36670</v>
      </c>
      <c r="K25" s="55" t="n">
        <f aca="false">ROUND(J25*$E$6/12,2)</f>
        <v>550.05</v>
      </c>
      <c r="L25" s="55" t="n">
        <f aca="false">MIN($F$6,J25+K25)</f>
        <v>1900</v>
      </c>
      <c r="M25" s="55" t="n">
        <f aca="false">MAX(0,MIN(J25+K25-L25,$D25-(H25)))</f>
        <v>0</v>
      </c>
      <c r="N25" s="55" t="n">
        <f aca="false">L25+M25</f>
        <v>1900</v>
      </c>
      <c r="O25" s="55" t="n">
        <f aca="false">ROUND(MAX(0,O24+P24-S24),2)</f>
        <v>11058</v>
      </c>
      <c r="P25" s="55" t="n">
        <f aca="false">ROUND(O25*$E$7/12,2)</f>
        <v>119.8</v>
      </c>
      <c r="Q25" s="55" t="n">
        <f aca="false">MIN($F$7,O25+P25)</f>
        <v>1072</v>
      </c>
      <c r="R25" s="55" t="n">
        <f aca="false">MAX(0,MIN(O25+P25-Q25,$D25-(H25+M25)))</f>
        <v>0</v>
      </c>
      <c r="S25" s="55" t="n">
        <f aca="false">Q25+R25</f>
        <v>1072</v>
      </c>
      <c r="T25" s="55" t="n">
        <f aca="false">ROUND(MAX(0,T24+U24-X24),2)</f>
        <v>19500</v>
      </c>
      <c r="U25" s="55" t="n">
        <f aca="false">ROUND(T25*$E$8/12,2)</f>
        <v>0</v>
      </c>
      <c r="V25" s="55" t="n">
        <f aca="false">MIN($F$8,T25+U25)</f>
        <v>500</v>
      </c>
      <c r="W25" s="55" t="n">
        <f aca="false">MAX(0,MIN(T25+U25-V25,$D25-(H25+M25+R25)))</f>
        <v>0</v>
      </c>
      <c r="X25" s="55" t="n">
        <f aca="false">V25+W25</f>
        <v>500</v>
      </c>
      <c r="Y25" s="55" t="n">
        <f aca="false">ROUND(MAX(0,Y24+Z24-AC24),2)</f>
        <v>0</v>
      </c>
      <c r="Z25" s="55" t="n">
        <f aca="false">ROUND(Y25*$E$9/12,2)</f>
        <v>0</v>
      </c>
      <c r="AA25" s="55" t="n">
        <f aca="false">MIN($F$9,Y25+Z25)</f>
        <v>0</v>
      </c>
      <c r="AB25" s="55" t="n">
        <f aca="false">MAX(0,MIN(Y25+Z25-AA25,$D25-(H25+M25+R25+W25)))</f>
        <v>0</v>
      </c>
      <c r="AC25" s="55" t="n">
        <f aca="false">AA25+AB25</f>
        <v>0</v>
      </c>
      <c r="AD25" s="55" t="n">
        <f aca="false">ROUND(MAX(0,AD24+AE24-AH24),2)</f>
        <v>0</v>
      </c>
      <c r="AE25" s="55" t="n">
        <f aca="false">ROUND(AD25*$E$10/12,2)</f>
        <v>0</v>
      </c>
      <c r="AF25" s="55" t="n">
        <f aca="false">MIN($F$10,AD25+AE25)</f>
        <v>0</v>
      </c>
      <c r="AG25" s="55" t="n">
        <f aca="false">MAX(0,MIN(AD25+AE25-AF25,$D25-(H25+M25+R25+W25+AB25)))</f>
        <v>0</v>
      </c>
      <c r="AH25" s="55" t="n">
        <f aca="false">AF25+AG25</f>
        <v>0</v>
      </c>
      <c r="AI25" s="55" t="n">
        <f aca="false">ROUND(MAX(0,AI24+AJ24-AM24),2)</f>
        <v>0</v>
      </c>
      <c r="AJ25" s="55" t="n">
        <f aca="false">ROUND(AI25*$E$11/12,2)</f>
        <v>0</v>
      </c>
      <c r="AK25" s="55" t="n">
        <f aca="false">MIN($F$11,AI25+AJ25)</f>
        <v>0</v>
      </c>
      <c r="AL25" s="55" t="n">
        <f aca="false">MAX(0,MIN(AI25+AJ25-AK25,$D25-(H25+M25+R25+W25+AB25+AG25)))</f>
        <v>0</v>
      </c>
      <c r="AM25" s="55" t="n">
        <f aca="false">AK25+AL25</f>
        <v>0</v>
      </c>
      <c r="AN25" s="55" t="n">
        <f aca="false">ROUND(MAX(0,AN24+AO24-AR24),2)</f>
        <v>0</v>
      </c>
      <c r="AO25" s="55" t="n">
        <f aca="false">ROUND(AN25*$E$12/12,2)</f>
        <v>0</v>
      </c>
      <c r="AP25" s="55" t="n">
        <f aca="false">MIN($F$12,AN25+AO25)</f>
        <v>0</v>
      </c>
      <c r="AQ25" s="55" t="n">
        <f aca="false">MAX(0,MIN(AN25+AO25-AP25,$D25-(H25+M25+R25+W25+AB25+AG25+AL25)))</f>
        <v>0</v>
      </c>
      <c r="AR25" s="55" t="n">
        <f aca="false">AP25+AQ25</f>
        <v>0</v>
      </c>
      <c r="AS25" s="55" t="n">
        <f aca="false">ROUND(MAX(0,AS24+AT24-AW24),2)</f>
        <v>0</v>
      </c>
      <c r="AT25" s="55" t="n">
        <f aca="false">ROUND(AS25*$E$13/12,2)</f>
        <v>0</v>
      </c>
      <c r="AU25" s="55" t="n">
        <f aca="false">MIN($F$13,AS25+AT25)</f>
        <v>0</v>
      </c>
      <c r="AV25" s="55" t="n">
        <f aca="false">MAX(0,MIN(AS25+AT25-AU25,$D25-(H25+M25+R25+W25+AB25+AG25+AL25+AQ25)))</f>
        <v>0</v>
      </c>
      <c r="AW25" s="55" t="n">
        <f aca="false">AU25+AV25</f>
        <v>0</v>
      </c>
      <c r="AX25" s="55" t="n">
        <f aca="false">ROUND(MAX(0,AX24+AY24-BB24),2)</f>
        <v>0</v>
      </c>
      <c r="AY25" s="55" t="n">
        <f aca="false">ROUND(AX25*$E$14/12,2)</f>
        <v>0</v>
      </c>
      <c r="AZ25" s="55" t="n">
        <f aca="false">MIN($F$14,AX25+AY25)</f>
        <v>0</v>
      </c>
      <c r="BA25" s="55" t="n">
        <f aca="false">MAX(0,MIN(AX25+AY25-AZ25,$D25-(H25+M25+R25+W25+AB25+AG25+AL25+AQ25+AV25)))</f>
        <v>0</v>
      </c>
      <c r="BB25" s="55" t="n">
        <f aca="false">AZ25+BA25</f>
        <v>0</v>
      </c>
      <c r="BC25" s="55" t="n">
        <f aca="false">I25+N25+S25+X25+AC25+AH25+AM25+AR25+AW25+BB25</f>
        <v>5822</v>
      </c>
      <c r="BD25" s="55" t="n">
        <f aca="false">ROUND((E25+F25-I25)+(J25+K25-N25)+(O25+P25-S25)+(T25+U25-X25)+(Y25+Z25-AC25)+(AD25+AE25-AH25)+(AI25+AJ25-AM25)+(AN25+AO25-AR25)+(AS25+AT25-AW25)+(AX25+AY25-BB25),2)</f>
        <v>85688.85</v>
      </c>
      <c r="BE25" s="25" t="str">
        <f aca="false">IF(H25&gt;0.005,$C$5,IF(M25&gt;0.005,$C$6,IF(R25&gt;0.005,$C$7,IF(W25&gt;0.005,$C$8,IF(AB25&gt;0.005,$C$9,IF(AG25&gt;0.005,$C$10,IF(AL25&gt;0.005,$C$11,IF(AQ25&gt;0.005,$C$12,IF(AV25&gt;0.005,$C$13,IF(BA25&gt;0.005,$C$14,""))))))))))</f>
        <v>网贷X</v>
      </c>
    </row>
    <row r="26" customFormat="false" ht="15" hidden="false" customHeight="false" outlineLevel="0" collapsed="false">
      <c r="A26" s="24" t="n">
        <v>3</v>
      </c>
      <c r="B26" s="54" t="n">
        <f aca="false">EDATE($C$17,A26-1)</f>
        <v>46388</v>
      </c>
      <c r="C26" s="55" t="n">
        <f aca="false">G26+L26+Q26+V26+AA26+AF26+AK26+AP26+AU26+AZ26</f>
        <v>4822</v>
      </c>
      <c r="D26" s="55" t="n">
        <f aca="false">MAX(0,$C$16-C26)</f>
        <v>1000</v>
      </c>
      <c r="E26" s="55" t="n">
        <f aca="false">ROUND(MAX(0,E25+F25-I25),2)</f>
        <v>21263</v>
      </c>
      <c r="F26" s="55" t="n">
        <f aca="false">ROUND(E26*$E$5/12,2)</f>
        <v>425.26</v>
      </c>
      <c r="G26" s="55" t="n">
        <f aca="false">MIN($F$5,E26+F26)</f>
        <v>1350</v>
      </c>
      <c r="H26" s="55" t="n">
        <f aca="false">MAX(0,MIN(E26+F26-G26,$D26))</f>
        <v>1000</v>
      </c>
      <c r="I26" s="55" t="n">
        <f aca="false">G26+H26</f>
        <v>2350</v>
      </c>
      <c r="J26" s="55" t="n">
        <f aca="false">ROUND(MAX(0,J25+K25-N25),2)</f>
        <v>35320.05</v>
      </c>
      <c r="K26" s="55" t="n">
        <f aca="false">ROUND(J26*$E$6/12,2)</f>
        <v>529.8</v>
      </c>
      <c r="L26" s="55" t="n">
        <f aca="false">MIN($F$6,J26+K26)</f>
        <v>1900</v>
      </c>
      <c r="M26" s="55" t="n">
        <f aca="false">MAX(0,MIN(J26+K26-L26,$D26-(H26)))</f>
        <v>0</v>
      </c>
      <c r="N26" s="55" t="n">
        <f aca="false">L26+M26</f>
        <v>1900</v>
      </c>
      <c r="O26" s="55" t="n">
        <f aca="false">ROUND(MAX(0,O25+P25-S25),2)</f>
        <v>10105.8</v>
      </c>
      <c r="P26" s="55" t="n">
        <f aca="false">ROUND(O26*$E$7/12,2)</f>
        <v>109.48</v>
      </c>
      <c r="Q26" s="55" t="n">
        <f aca="false">MIN($F$7,O26+P26)</f>
        <v>1072</v>
      </c>
      <c r="R26" s="55" t="n">
        <f aca="false">MAX(0,MIN(O26+P26-Q26,$D26-(H26+M26)))</f>
        <v>0</v>
      </c>
      <c r="S26" s="55" t="n">
        <f aca="false">Q26+R26</f>
        <v>1072</v>
      </c>
      <c r="T26" s="55" t="n">
        <f aca="false">ROUND(MAX(0,T25+U25-X25),2)</f>
        <v>19000</v>
      </c>
      <c r="U26" s="55" t="n">
        <f aca="false">ROUND(T26*$E$8/12,2)</f>
        <v>0</v>
      </c>
      <c r="V26" s="55" t="n">
        <f aca="false">MIN($F$8,T26+U26)</f>
        <v>500</v>
      </c>
      <c r="W26" s="55" t="n">
        <f aca="false">MAX(0,MIN(T26+U26-V26,$D26-(H26+M26+R26)))</f>
        <v>0</v>
      </c>
      <c r="X26" s="55" t="n">
        <f aca="false">V26+W26</f>
        <v>500</v>
      </c>
      <c r="Y26" s="55" t="n">
        <f aca="false">ROUND(MAX(0,Y25+Z25-AC25),2)</f>
        <v>0</v>
      </c>
      <c r="Z26" s="55" t="n">
        <f aca="false">ROUND(Y26*$E$9/12,2)</f>
        <v>0</v>
      </c>
      <c r="AA26" s="55" t="n">
        <f aca="false">MIN($F$9,Y26+Z26)</f>
        <v>0</v>
      </c>
      <c r="AB26" s="55" t="n">
        <f aca="false">MAX(0,MIN(Y26+Z26-AA26,$D26-(H26+M26+R26+W26)))</f>
        <v>0</v>
      </c>
      <c r="AC26" s="55" t="n">
        <f aca="false">AA26+AB26</f>
        <v>0</v>
      </c>
      <c r="AD26" s="55" t="n">
        <f aca="false">ROUND(MAX(0,AD25+AE25-AH25),2)</f>
        <v>0</v>
      </c>
      <c r="AE26" s="55" t="n">
        <f aca="false">ROUND(AD26*$E$10/12,2)</f>
        <v>0</v>
      </c>
      <c r="AF26" s="55" t="n">
        <f aca="false">MIN($F$10,AD26+AE26)</f>
        <v>0</v>
      </c>
      <c r="AG26" s="55" t="n">
        <f aca="false">MAX(0,MIN(AD26+AE26-AF26,$D26-(H26+M26+R26+W26+AB26)))</f>
        <v>0</v>
      </c>
      <c r="AH26" s="55" t="n">
        <f aca="false">AF26+AG26</f>
        <v>0</v>
      </c>
      <c r="AI26" s="55" t="n">
        <f aca="false">ROUND(MAX(0,AI25+AJ25-AM25),2)</f>
        <v>0</v>
      </c>
      <c r="AJ26" s="55" t="n">
        <f aca="false">ROUND(AI26*$E$11/12,2)</f>
        <v>0</v>
      </c>
      <c r="AK26" s="55" t="n">
        <f aca="false">MIN($F$11,AI26+AJ26)</f>
        <v>0</v>
      </c>
      <c r="AL26" s="55" t="n">
        <f aca="false">MAX(0,MIN(AI26+AJ26-AK26,$D26-(H26+M26+R26+W26+AB26+AG26)))</f>
        <v>0</v>
      </c>
      <c r="AM26" s="55" t="n">
        <f aca="false">AK26+AL26</f>
        <v>0</v>
      </c>
      <c r="AN26" s="55" t="n">
        <f aca="false">ROUND(MAX(0,AN25+AO25-AR25),2)</f>
        <v>0</v>
      </c>
      <c r="AO26" s="55" t="n">
        <f aca="false">ROUND(AN26*$E$12/12,2)</f>
        <v>0</v>
      </c>
      <c r="AP26" s="55" t="n">
        <f aca="false">MIN($F$12,AN26+AO26)</f>
        <v>0</v>
      </c>
      <c r="AQ26" s="55" t="n">
        <f aca="false">MAX(0,MIN(AN26+AO26-AP26,$D26-(H26+M26+R26+W26+AB26+AG26+AL26)))</f>
        <v>0</v>
      </c>
      <c r="AR26" s="55" t="n">
        <f aca="false">AP26+AQ26</f>
        <v>0</v>
      </c>
      <c r="AS26" s="55" t="n">
        <f aca="false">ROUND(MAX(0,AS25+AT25-AW25),2)</f>
        <v>0</v>
      </c>
      <c r="AT26" s="55" t="n">
        <f aca="false">ROUND(AS26*$E$13/12,2)</f>
        <v>0</v>
      </c>
      <c r="AU26" s="55" t="n">
        <f aca="false">MIN($F$13,AS26+AT26)</f>
        <v>0</v>
      </c>
      <c r="AV26" s="55" t="n">
        <f aca="false">MAX(0,MIN(AS26+AT26-AU26,$D26-(H26+M26+R26+W26+AB26+AG26+AL26+AQ26)))</f>
        <v>0</v>
      </c>
      <c r="AW26" s="55" t="n">
        <f aca="false">AU26+AV26</f>
        <v>0</v>
      </c>
      <c r="AX26" s="55" t="n">
        <f aca="false">ROUND(MAX(0,AX25+AY25-BB25),2)</f>
        <v>0</v>
      </c>
      <c r="AY26" s="55" t="n">
        <f aca="false">ROUND(AX26*$E$14/12,2)</f>
        <v>0</v>
      </c>
      <c r="AZ26" s="55" t="n">
        <f aca="false">MIN($F$14,AX26+AY26)</f>
        <v>0</v>
      </c>
      <c r="BA26" s="55" t="n">
        <f aca="false">MAX(0,MIN(AX26+AY26-AZ26,$D26-(H26+M26+R26+W26+AB26+AG26+AL26+AQ26+AV26)))</f>
        <v>0</v>
      </c>
      <c r="BB26" s="55" t="n">
        <f aca="false">AZ26+BA26</f>
        <v>0</v>
      </c>
      <c r="BC26" s="55" t="n">
        <f aca="false">I26+N26+S26+X26+AC26+AH26+AM26+AR26+AW26+BB26</f>
        <v>5822</v>
      </c>
      <c r="BD26" s="55" t="n">
        <f aca="false">ROUND((E26+F26-I26)+(J26+K26-N26)+(O26+P26-S26)+(T26+U26-X26)+(Y26+Z26-AC26)+(AD26+AE26-AH26)+(AI26+AJ26-AM26)+(AN26+AO26-AR26)+(AS26+AT26-AW26)+(AX26+AY26-BB26),2)</f>
        <v>80931.39</v>
      </c>
      <c r="BE26" s="25" t="str">
        <f aca="false">IF(H26&gt;0.005,$C$5,IF(M26&gt;0.005,$C$6,IF(R26&gt;0.005,$C$7,IF(W26&gt;0.005,$C$8,IF(AB26&gt;0.005,$C$9,IF(AG26&gt;0.005,$C$10,IF(AL26&gt;0.005,$C$11,IF(AQ26&gt;0.005,$C$12,IF(AV26&gt;0.005,$C$13,IF(BA26&gt;0.005,$C$14,""))))))))))</f>
        <v>网贷X</v>
      </c>
    </row>
    <row r="27" customFormat="false" ht="15" hidden="false" customHeight="false" outlineLevel="0" collapsed="false">
      <c r="A27" s="24" t="n">
        <v>4</v>
      </c>
      <c r="B27" s="54" t="n">
        <f aca="false">EDATE($C$17,A27-1)</f>
        <v>46419</v>
      </c>
      <c r="C27" s="55" t="n">
        <f aca="false">G27+L27+Q27+V27+AA27+AF27+AK27+AP27+AU27+AZ27</f>
        <v>4822</v>
      </c>
      <c r="D27" s="55" t="n">
        <f aca="false">MAX(0,$C$16-C27)</f>
        <v>1000</v>
      </c>
      <c r="E27" s="55" t="n">
        <f aca="false">ROUND(MAX(0,E26+F26-I26),2)</f>
        <v>19338.26</v>
      </c>
      <c r="F27" s="55" t="n">
        <f aca="false">ROUND(E27*$E$5/12,2)</f>
        <v>386.77</v>
      </c>
      <c r="G27" s="55" t="n">
        <f aca="false">MIN($F$5,E27+F27)</f>
        <v>1350</v>
      </c>
      <c r="H27" s="55" t="n">
        <f aca="false">MAX(0,MIN(E27+F27-G27,$D27))</f>
        <v>1000</v>
      </c>
      <c r="I27" s="55" t="n">
        <f aca="false">G27+H27</f>
        <v>2350</v>
      </c>
      <c r="J27" s="55" t="n">
        <f aca="false">ROUND(MAX(0,J26+K26-N26),2)</f>
        <v>33949.85</v>
      </c>
      <c r="K27" s="55" t="n">
        <f aca="false">ROUND(J27*$E$6/12,2)</f>
        <v>509.25</v>
      </c>
      <c r="L27" s="55" t="n">
        <f aca="false">MIN($F$6,J27+K27)</f>
        <v>1900</v>
      </c>
      <c r="M27" s="55" t="n">
        <f aca="false">MAX(0,MIN(J27+K27-L27,$D27-(H27)))</f>
        <v>0</v>
      </c>
      <c r="N27" s="55" t="n">
        <f aca="false">L27+M27</f>
        <v>1900</v>
      </c>
      <c r="O27" s="55" t="n">
        <f aca="false">ROUND(MAX(0,O26+P26-S26),2)</f>
        <v>9143.28</v>
      </c>
      <c r="P27" s="55" t="n">
        <f aca="false">ROUND(O27*$E$7/12,2)</f>
        <v>99.05</v>
      </c>
      <c r="Q27" s="55" t="n">
        <f aca="false">MIN($F$7,O27+P27)</f>
        <v>1072</v>
      </c>
      <c r="R27" s="55" t="n">
        <f aca="false">MAX(0,MIN(O27+P27-Q27,$D27-(H27+M27)))</f>
        <v>0</v>
      </c>
      <c r="S27" s="55" t="n">
        <f aca="false">Q27+R27</f>
        <v>1072</v>
      </c>
      <c r="T27" s="55" t="n">
        <f aca="false">ROUND(MAX(0,T26+U26-X26),2)</f>
        <v>18500</v>
      </c>
      <c r="U27" s="55" t="n">
        <f aca="false">ROUND(T27*$E$8/12,2)</f>
        <v>0</v>
      </c>
      <c r="V27" s="55" t="n">
        <f aca="false">MIN($F$8,T27+U27)</f>
        <v>500</v>
      </c>
      <c r="W27" s="55" t="n">
        <f aca="false">MAX(0,MIN(T27+U27-V27,$D27-(H27+M27+R27)))</f>
        <v>0</v>
      </c>
      <c r="X27" s="55" t="n">
        <f aca="false">V27+W27</f>
        <v>500</v>
      </c>
      <c r="Y27" s="55" t="n">
        <f aca="false">ROUND(MAX(0,Y26+Z26-AC26),2)</f>
        <v>0</v>
      </c>
      <c r="Z27" s="55" t="n">
        <f aca="false">ROUND(Y27*$E$9/12,2)</f>
        <v>0</v>
      </c>
      <c r="AA27" s="55" t="n">
        <f aca="false">MIN($F$9,Y27+Z27)</f>
        <v>0</v>
      </c>
      <c r="AB27" s="55" t="n">
        <f aca="false">MAX(0,MIN(Y27+Z27-AA27,$D27-(H27+M27+R27+W27)))</f>
        <v>0</v>
      </c>
      <c r="AC27" s="55" t="n">
        <f aca="false">AA27+AB27</f>
        <v>0</v>
      </c>
      <c r="AD27" s="55" t="n">
        <f aca="false">ROUND(MAX(0,AD26+AE26-AH26),2)</f>
        <v>0</v>
      </c>
      <c r="AE27" s="55" t="n">
        <f aca="false">ROUND(AD27*$E$10/12,2)</f>
        <v>0</v>
      </c>
      <c r="AF27" s="55" t="n">
        <f aca="false">MIN($F$10,AD27+AE27)</f>
        <v>0</v>
      </c>
      <c r="AG27" s="55" t="n">
        <f aca="false">MAX(0,MIN(AD27+AE27-AF27,$D27-(H27+M27+R27+W27+AB27)))</f>
        <v>0</v>
      </c>
      <c r="AH27" s="55" t="n">
        <f aca="false">AF27+AG27</f>
        <v>0</v>
      </c>
      <c r="AI27" s="55" t="n">
        <f aca="false">ROUND(MAX(0,AI26+AJ26-AM26),2)</f>
        <v>0</v>
      </c>
      <c r="AJ27" s="55" t="n">
        <f aca="false">ROUND(AI27*$E$11/12,2)</f>
        <v>0</v>
      </c>
      <c r="AK27" s="55" t="n">
        <f aca="false">MIN($F$11,AI27+AJ27)</f>
        <v>0</v>
      </c>
      <c r="AL27" s="55" t="n">
        <f aca="false">MAX(0,MIN(AI27+AJ27-AK27,$D27-(H27+M27+R27+W27+AB27+AG27)))</f>
        <v>0</v>
      </c>
      <c r="AM27" s="55" t="n">
        <f aca="false">AK27+AL27</f>
        <v>0</v>
      </c>
      <c r="AN27" s="55" t="n">
        <f aca="false">ROUND(MAX(0,AN26+AO26-AR26),2)</f>
        <v>0</v>
      </c>
      <c r="AO27" s="55" t="n">
        <f aca="false">ROUND(AN27*$E$12/12,2)</f>
        <v>0</v>
      </c>
      <c r="AP27" s="55" t="n">
        <f aca="false">MIN($F$12,AN27+AO27)</f>
        <v>0</v>
      </c>
      <c r="AQ27" s="55" t="n">
        <f aca="false">MAX(0,MIN(AN27+AO27-AP27,$D27-(H27+M27+R27+W27+AB27+AG27+AL27)))</f>
        <v>0</v>
      </c>
      <c r="AR27" s="55" t="n">
        <f aca="false">AP27+AQ27</f>
        <v>0</v>
      </c>
      <c r="AS27" s="55" t="n">
        <f aca="false">ROUND(MAX(0,AS26+AT26-AW26),2)</f>
        <v>0</v>
      </c>
      <c r="AT27" s="55" t="n">
        <f aca="false">ROUND(AS27*$E$13/12,2)</f>
        <v>0</v>
      </c>
      <c r="AU27" s="55" t="n">
        <f aca="false">MIN($F$13,AS27+AT27)</f>
        <v>0</v>
      </c>
      <c r="AV27" s="55" t="n">
        <f aca="false">MAX(0,MIN(AS27+AT27-AU27,$D27-(H27+M27+R27+W27+AB27+AG27+AL27+AQ27)))</f>
        <v>0</v>
      </c>
      <c r="AW27" s="55" t="n">
        <f aca="false">AU27+AV27</f>
        <v>0</v>
      </c>
      <c r="AX27" s="55" t="n">
        <f aca="false">ROUND(MAX(0,AX26+AY26-BB26),2)</f>
        <v>0</v>
      </c>
      <c r="AY27" s="55" t="n">
        <f aca="false">ROUND(AX27*$E$14/12,2)</f>
        <v>0</v>
      </c>
      <c r="AZ27" s="55" t="n">
        <f aca="false">MIN($F$14,AX27+AY27)</f>
        <v>0</v>
      </c>
      <c r="BA27" s="55" t="n">
        <f aca="false">MAX(0,MIN(AX27+AY27-AZ27,$D27-(H27+M27+R27+W27+AB27+AG27+AL27+AQ27+AV27)))</f>
        <v>0</v>
      </c>
      <c r="BB27" s="55" t="n">
        <f aca="false">AZ27+BA27</f>
        <v>0</v>
      </c>
      <c r="BC27" s="55" t="n">
        <f aca="false">I27+N27+S27+X27+AC27+AH27+AM27+AR27+AW27+BB27</f>
        <v>5822</v>
      </c>
      <c r="BD27" s="55" t="n">
        <f aca="false">ROUND((E27+F27-I27)+(J27+K27-N27)+(O27+P27-S27)+(T27+U27-X27)+(Y27+Z27-AC27)+(AD27+AE27-AH27)+(AI27+AJ27-AM27)+(AN27+AO27-AR27)+(AS27+AT27-AW27)+(AX27+AY27-BB27),2)</f>
        <v>76104.46</v>
      </c>
      <c r="BE27" s="25" t="str">
        <f aca="false">IF(H27&gt;0.005,$C$5,IF(M27&gt;0.005,$C$6,IF(R27&gt;0.005,$C$7,IF(W27&gt;0.005,$C$8,IF(AB27&gt;0.005,$C$9,IF(AG27&gt;0.005,$C$10,IF(AL27&gt;0.005,$C$11,IF(AQ27&gt;0.005,$C$12,IF(AV27&gt;0.005,$C$13,IF(BA27&gt;0.005,$C$14,""))))))))))</f>
        <v>网贷X</v>
      </c>
    </row>
    <row r="28" customFormat="false" ht="15" hidden="false" customHeight="false" outlineLevel="0" collapsed="false">
      <c r="A28" s="24" t="n">
        <v>5</v>
      </c>
      <c r="B28" s="54" t="n">
        <f aca="false">EDATE($C$17,A28-1)</f>
        <v>46447</v>
      </c>
      <c r="C28" s="55" t="n">
        <f aca="false">G28+L28+Q28+V28+AA28+AF28+AK28+AP28+AU28+AZ28</f>
        <v>4822</v>
      </c>
      <c r="D28" s="55" t="n">
        <f aca="false">MAX(0,$C$16-C28)</f>
        <v>1000</v>
      </c>
      <c r="E28" s="55" t="n">
        <f aca="false">ROUND(MAX(0,E27+F27-I27),2)</f>
        <v>17375.03</v>
      </c>
      <c r="F28" s="55" t="n">
        <f aca="false">ROUND(E28*$E$5/12,2)</f>
        <v>347.5</v>
      </c>
      <c r="G28" s="55" t="n">
        <f aca="false">MIN($F$5,E28+F28)</f>
        <v>1350</v>
      </c>
      <c r="H28" s="55" t="n">
        <f aca="false">MAX(0,MIN(E28+F28-G28,$D28))</f>
        <v>1000</v>
      </c>
      <c r="I28" s="55" t="n">
        <f aca="false">G28+H28</f>
        <v>2350</v>
      </c>
      <c r="J28" s="55" t="n">
        <f aca="false">ROUND(MAX(0,J27+K27-N27),2)</f>
        <v>32559.1</v>
      </c>
      <c r="K28" s="55" t="n">
        <f aca="false">ROUND(J28*$E$6/12,2)</f>
        <v>488.39</v>
      </c>
      <c r="L28" s="55" t="n">
        <f aca="false">MIN($F$6,J28+K28)</f>
        <v>1900</v>
      </c>
      <c r="M28" s="55" t="n">
        <f aca="false">MAX(0,MIN(J28+K28-L28,$D28-(H28)))</f>
        <v>0</v>
      </c>
      <c r="N28" s="55" t="n">
        <f aca="false">L28+M28</f>
        <v>1900</v>
      </c>
      <c r="O28" s="55" t="n">
        <f aca="false">ROUND(MAX(0,O27+P27-S27),2)</f>
        <v>8170.33</v>
      </c>
      <c r="P28" s="55" t="n">
        <f aca="false">ROUND(O28*$E$7/12,2)</f>
        <v>88.51</v>
      </c>
      <c r="Q28" s="55" t="n">
        <f aca="false">MIN($F$7,O28+P28)</f>
        <v>1072</v>
      </c>
      <c r="R28" s="55" t="n">
        <f aca="false">MAX(0,MIN(O28+P28-Q28,$D28-(H28+M28)))</f>
        <v>0</v>
      </c>
      <c r="S28" s="55" t="n">
        <f aca="false">Q28+R28</f>
        <v>1072</v>
      </c>
      <c r="T28" s="55" t="n">
        <f aca="false">ROUND(MAX(0,T27+U27-X27),2)</f>
        <v>18000</v>
      </c>
      <c r="U28" s="55" t="n">
        <f aca="false">ROUND(T28*$E$8/12,2)</f>
        <v>0</v>
      </c>
      <c r="V28" s="55" t="n">
        <f aca="false">MIN($F$8,T28+U28)</f>
        <v>500</v>
      </c>
      <c r="W28" s="55" t="n">
        <f aca="false">MAX(0,MIN(T28+U28-V28,$D28-(H28+M28+R28)))</f>
        <v>0</v>
      </c>
      <c r="X28" s="55" t="n">
        <f aca="false">V28+W28</f>
        <v>500</v>
      </c>
      <c r="Y28" s="55" t="n">
        <f aca="false">ROUND(MAX(0,Y27+Z27-AC27),2)</f>
        <v>0</v>
      </c>
      <c r="Z28" s="55" t="n">
        <f aca="false">ROUND(Y28*$E$9/12,2)</f>
        <v>0</v>
      </c>
      <c r="AA28" s="55" t="n">
        <f aca="false">MIN($F$9,Y28+Z28)</f>
        <v>0</v>
      </c>
      <c r="AB28" s="55" t="n">
        <f aca="false">MAX(0,MIN(Y28+Z28-AA28,$D28-(H28+M28+R28+W28)))</f>
        <v>0</v>
      </c>
      <c r="AC28" s="55" t="n">
        <f aca="false">AA28+AB28</f>
        <v>0</v>
      </c>
      <c r="AD28" s="55" t="n">
        <f aca="false">ROUND(MAX(0,AD27+AE27-AH27),2)</f>
        <v>0</v>
      </c>
      <c r="AE28" s="55" t="n">
        <f aca="false">ROUND(AD28*$E$10/12,2)</f>
        <v>0</v>
      </c>
      <c r="AF28" s="55" t="n">
        <f aca="false">MIN($F$10,AD28+AE28)</f>
        <v>0</v>
      </c>
      <c r="AG28" s="55" t="n">
        <f aca="false">MAX(0,MIN(AD28+AE28-AF28,$D28-(H28+M28+R28+W28+AB28)))</f>
        <v>0</v>
      </c>
      <c r="AH28" s="55" t="n">
        <f aca="false">AF28+AG28</f>
        <v>0</v>
      </c>
      <c r="AI28" s="55" t="n">
        <f aca="false">ROUND(MAX(0,AI27+AJ27-AM27),2)</f>
        <v>0</v>
      </c>
      <c r="AJ28" s="55" t="n">
        <f aca="false">ROUND(AI28*$E$11/12,2)</f>
        <v>0</v>
      </c>
      <c r="AK28" s="55" t="n">
        <f aca="false">MIN($F$11,AI28+AJ28)</f>
        <v>0</v>
      </c>
      <c r="AL28" s="55" t="n">
        <f aca="false">MAX(0,MIN(AI28+AJ28-AK28,$D28-(H28+M28+R28+W28+AB28+AG28)))</f>
        <v>0</v>
      </c>
      <c r="AM28" s="55" t="n">
        <f aca="false">AK28+AL28</f>
        <v>0</v>
      </c>
      <c r="AN28" s="55" t="n">
        <f aca="false">ROUND(MAX(0,AN27+AO27-AR27),2)</f>
        <v>0</v>
      </c>
      <c r="AO28" s="55" t="n">
        <f aca="false">ROUND(AN28*$E$12/12,2)</f>
        <v>0</v>
      </c>
      <c r="AP28" s="55" t="n">
        <f aca="false">MIN($F$12,AN28+AO28)</f>
        <v>0</v>
      </c>
      <c r="AQ28" s="55" t="n">
        <f aca="false">MAX(0,MIN(AN28+AO28-AP28,$D28-(H28+M28+R28+W28+AB28+AG28+AL28)))</f>
        <v>0</v>
      </c>
      <c r="AR28" s="55" t="n">
        <f aca="false">AP28+AQ28</f>
        <v>0</v>
      </c>
      <c r="AS28" s="55" t="n">
        <f aca="false">ROUND(MAX(0,AS27+AT27-AW27),2)</f>
        <v>0</v>
      </c>
      <c r="AT28" s="55" t="n">
        <f aca="false">ROUND(AS28*$E$13/12,2)</f>
        <v>0</v>
      </c>
      <c r="AU28" s="55" t="n">
        <f aca="false">MIN($F$13,AS28+AT28)</f>
        <v>0</v>
      </c>
      <c r="AV28" s="55" t="n">
        <f aca="false">MAX(0,MIN(AS28+AT28-AU28,$D28-(H28+M28+R28+W28+AB28+AG28+AL28+AQ28)))</f>
        <v>0</v>
      </c>
      <c r="AW28" s="55" t="n">
        <f aca="false">AU28+AV28</f>
        <v>0</v>
      </c>
      <c r="AX28" s="55" t="n">
        <f aca="false">ROUND(MAX(0,AX27+AY27-BB27),2)</f>
        <v>0</v>
      </c>
      <c r="AY28" s="55" t="n">
        <f aca="false">ROUND(AX28*$E$14/12,2)</f>
        <v>0</v>
      </c>
      <c r="AZ28" s="55" t="n">
        <f aca="false">MIN($F$14,AX28+AY28)</f>
        <v>0</v>
      </c>
      <c r="BA28" s="55" t="n">
        <f aca="false">MAX(0,MIN(AX28+AY28-AZ28,$D28-(H28+M28+R28+W28+AB28+AG28+AL28+AQ28+AV28)))</f>
        <v>0</v>
      </c>
      <c r="BB28" s="55" t="n">
        <f aca="false">AZ28+BA28</f>
        <v>0</v>
      </c>
      <c r="BC28" s="55" t="n">
        <f aca="false">I28+N28+S28+X28+AC28+AH28+AM28+AR28+AW28+BB28</f>
        <v>5822</v>
      </c>
      <c r="BD28" s="55" t="n">
        <f aca="false">ROUND((E28+F28-I28)+(J28+K28-N28)+(O28+P28-S28)+(T28+U28-X28)+(Y28+Z28-AC28)+(AD28+AE28-AH28)+(AI28+AJ28-AM28)+(AN28+AO28-AR28)+(AS28+AT28-AW28)+(AX28+AY28-BB28),2)</f>
        <v>71206.86</v>
      </c>
      <c r="BE28" s="25" t="str">
        <f aca="false">IF(H28&gt;0.005,$C$5,IF(M28&gt;0.005,$C$6,IF(R28&gt;0.005,$C$7,IF(W28&gt;0.005,$C$8,IF(AB28&gt;0.005,$C$9,IF(AG28&gt;0.005,$C$10,IF(AL28&gt;0.005,$C$11,IF(AQ28&gt;0.005,$C$12,IF(AV28&gt;0.005,$C$13,IF(BA28&gt;0.005,$C$14,""))))))))))</f>
        <v>网贷X</v>
      </c>
    </row>
    <row r="29" customFormat="false" ht="15" hidden="false" customHeight="false" outlineLevel="0" collapsed="false">
      <c r="A29" s="24" t="n">
        <v>6</v>
      </c>
      <c r="B29" s="54" t="n">
        <f aca="false">EDATE($C$17,A29-1)</f>
        <v>46478</v>
      </c>
      <c r="C29" s="55" t="n">
        <f aca="false">G29+L29+Q29+V29+AA29+AF29+AK29+AP29+AU29+AZ29</f>
        <v>4822</v>
      </c>
      <c r="D29" s="55" t="n">
        <f aca="false">MAX(0,$C$16-C29)</f>
        <v>1000</v>
      </c>
      <c r="E29" s="55" t="n">
        <f aca="false">ROUND(MAX(0,E28+F28-I28),2)</f>
        <v>15372.53</v>
      </c>
      <c r="F29" s="55" t="n">
        <f aca="false">ROUND(E29*$E$5/12,2)</f>
        <v>307.45</v>
      </c>
      <c r="G29" s="55" t="n">
        <f aca="false">MIN($F$5,E29+F29)</f>
        <v>1350</v>
      </c>
      <c r="H29" s="55" t="n">
        <f aca="false">MAX(0,MIN(E29+F29-G29,$D29))</f>
        <v>1000</v>
      </c>
      <c r="I29" s="55" t="n">
        <f aca="false">G29+H29</f>
        <v>2350</v>
      </c>
      <c r="J29" s="55" t="n">
        <f aca="false">ROUND(MAX(0,J28+K28-N28),2)</f>
        <v>31147.49</v>
      </c>
      <c r="K29" s="55" t="n">
        <f aca="false">ROUND(J29*$E$6/12,2)</f>
        <v>467.21</v>
      </c>
      <c r="L29" s="55" t="n">
        <f aca="false">MIN($F$6,J29+K29)</f>
        <v>1900</v>
      </c>
      <c r="M29" s="55" t="n">
        <f aca="false">MAX(0,MIN(J29+K29-L29,$D29-(H29)))</f>
        <v>0</v>
      </c>
      <c r="N29" s="55" t="n">
        <f aca="false">L29+M29</f>
        <v>1900</v>
      </c>
      <c r="O29" s="55" t="n">
        <f aca="false">ROUND(MAX(0,O28+P28-S28),2)</f>
        <v>7186.84</v>
      </c>
      <c r="P29" s="55" t="n">
        <f aca="false">ROUND(O29*$E$7/12,2)</f>
        <v>77.86</v>
      </c>
      <c r="Q29" s="55" t="n">
        <f aca="false">MIN($F$7,O29+P29)</f>
        <v>1072</v>
      </c>
      <c r="R29" s="55" t="n">
        <f aca="false">MAX(0,MIN(O29+P29-Q29,$D29-(H29+M29)))</f>
        <v>0</v>
      </c>
      <c r="S29" s="55" t="n">
        <f aca="false">Q29+R29</f>
        <v>1072</v>
      </c>
      <c r="T29" s="55" t="n">
        <f aca="false">ROUND(MAX(0,T28+U28-X28),2)</f>
        <v>17500</v>
      </c>
      <c r="U29" s="55" t="n">
        <f aca="false">ROUND(T29*$E$8/12,2)</f>
        <v>0</v>
      </c>
      <c r="V29" s="55" t="n">
        <f aca="false">MIN($F$8,T29+U29)</f>
        <v>500</v>
      </c>
      <c r="W29" s="55" t="n">
        <f aca="false">MAX(0,MIN(T29+U29-V29,$D29-(H29+M29+R29)))</f>
        <v>0</v>
      </c>
      <c r="X29" s="55" t="n">
        <f aca="false">V29+W29</f>
        <v>500</v>
      </c>
      <c r="Y29" s="55" t="n">
        <f aca="false">ROUND(MAX(0,Y28+Z28-AC28),2)</f>
        <v>0</v>
      </c>
      <c r="Z29" s="55" t="n">
        <f aca="false">ROUND(Y29*$E$9/12,2)</f>
        <v>0</v>
      </c>
      <c r="AA29" s="55" t="n">
        <f aca="false">MIN($F$9,Y29+Z29)</f>
        <v>0</v>
      </c>
      <c r="AB29" s="55" t="n">
        <f aca="false">MAX(0,MIN(Y29+Z29-AA29,$D29-(H29+M29+R29+W29)))</f>
        <v>0</v>
      </c>
      <c r="AC29" s="55" t="n">
        <f aca="false">AA29+AB29</f>
        <v>0</v>
      </c>
      <c r="AD29" s="55" t="n">
        <f aca="false">ROUND(MAX(0,AD28+AE28-AH28),2)</f>
        <v>0</v>
      </c>
      <c r="AE29" s="55" t="n">
        <f aca="false">ROUND(AD29*$E$10/12,2)</f>
        <v>0</v>
      </c>
      <c r="AF29" s="55" t="n">
        <f aca="false">MIN($F$10,AD29+AE29)</f>
        <v>0</v>
      </c>
      <c r="AG29" s="55" t="n">
        <f aca="false">MAX(0,MIN(AD29+AE29-AF29,$D29-(H29+M29+R29+W29+AB29)))</f>
        <v>0</v>
      </c>
      <c r="AH29" s="55" t="n">
        <f aca="false">AF29+AG29</f>
        <v>0</v>
      </c>
      <c r="AI29" s="55" t="n">
        <f aca="false">ROUND(MAX(0,AI28+AJ28-AM28),2)</f>
        <v>0</v>
      </c>
      <c r="AJ29" s="55" t="n">
        <f aca="false">ROUND(AI29*$E$11/12,2)</f>
        <v>0</v>
      </c>
      <c r="AK29" s="55" t="n">
        <f aca="false">MIN($F$11,AI29+AJ29)</f>
        <v>0</v>
      </c>
      <c r="AL29" s="55" t="n">
        <f aca="false">MAX(0,MIN(AI29+AJ29-AK29,$D29-(H29+M29+R29+W29+AB29+AG29)))</f>
        <v>0</v>
      </c>
      <c r="AM29" s="55" t="n">
        <f aca="false">AK29+AL29</f>
        <v>0</v>
      </c>
      <c r="AN29" s="55" t="n">
        <f aca="false">ROUND(MAX(0,AN28+AO28-AR28),2)</f>
        <v>0</v>
      </c>
      <c r="AO29" s="55" t="n">
        <f aca="false">ROUND(AN29*$E$12/12,2)</f>
        <v>0</v>
      </c>
      <c r="AP29" s="55" t="n">
        <f aca="false">MIN($F$12,AN29+AO29)</f>
        <v>0</v>
      </c>
      <c r="AQ29" s="55" t="n">
        <f aca="false">MAX(0,MIN(AN29+AO29-AP29,$D29-(H29+M29+R29+W29+AB29+AG29+AL29)))</f>
        <v>0</v>
      </c>
      <c r="AR29" s="55" t="n">
        <f aca="false">AP29+AQ29</f>
        <v>0</v>
      </c>
      <c r="AS29" s="55" t="n">
        <f aca="false">ROUND(MAX(0,AS28+AT28-AW28),2)</f>
        <v>0</v>
      </c>
      <c r="AT29" s="55" t="n">
        <f aca="false">ROUND(AS29*$E$13/12,2)</f>
        <v>0</v>
      </c>
      <c r="AU29" s="55" t="n">
        <f aca="false">MIN($F$13,AS29+AT29)</f>
        <v>0</v>
      </c>
      <c r="AV29" s="55" t="n">
        <f aca="false">MAX(0,MIN(AS29+AT29-AU29,$D29-(H29+M29+R29+W29+AB29+AG29+AL29+AQ29)))</f>
        <v>0</v>
      </c>
      <c r="AW29" s="55" t="n">
        <f aca="false">AU29+AV29</f>
        <v>0</v>
      </c>
      <c r="AX29" s="55" t="n">
        <f aca="false">ROUND(MAX(0,AX28+AY28-BB28),2)</f>
        <v>0</v>
      </c>
      <c r="AY29" s="55" t="n">
        <f aca="false">ROUND(AX29*$E$14/12,2)</f>
        <v>0</v>
      </c>
      <c r="AZ29" s="55" t="n">
        <f aca="false">MIN($F$14,AX29+AY29)</f>
        <v>0</v>
      </c>
      <c r="BA29" s="55" t="n">
        <f aca="false">MAX(0,MIN(AX29+AY29-AZ29,$D29-(H29+M29+R29+W29+AB29+AG29+AL29+AQ29+AV29)))</f>
        <v>0</v>
      </c>
      <c r="BB29" s="55" t="n">
        <f aca="false">AZ29+BA29</f>
        <v>0</v>
      </c>
      <c r="BC29" s="55" t="n">
        <f aca="false">I29+N29+S29+X29+AC29+AH29+AM29+AR29+AW29+BB29</f>
        <v>5822</v>
      </c>
      <c r="BD29" s="55" t="n">
        <f aca="false">ROUND((E29+F29-I29)+(J29+K29-N29)+(O29+P29-S29)+(T29+U29-X29)+(Y29+Z29-AC29)+(AD29+AE29-AH29)+(AI29+AJ29-AM29)+(AN29+AO29-AR29)+(AS29+AT29-AW29)+(AX29+AY29-BB29),2)</f>
        <v>66237.38</v>
      </c>
      <c r="BE29" s="25" t="str">
        <f aca="false">IF(H29&gt;0.005,$C$5,IF(M29&gt;0.005,$C$6,IF(R29&gt;0.005,$C$7,IF(W29&gt;0.005,$C$8,IF(AB29&gt;0.005,$C$9,IF(AG29&gt;0.005,$C$10,IF(AL29&gt;0.005,$C$11,IF(AQ29&gt;0.005,$C$12,IF(AV29&gt;0.005,$C$13,IF(BA29&gt;0.005,$C$14,""))))))))))</f>
        <v>网贷X</v>
      </c>
    </row>
    <row r="30" customFormat="false" ht="15" hidden="false" customHeight="false" outlineLevel="0" collapsed="false">
      <c r="A30" s="24" t="n">
        <v>7</v>
      </c>
      <c r="B30" s="54" t="n">
        <f aca="false">EDATE($C$17,A30-1)</f>
        <v>46508</v>
      </c>
      <c r="C30" s="55" t="n">
        <f aca="false">G30+L30+Q30+V30+AA30+AF30+AK30+AP30+AU30+AZ30</f>
        <v>4822</v>
      </c>
      <c r="D30" s="55" t="n">
        <f aca="false">MAX(0,$C$16-C30)</f>
        <v>1000</v>
      </c>
      <c r="E30" s="55" t="n">
        <f aca="false">ROUND(MAX(0,E29+F29-I29),2)</f>
        <v>13329.98</v>
      </c>
      <c r="F30" s="55" t="n">
        <f aca="false">ROUND(E30*$E$5/12,2)</f>
        <v>266.6</v>
      </c>
      <c r="G30" s="55" t="n">
        <f aca="false">MIN($F$5,E30+F30)</f>
        <v>1350</v>
      </c>
      <c r="H30" s="55" t="n">
        <f aca="false">MAX(0,MIN(E30+F30-G30,$D30))</f>
        <v>1000</v>
      </c>
      <c r="I30" s="55" t="n">
        <f aca="false">G30+H30</f>
        <v>2350</v>
      </c>
      <c r="J30" s="55" t="n">
        <f aca="false">ROUND(MAX(0,J29+K29-N29),2)</f>
        <v>29714.7</v>
      </c>
      <c r="K30" s="55" t="n">
        <f aca="false">ROUND(J30*$E$6/12,2)</f>
        <v>445.72</v>
      </c>
      <c r="L30" s="55" t="n">
        <f aca="false">MIN($F$6,J30+K30)</f>
        <v>1900</v>
      </c>
      <c r="M30" s="55" t="n">
        <f aca="false">MAX(0,MIN(J30+K30-L30,$D30-(H30)))</f>
        <v>0</v>
      </c>
      <c r="N30" s="55" t="n">
        <f aca="false">L30+M30</f>
        <v>1900</v>
      </c>
      <c r="O30" s="55" t="n">
        <f aca="false">ROUND(MAX(0,O29+P29-S29),2)</f>
        <v>6192.7</v>
      </c>
      <c r="P30" s="55" t="n">
        <f aca="false">ROUND(O30*$E$7/12,2)</f>
        <v>67.09</v>
      </c>
      <c r="Q30" s="55" t="n">
        <f aca="false">MIN($F$7,O30+P30)</f>
        <v>1072</v>
      </c>
      <c r="R30" s="55" t="n">
        <f aca="false">MAX(0,MIN(O30+P30-Q30,$D30-(H30+M30)))</f>
        <v>0</v>
      </c>
      <c r="S30" s="55" t="n">
        <f aca="false">Q30+R30</f>
        <v>1072</v>
      </c>
      <c r="T30" s="55" t="n">
        <f aca="false">ROUND(MAX(0,T29+U29-X29),2)</f>
        <v>17000</v>
      </c>
      <c r="U30" s="55" t="n">
        <f aca="false">ROUND(T30*$E$8/12,2)</f>
        <v>0</v>
      </c>
      <c r="V30" s="55" t="n">
        <f aca="false">MIN($F$8,T30+U30)</f>
        <v>500</v>
      </c>
      <c r="W30" s="55" t="n">
        <f aca="false">MAX(0,MIN(T30+U30-V30,$D30-(H30+M30+R30)))</f>
        <v>0</v>
      </c>
      <c r="X30" s="55" t="n">
        <f aca="false">V30+W30</f>
        <v>500</v>
      </c>
      <c r="Y30" s="55" t="n">
        <f aca="false">ROUND(MAX(0,Y29+Z29-AC29),2)</f>
        <v>0</v>
      </c>
      <c r="Z30" s="55" t="n">
        <f aca="false">ROUND(Y30*$E$9/12,2)</f>
        <v>0</v>
      </c>
      <c r="AA30" s="55" t="n">
        <f aca="false">MIN($F$9,Y30+Z30)</f>
        <v>0</v>
      </c>
      <c r="AB30" s="55" t="n">
        <f aca="false">MAX(0,MIN(Y30+Z30-AA30,$D30-(H30+M30+R30+W30)))</f>
        <v>0</v>
      </c>
      <c r="AC30" s="55" t="n">
        <f aca="false">AA30+AB30</f>
        <v>0</v>
      </c>
      <c r="AD30" s="55" t="n">
        <f aca="false">ROUND(MAX(0,AD29+AE29-AH29),2)</f>
        <v>0</v>
      </c>
      <c r="AE30" s="55" t="n">
        <f aca="false">ROUND(AD30*$E$10/12,2)</f>
        <v>0</v>
      </c>
      <c r="AF30" s="55" t="n">
        <f aca="false">MIN($F$10,AD30+AE30)</f>
        <v>0</v>
      </c>
      <c r="AG30" s="55" t="n">
        <f aca="false">MAX(0,MIN(AD30+AE30-AF30,$D30-(H30+M30+R30+W30+AB30)))</f>
        <v>0</v>
      </c>
      <c r="AH30" s="55" t="n">
        <f aca="false">AF30+AG30</f>
        <v>0</v>
      </c>
      <c r="AI30" s="55" t="n">
        <f aca="false">ROUND(MAX(0,AI29+AJ29-AM29),2)</f>
        <v>0</v>
      </c>
      <c r="AJ30" s="55" t="n">
        <f aca="false">ROUND(AI30*$E$11/12,2)</f>
        <v>0</v>
      </c>
      <c r="AK30" s="55" t="n">
        <f aca="false">MIN($F$11,AI30+AJ30)</f>
        <v>0</v>
      </c>
      <c r="AL30" s="55" t="n">
        <f aca="false">MAX(0,MIN(AI30+AJ30-AK30,$D30-(H30+M30+R30+W30+AB30+AG30)))</f>
        <v>0</v>
      </c>
      <c r="AM30" s="55" t="n">
        <f aca="false">AK30+AL30</f>
        <v>0</v>
      </c>
      <c r="AN30" s="55" t="n">
        <f aca="false">ROUND(MAX(0,AN29+AO29-AR29),2)</f>
        <v>0</v>
      </c>
      <c r="AO30" s="55" t="n">
        <f aca="false">ROUND(AN30*$E$12/12,2)</f>
        <v>0</v>
      </c>
      <c r="AP30" s="55" t="n">
        <f aca="false">MIN($F$12,AN30+AO30)</f>
        <v>0</v>
      </c>
      <c r="AQ30" s="55" t="n">
        <f aca="false">MAX(0,MIN(AN30+AO30-AP30,$D30-(H30+M30+R30+W30+AB30+AG30+AL30)))</f>
        <v>0</v>
      </c>
      <c r="AR30" s="55" t="n">
        <f aca="false">AP30+AQ30</f>
        <v>0</v>
      </c>
      <c r="AS30" s="55" t="n">
        <f aca="false">ROUND(MAX(0,AS29+AT29-AW29),2)</f>
        <v>0</v>
      </c>
      <c r="AT30" s="55" t="n">
        <f aca="false">ROUND(AS30*$E$13/12,2)</f>
        <v>0</v>
      </c>
      <c r="AU30" s="55" t="n">
        <f aca="false">MIN($F$13,AS30+AT30)</f>
        <v>0</v>
      </c>
      <c r="AV30" s="55" t="n">
        <f aca="false">MAX(0,MIN(AS30+AT30-AU30,$D30-(H30+M30+R30+W30+AB30+AG30+AL30+AQ30)))</f>
        <v>0</v>
      </c>
      <c r="AW30" s="55" t="n">
        <f aca="false">AU30+AV30</f>
        <v>0</v>
      </c>
      <c r="AX30" s="55" t="n">
        <f aca="false">ROUND(MAX(0,AX29+AY29-BB29),2)</f>
        <v>0</v>
      </c>
      <c r="AY30" s="55" t="n">
        <f aca="false">ROUND(AX30*$E$14/12,2)</f>
        <v>0</v>
      </c>
      <c r="AZ30" s="55" t="n">
        <f aca="false">MIN($F$14,AX30+AY30)</f>
        <v>0</v>
      </c>
      <c r="BA30" s="55" t="n">
        <f aca="false">MAX(0,MIN(AX30+AY30-AZ30,$D30-(H30+M30+R30+W30+AB30+AG30+AL30+AQ30+AV30)))</f>
        <v>0</v>
      </c>
      <c r="BB30" s="55" t="n">
        <f aca="false">AZ30+BA30</f>
        <v>0</v>
      </c>
      <c r="BC30" s="55" t="n">
        <f aca="false">I30+N30+S30+X30+AC30+AH30+AM30+AR30+AW30+BB30</f>
        <v>5822</v>
      </c>
      <c r="BD30" s="55" t="n">
        <f aca="false">ROUND((E30+F30-I30)+(J30+K30-N30)+(O30+P30-S30)+(T30+U30-X30)+(Y30+Z30-AC30)+(AD30+AE30-AH30)+(AI30+AJ30-AM30)+(AN30+AO30-AR30)+(AS30+AT30-AW30)+(AX30+AY30-BB30),2)</f>
        <v>61194.79</v>
      </c>
      <c r="BE30" s="25" t="str">
        <f aca="false">IF(H30&gt;0.005,$C$5,IF(M30&gt;0.005,$C$6,IF(R30&gt;0.005,$C$7,IF(W30&gt;0.005,$C$8,IF(AB30&gt;0.005,$C$9,IF(AG30&gt;0.005,$C$10,IF(AL30&gt;0.005,$C$11,IF(AQ30&gt;0.005,$C$12,IF(AV30&gt;0.005,$C$13,IF(BA30&gt;0.005,$C$14,""))))))))))</f>
        <v>网贷X</v>
      </c>
    </row>
    <row r="31" customFormat="false" ht="15" hidden="false" customHeight="false" outlineLevel="0" collapsed="false">
      <c r="A31" s="24" t="n">
        <v>8</v>
      </c>
      <c r="B31" s="54" t="n">
        <f aca="false">EDATE($C$17,A31-1)</f>
        <v>46539</v>
      </c>
      <c r="C31" s="55" t="n">
        <f aca="false">G31+L31+Q31+V31+AA31+AF31+AK31+AP31+AU31+AZ31</f>
        <v>4822</v>
      </c>
      <c r="D31" s="55" t="n">
        <f aca="false">MAX(0,$C$16-C31)</f>
        <v>1000</v>
      </c>
      <c r="E31" s="55" t="n">
        <f aca="false">ROUND(MAX(0,E30+F30-I30),2)</f>
        <v>11246.58</v>
      </c>
      <c r="F31" s="55" t="n">
        <f aca="false">ROUND(E31*$E$5/12,2)</f>
        <v>224.93</v>
      </c>
      <c r="G31" s="55" t="n">
        <f aca="false">MIN($F$5,E31+F31)</f>
        <v>1350</v>
      </c>
      <c r="H31" s="55" t="n">
        <f aca="false">MAX(0,MIN(E31+F31-G31,$D31))</f>
        <v>1000</v>
      </c>
      <c r="I31" s="55" t="n">
        <f aca="false">G31+H31</f>
        <v>2350</v>
      </c>
      <c r="J31" s="55" t="n">
        <f aca="false">ROUND(MAX(0,J30+K30-N30),2)</f>
        <v>28260.42</v>
      </c>
      <c r="K31" s="55" t="n">
        <f aca="false">ROUND(J31*$E$6/12,2)</f>
        <v>423.91</v>
      </c>
      <c r="L31" s="55" t="n">
        <f aca="false">MIN($F$6,J31+K31)</f>
        <v>1900</v>
      </c>
      <c r="M31" s="55" t="n">
        <f aca="false">MAX(0,MIN(J31+K31-L31,$D31-(H31)))</f>
        <v>0</v>
      </c>
      <c r="N31" s="55" t="n">
        <f aca="false">L31+M31</f>
        <v>1900</v>
      </c>
      <c r="O31" s="55" t="n">
        <f aca="false">ROUND(MAX(0,O30+P30-S30),2)</f>
        <v>5187.79</v>
      </c>
      <c r="P31" s="55" t="n">
        <f aca="false">ROUND(O31*$E$7/12,2)</f>
        <v>56.2</v>
      </c>
      <c r="Q31" s="55" t="n">
        <f aca="false">MIN($F$7,O31+P31)</f>
        <v>1072</v>
      </c>
      <c r="R31" s="55" t="n">
        <f aca="false">MAX(0,MIN(O31+P31-Q31,$D31-(H31+M31)))</f>
        <v>0</v>
      </c>
      <c r="S31" s="55" t="n">
        <f aca="false">Q31+R31</f>
        <v>1072</v>
      </c>
      <c r="T31" s="55" t="n">
        <f aca="false">ROUND(MAX(0,T30+U30-X30),2)</f>
        <v>16500</v>
      </c>
      <c r="U31" s="55" t="n">
        <f aca="false">ROUND(T31*$E$8/12,2)</f>
        <v>0</v>
      </c>
      <c r="V31" s="55" t="n">
        <f aca="false">MIN($F$8,T31+U31)</f>
        <v>500</v>
      </c>
      <c r="W31" s="55" t="n">
        <f aca="false">MAX(0,MIN(T31+U31-V31,$D31-(H31+M31+R31)))</f>
        <v>0</v>
      </c>
      <c r="X31" s="55" t="n">
        <f aca="false">V31+W31</f>
        <v>500</v>
      </c>
      <c r="Y31" s="55" t="n">
        <f aca="false">ROUND(MAX(0,Y30+Z30-AC30),2)</f>
        <v>0</v>
      </c>
      <c r="Z31" s="55" t="n">
        <f aca="false">ROUND(Y31*$E$9/12,2)</f>
        <v>0</v>
      </c>
      <c r="AA31" s="55" t="n">
        <f aca="false">MIN($F$9,Y31+Z31)</f>
        <v>0</v>
      </c>
      <c r="AB31" s="55" t="n">
        <f aca="false">MAX(0,MIN(Y31+Z31-AA31,$D31-(H31+M31+R31+W31)))</f>
        <v>0</v>
      </c>
      <c r="AC31" s="55" t="n">
        <f aca="false">AA31+AB31</f>
        <v>0</v>
      </c>
      <c r="AD31" s="55" t="n">
        <f aca="false">ROUND(MAX(0,AD30+AE30-AH30),2)</f>
        <v>0</v>
      </c>
      <c r="AE31" s="55" t="n">
        <f aca="false">ROUND(AD31*$E$10/12,2)</f>
        <v>0</v>
      </c>
      <c r="AF31" s="55" t="n">
        <f aca="false">MIN($F$10,AD31+AE31)</f>
        <v>0</v>
      </c>
      <c r="AG31" s="55" t="n">
        <f aca="false">MAX(0,MIN(AD31+AE31-AF31,$D31-(H31+M31+R31+W31+AB31)))</f>
        <v>0</v>
      </c>
      <c r="AH31" s="55" t="n">
        <f aca="false">AF31+AG31</f>
        <v>0</v>
      </c>
      <c r="AI31" s="55" t="n">
        <f aca="false">ROUND(MAX(0,AI30+AJ30-AM30),2)</f>
        <v>0</v>
      </c>
      <c r="AJ31" s="55" t="n">
        <f aca="false">ROUND(AI31*$E$11/12,2)</f>
        <v>0</v>
      </c>
      <c r="AK31" s="55" t="n">
        <f aca="false">MIN($F$11,AI31+AJ31)</f>
        <v>0</v>
      </c>
      <c r="AL31" s="55" t="n">
        <f aca="false">MAX(0,MIN(AI31+AJ31-AK31,$D31-(H31+M31+R31+W31+AB31+AG31)))</f>
        <v>0</v>
      </c>
      <c r="AM31" s="55" t="n">
        <f aca="false">AK31+AL31</f>
        <v>0</v>
      </c>
      <c r="AN31" s="55" t="n">
        <f aca="false">ROUND(MAX(0,AN30+AO30-AR30),2)</f>
        <v>0</v>
      </c>
      <c r="AO31" s="55" t="n">
        <f aca="false">ROUND(AN31*$E$12/12,2)</f>
        <v>0</v>
      </c>
      <c r="AP31" s="55" t="n">
        <f aca="false">MIN($F$12,AN31+AO31)</f>
        <v>0</v>
      </c>
      <c r="AQ31" s="55" t="n">
        <f aca="false">MAX(0,MIN(AN31+AO31-AP31,$D31-(H31+M31+R31+W31+AB31+AG31+AL31)))</f>
        <v>0</v>
      </c>
      <c r="AR31" s="55" t="n">
        <f aca="false">AP31+AQ31</f>
        <v>0</v>
      </c>
      <c r="AS31" s="55" t="n">
        <f aca="false">ROUND(MAX(0,AS30+AT30-AW30),2)</f>
        <v>0</v>
      </c>
      <c r="AT31" s="55" t="n">
        <f aca="false">ROUND(AS31*$E$13/12,2)</f>
        <v>0</v>
      </c>
      <c r="AU31" s="55" t="n">
        <f aca="false">MIN($F$13,AS31+AT31)</f>
        <v>0</v>
      </c>
      <c r="AV31" s="55" t="n">
        <f aca="false">MAX(0,MIN(AS31+AT31-AU31,$D31-(H31+M31+R31+W31+AB31+AG31+AL31+AQ31)))</f>
        <v>0</v>
      </c>
      <c r="AW31" s="55" t="n">
        <f aca="false">AU31+AV31</f>
        <v>0</v>
      </c>
      <c r="AX31" s="55" t="n">
        <f aca="false">ROUND(MAX(0,AX30+AY30-BB30),2)</f>
        <v>0</v>
      </c>
      <c r="AY31" s="55" t="n">
        <f aca="false">ROUND(AX31*$E$14/12,2)</f>
        <v>0</v>
      </c>
      <c r="AZ31" s="55" t="n">
        <f aca="false">MIN($F$14,AX31+AY31)</f>
        <v>0</v>
      </c>
      <c r="BA31" s="55" t="n">
        <f aca="false">MAX(0,MIN(AX31+AY31-AZ31,$D31-(H31+M31+R31+W31+AB31+AG31+AL31+AQ31+AV31)))</f>
        <v>0</v>
      </c>
      <c r="BB31" s="55" t="n">
        <f aca="false">AZ31+BA31</f>
        <v>0</v>
      </c>
      <c r="BC31" s="55" t="n">
        <f aca="false">I31+N31+S31+X31+AC31+AH31+AM31+AR31+AW31+BB31</f>
        <v>5822</v>
      </c>
      <c r="BD31" s="55" t="n">
        <f aca="false">ROUND((E31+F31-I31)+(J31+K31-N31)+(O31+P31-S31)+(T31+U31-X31)+(Y31+Z31-AC31)+(AD31+AE31-AH31)+(AI31+AJ31-AM31)+(AN31+AO31-AR31)+(AS31+AT31-AW31)+(AX31+AY31-BB31),2)</f>
        <v>56077.83</v>
      </c>
      <c r="BE31" s="25" t="str">
        <f aca="false">IF(H31&gt;0.005,$C$5,IF(M31&gt;0.005,$C$6,IF(R31&gt;0.005,$C$7,IF(W31&gt;0.005,$C$8,IF(AB31&gt;0.005,$C$9,IF(AG31&gt;0.005,$C$10,IF(AL31&gt;0.005,$C$11,IF(AQ31&gt;0.005,$C$12,IF(AV31&gt;0.005,$C$13,IF(BA31&gt;0.005,$C$14,""))))))))))</f>
        <v>网贷X</v>
      </c>
    </row>
    <row r="32" customFormat="false" ht="15" hidden="false" customHeight="false" outlineLevel="0" collapsed="false">
      <c r="A32" s="24" t="n">
        <v>9</v>
      </c>
      <c r="B32" s="54" t="n">
        <f aca="false">EDATE($C$17,A32-1)</f>
        <v>46569</v>
      </c>
      <c r="C32" s="55" t="n">
        <f aca="false">G32+L32+Q32+V32+AA32+AF32+AK32+AP32+AU32+AZ32</f>
        <v>4822</v>
      </c>
      <c r="D32" s="55" t="n">
        <f aca="false">MAX(0,$C$16-C32)</f>
        <v>1000</v>
      </c>
      <c r="E32" s="55" t="n">
        <f aca="false">ROUND(MAX(0,E31+F31-I31),2)</f>
        <v>9121.51</v>
      </c>
      <c r="F32" s="55" t="n">
        <f aca="false">ROUND(E32*$E$5/12,2)</f>
        <v>182.43</v>
      </c>
      <c r="G32" s="55" t="n">
        <f aca="false">MIN($F$5,E32+F32)</f>
        <v>1350</v>
      </c>
      <c r="H32" s="55" t="n">
        <f aca="false">MAX(0,MIN(E32+F32-G32,$D32))</f>
        <v>1000</v>
      </c>
      <c r="I32" s="55" t="n">
        <f aca="false">G32+H32</f>
        <v>2350</v>
      </c>
      <c r="J32" s="55" t="n">
        <f aca="false">ROUND(MAX(0,J31+K31-N31),2)</f>
        <v>26784.33</v>
      </c>
      <c r="K32" s="55" t="n">
        <f aca="false">ROUND(J32*$E$6/12,2)</f>
        <v>401.76</v>
      </c>
      <c r="L32" s="55" t="n">
        <f aca="false">MIN($F$6,J32+K32)</f>
        <v>1900</v>
      </c>
      <c r="M32" s="55" t="n">
        <f aca="false">MAX(0,MIN(J32+K32-L32,$D32-(H32)))</f>
        <v>0</v>
      </c>
      <c r="N32" s="55" t="n">
        <f aca="false">L32+M32</f>
        <v>1900</v>
      </c>
      <c r="O32" s="55" t="n">
        <f aca="false">ROUND(MAX(0,O31+P31-S31),2)</f>
        <v>4171.99</v>
      </c>
      <c r="P32" s="55" t="n">
        <f aca="false">ROUND(O32*$E$7/12,2)</f>
        <v>45.2</v>
      </c>
      <c r="Q32" s="55" t="n">
        <f aca="false">MIN($F$7,O32+P32)</f>
        <v>1072</v>
      </c>
      <c r="R32" s="55" t="n">
        <f aca="false">MAX(0,MIN(O32+P32-Q32,$D32-(H32+M32)))</f>
        <v>0</v>
      </c>
      <c r="S32" s="55" t="n">
        <f aca="false">Q32+R32</f>
        <v>1072</v>
      </c>
      <c r="T32" s="55" t="n">
        <f aca="false">ROUND(MAX(0,T31+U31-X31),2)</f>
        <v>16000</v>
      </c>
      <c r="U32" s="55" t="n">
        <f aca="false">ROUND(T32*$E$8/12,2)</f>
        <v>0</v>
      </c>
      <c r="V32" s="55" t="n">
        <f aca="false">MIN($F$8,T32+U32)</f>
        <v>500</v>
      </c>
      <c r="W32" s="55" t="n">
        <f aca="false">MAX(0,MIN(T32+U32-V32,$D32-(H32+M32+R32)))</f>
        <v>0</v>
      </c>
      <c r="X32" s="55" t="n">
        <f aca="false">V32+W32</f>
        <v>500</v>
      </c>
      <c r="Y32" s="55" t="n">
        <f aca="false">ROUND(MAX(0,Y31+Z31-AC31),2)</f>
        <v>0</v>
      </c>
      <c r="Z32" s="55" t="n">
        <f aca="false">ROUND(Y32*$E$9/12,2)</f>
        <v>0</v>
      </c>
      <c r="AA32" s="55" t="n">
        <f aca="false">MIN($F$9,Y32+Z32)</f>
        <v>0</v>
      </c>
      <c r="AB32" s="55" t="n">
        <f aca="false">MAX(0,MIN(Y32+Z32-AA32,$D32-(H32+M32+R32+W32)))</f>
        <v>0</v>
      </c>
      <c r="AC32" s="55" t="n">
        <f aca="false">AA32+AB32</f>
        <v>0</v>
      </c>
      <c r="AD32" s="55" t="n">
        <f aca="false">ROUND(MAX(0,AD31+AE31-AH31),2)</f>
        <v>0</v>
      </c>
      <c r="AE32" s="55" t="n">
        <f aca="false">ROUND(AD32*$E$10/12,2)</f>
        <v>0</v>
      </c>
      <c r="AF32" s="55" t="n">
        <f aca="false">MIN($F$10,AD32+AE32)</f>
        <v>0</v>
      </c>
      <c r="AG32" s="55" t="n">
        <f aca="false">MAX(0,MIN(AD32+AE32-AF32,$D32-(H32+M32+R32+W32+AB32)))</f>
        <v>0</v>
      </c>
      <c r="AH32" s="55" t="n">
        <f aca="false">AF32+AG32</f>
        <v>0</v>
      </c>
      <c r="AI32" s="55" t="n">
        <f aca="false">ROUND(MAX(0,AI31+AJ31-AM31),2)</f>
        <v>0</v>
      </c>
      <c r="AJ32" s="55" t="n">
        <f aca="false">ROUND(AI32*$E$11/12,2)</f>
        <v>0</v>
      </c>
      <c r="AK32" s="55" t="n">
        <f aca="false">MIN($F$11,AI32+AJ32)</f>
        <v>0</v>
      </c>
      <c r="AL32" s="55" t="n">
        <f aca="false">MAX(0,MIN(AI32+AJ32-AK32,$D32-(H32+M32+R32+W32+AB32+AG32)))</f>
        <v>0</v>
      </c>
      <c r="AM32" s="55" t="n">
        <f aca="false">AK32+AL32</f>
        <v>0</v>
      </c>
      <c r="AN32" s="55" t="n">
        <f aca="false">ROUND(MAX(0,AN31+AO31-AR31),2)</f>
        <v>0</v>
      </c>
      <c r="AO32" s="55" t="n">
        <f aca="false">ROUND(AN32*$E$12/12,2)</f>
        <v>0</v>
      </c>
      <c r="AP32" s="55" t="n">
        <f aca="false">MIN($F$12,AN32+AO32)</f>
        <v>0</v>
      </c>
      <c r="AQ32" s="55" t="n">
        <f aca="false">MAX(0,MIN(AN32+AO32-AP32,$D32-(H32+M32+R32+W32+AB32+AG32+AL32)))</f>
        <v>0</v>
      </c>
      <c r="AR32" s="55" t="n">
        <f aca="false">AP32+AQ32</f>
        <v>0</v>
      </c>
      <c r="AS32" s="55" t="n">
        <f aca="false">ROUND(MAX(0,AS31+AT31-AW31),2)</f>
        <v>0</v>
      </c>
      <c r="AT32" s="55" t="n">
        <f aca="false">ROUND(AS32*$E$13/12,2)</f>
        <v>0</v>
      </c>
      <c r="AU32" s="55" t="n">
        <f aca="false">MIN($F$13,AS32+AT32)</f>
        <v>0</v>
      </c>
      <c r="AV32" s="55" t="n">
        <f aca="false">MAX(0,MIN(AS32+AT32-AU32,$D32-(H32+M32+R32+W32+AB32+AG32+AL32+AQ32)))</f>
        <v>0</v>
      </c>
      <c r="AW32" s="55" t="n">
        <f aca="false">AU32+AV32</f>
        <v>0</v>
      </c>
      <c r="AX32" s="55" t="n">
        <f aca="false">ROUND(MAX(0,AX31+AY31-BB31),2)</f>
        <v>0</v>
      </c>
      <c r="AY32" s="55" t="n">
        <f aca="false">ROUND(AX32*$E$14/12,2)</f>
        <v>0</v>
      </c>
      <c r="AZ32" s="55" t="n">
        <f aca="false">MIN($F$14,AX32+AY32)</f>
        <v>0</v>
      </c>
      <c r="BA32" s="55" t="n">
        <f aca="false">MAX(0,MIN(AX32+AY32-AZ32,$D32-(H32+M32+R32+W32+AB32+AG32+AL32+AQ32+AV32)))</f>
        <v>0</v>
      </c>
      <c r="BB32" s="55" t="n">
        <f aca="false">AZ32+BA32</f>
        <v>0</v>
      </c>
      <c r="BC32" s="55" t="n">
        <f aca="false">I32+N32+S32+X32+AC32+AH32+AM32+AR32+AW32+BB32</f>
        <v>5822</v>
      </c>
      <c r="BD32" s="55" t="n">
        <f aca="false">ROUND((E32+F32-I32)+(J32+K32-N32)+(O32+P32-S32)+(T32+U32-X32)+(Y32+Z32-AC32)+(AD32+AE32-AH32)+(AI32+AJ32-AM32)+(AN32+AO32-AR32)+(AS32+AT32-AW32)+(AX32+AY32-BB32),2)</f>
        <v>50885.22</v>
      </c>
      <c r="BE32" s="25" t="str">
        <f aca="false">IF(H32&gt;0.005,$C$5,IF(M32&gt;0.005,$C$6,IF(R32&gt;0.005,$C$7,IF(W32&gt;0.005,$C$8,IF(AB32&gt;0.005,$C$9,IF(AG32&gt;0.005,$C$10,IF(AL32&gt;0.005,$C$11,IF(AQ32&gt;0.005,$C$12,IF(AV32&gt;0.005,$C$13,IF(BA32&gt;0.005,$C$14,""))))))))))</f>
        <v>网贷X</v>
      </c>
    </row>
    <row r="33" customFormat="false" ht="15" hidden="false" customHeight="false" outlineLevel="0" collapsed="false">
      <c r="A33" s="24" t="n">
        <v>10</v>
      </c>
      <c r="B33" s="54" t="n">
        <f aca="false">EDATE($C$17,A33-1)</f>
        <v>46600</v>
      </c>
      <c r="C33" s="55" t="n">
        <f aca="false">G33+L33+Q33+V33+AA33+AF33+AK33+AP33+AU33+AZ33</f>
        <v>4822</v>
      </c>
      <c r="D33" s="55" t="n">
        <f aca="false">MAX(0,$C$16-C33)</f>
        <v>1000</v>
      </c>
      <c r="E33" s="55" t="n">
        <f aca="false">ROUND(MAX(0,E32+F32-I32),2)</f>
        <v>6953.94</v>
      </c>
      <c r="F33" s="55" t="n">
        <f aca="false">ROUND(E33*$E$5/12,2)</f>
        <v>139.08</v>
      </c>
      <c r="G33" s="55" t="n">
        <f aca="false">MIN($F$5,E33+F33)</f>
        <v>1350</v>
      </c>
      <c r="H33" s="55" t="n">
        <f aca="false">MAX(0,MIN(E33+F33-G33,$D33))</f>
        <v>1000</v>
      </c>
      <c r="I33" s="55" t="n">
        <f aca="false">G33+H33</f>
        <v>2350</v>
      </c>
      <c r="J33" s="55" t="n">
        <f aca="false">ROUND(MAX(0,J32+K32-N32),2)</f>
        <v>25286.09</v>
      </c>
      <c r="K33" s="55" t="n">
        <f aca="false">ROUND(J33*$E$6/12,2)</f>
        <v>379.29</v>
      </c>
      <c r="L33" s="55" t="n">
        <f aca="false">MIN($F$6,J33+K33)</f>
        <v>1900</v>
      </c>
      <c r="M33" s="55" t="n">
        <f aca="false">MAX(0,MIN(J33+K33-L33,$D33-(H33)))</f>
        <v>0</v>
      </c>
      <c r="N33" s="55" t="n">
        <f aca="false">L33+M33</f>
        <v>1900</v>
      </c>
      <c r="O33" s="55" t="n">
        <f aca="false">ROUND(MAX(0,O32+P32-S32),2)</f>
        <v>3145.19</v>
      </c>
      <c r="P33" s="55" t="n">
        <f aca="false">ROUND(O33*$E$7/12,2)</f>
        <v>34.07</v>
      </c>
      <c r="Q33" s="55" t="n">
        <f aca="false">MIN($F$7,O33+P33)</f>
        <v>1072</v>
      </c>
      <c r="R33" s="55" t="n">
        <f aca="false">MAX(0,MIN(O33+P33-Q33,$D33-(H33+M33)))</f>
        <v>0</v>
      </c>
      <c r="S33" s="55" t="n">
        <f aca="false">Q33+R33</f>
        <v>1072</v>
      </c>
      <c r="T33" s="55" t="n">
        <f aca="false">ROUND(MAX(0,T32+U32-X32),2)</f>
        <v>15500</v>
      </c>
      <c r="U33" s="55" t="n">
        <f aca="false">ROUND(T33*$E$8/12,2)</f>
        <v>0</v>
      </c>
      <c r="V33" s="55" t="n">
        <f aca="false">MIN($F$8,T33+U33)</f>
        <v>500</v>
      </c>
      <c r="W33" s="55" t="n">
        <f aca="false">MAX(0,MIN(T33+U33-V33,$D33-(H33+M33+R33)))</f>
        <v>0</v>
      </c>
      <c r="X33" s="55" t="n">
        <f aca="false">V33+W33</f>
        <v>500</v>
      </c>
      <c r="Y33" s="55" t="n">
        <f aca="false">ROUND(MAX(0,Y32+Z32-AC32),2)</f>
        <v>0</v>
      </c>
      <c r="Z33" s="55" t="n">
        <f aca="false">ROUND(Y33*$E$9/12,2)</f>
        <v>0</v>
      </c>
      <c r="AA33" s="55" t="n">
        <f aca="false">MIN($F$9,Y33+Z33)</f>
        <v>0</v>
      </c>
      <c r="AB33" s="55" t="n">
        <f aca="false">MAX(0,MIN(Y33+Z33-AA33,$D33-(H33+M33+R33+W33)))</f>
        <v>0</v>
      </c>
      <c r="AC33" s="55" t="n">
        <f aca="false">AA33+AB33</f>
        <v>0</v>
      </c>
      <c r="AD33" s="55" t="n">
        <f aca="false">ROUND(MAX(0,AD32+AE32-AH32),2)</f>
        <v>0</v>
      </c>
      <c r="AE33" s="55" t="n">
        <f aca="false">ROUND(AD33*$E$10/12,2)</f>
        <v>0</v>
      </c>
      <c r="AF33" s="55" t="n">
        <f aca="false">MIN($F$10,AD33+AE33)</f>
        <v>0</v>
      </c>
      <c r="AG33" s="55" t="n">
        <f aca="false">MAX(0,MIN(AD33+AE33-AF33,$D33-(H33+M33+R33+W33+AB33)))</f>
        <v>0</v>
      </c>
      <c r="AH33" s="55" t="n">
        <f aca="false">AF33+AG33</f>
        <v>0</v>
      </c>
      <c r="AI33" s="55" t="n">
        <f aca="false">ROUND(MAX(0,AI32+AJ32-AM32),2)</f>
        <v>0</v>
      </c>
      <c r="AJ33" s="55" t="n">
        <f aca="false">ROUND(AI33*$E$11/12,2)</f>
        <v>0</v>
      </c>
      <c r="AK33" s="55" t="n">
        <f aca="false">MIN($F$11,AI33+AJ33)</f>
        <v>0</v>
      </c>
      <c r="AL33" s="55" t="n">
        <f aca="false">MAX(0,MIN(AI33+AJ33-AK33,$D33-(H33+M33+R33+W33+AB33+AG33)))</f>
        <v>0</v>
      </c>
      <c r="AM33" s="55" t="n">
        <f aca="false">AK33+AL33</f>
        <v>0</v>
      </c>
      <c r="AN33" s="55" t="n">
        <f aca="false">ROUND(MAX(0,AN32+AO32-AR32),2)</f>
        <v>0</v>
      </c>
      <c r="AO33" s="55" t="n">
        <f aca="false">ROUND(AN33*$E$12/12,2)</f>
        <v>0</v>
      </c>
      <c r="AP33" s="55" t="n">
        <f aca="false">MIN($F$12,AN33+AO33)</f>
        <v>0</v>
      </c>
      <c r="AQ33" s="55" t="n">
        <f aca="false">MAX(0,MIN(AN33+AO33-AP33,$D33-(H33+M33+R33+W33+AB33+AG33+AL33)))</f>
        <v>0</v>
      </c>
      <c r="AR33" s="55" t="n">
        <f aca="false">AP33+AQ33</f>
        <v>0</v>
      </c>
      <c r="AS33" s="55" t="n">
        <f aca="false">ROUND(MAX(0,AS32+AT32-AW32),2)</f>
        <v>0</v>
      </c>
      <c r="AT33" s="55" t="n">
        <f aca="false">ROUND(AS33*$E$13/12,2)</f>
        <v>0</v>
      </c>
      <c r="AU33" s="55" t="n">
        <f aca="false">MIN($F$13,AS33+AT33)</f>
        <v>0</v>
      </c>
      <c r="AV33" s="55" t="n">
        <f aca="false">MAX(0,MIN(AS33+AT33-AU33,$D33-(H33+M33+R33+W33+AB33+AG33+AL33+AQ33)))</f>
        <v>0</v>
      </c>
      <c r="AW33" s="55" t="n">
        <f aca="false">AU33+AV33</f>
        <v>0</v>
      </c>
      <c r="AX33" s="55" t="n">
        <f aca="false">ROUND(MAX(0,AX32+AY32-BB32),2)</f>
        <v>0</v>
      </c>
      <c r="AY33" s="55" t="n">
        <f aca="false">ROUND(AX33*$E$14/12,2)</f>
        <v>0</v>
      </c>
      <c r="AZ33" s="55" t="n">
        <f aca="false">MIN($F$14,AX33+AY33)</f>
        <v>0</v>
      </c>
      <c r="BA33" s="55" t="n">
        <f aca="false">MAX(0,MIN(AX33+AY33-AZ33,$D33-(H33+M33+R33+W33+AB33+AG33+AL33+AQ33+AV33)))</f>
        <v>0</v>
      </c>
      <c r="BB33" s="55" t="n">
        <f aca="false">AZ33+BA33</f>
        <v>0</v>
      </c>
      <c r="BC33" s="55" t="n">
        <f aca="false">I33+N33+S33+X33+AC33+AH33+AM33+AR33+AW33+BB33</f>
        <v>5822</v>
      </c>
      <c r="BD33" s="55" t="n">
        <f aca="false">ROUND((E33+F33-I33)+(J33+K33-N33)+(O33+P33-S33)+(T33+U33-X33)+(Y33+Z33-AC33)+(AD33+AE33-AH33)+(AI33+AJ33-AM33)+(AN33+AO33-AR33)+(AS33+AT33-AW33)+(AX33+AY33-BB33),2)</f>
        <v>45615.66</v>
      </c>
      <c r="BE33" s="25" t="str">
        <f aca="false">IF(H33&gt;0.005,$C$5,IF(M33&gt;0.005,$C$6,IF(R33&gt;0.005,$C$7,IF(W33&gt;0.005,$C$8,IF(AB33&gt;0.005,$C$9,IF(AG33&gt;0.005,$C$10,IF(AL33&gt;0.005,$C$11,IF(AQ33&gt;0.005,$C$12,IF(AV33&gt;0.005,$C$13,IF(BA33&gt;0.005,$C$14,""))))))))))</f>
        <v>网贷X</v>
      </c>
    </row>
    <row r="34" customFormat="false" ht="15" hidden="false" customHeight="false" outlineLevel="0" collapsed="false">
      <c r="A34" s="24" t="n">
        <v>11</v>
      </c>
      <c r="B34" s="54" t="n">
        <f aca="false">EDATE($C$17,A34-1)</f>
        <v>46631</v>
      </c>
      <c r="C34" s="55" t="n">
        <f aca="false">G34+L34+Q34+V34+AA34+AF34+AK34+AP34+AU34+AZ34</f>
        <v>4822</v>
      </c>
      <c r="D34" s="55" t="n">
        <f aca="false">MAX(0,$C$16-C34)</f>
        <v>1000</v>
      </c>
      <c r="E34" s="55" t="n">
        <f aca="false">ROUND(MAX(0,E33+F33-I33),2)</f>
        <v>4743.02</v>
      </c>
      <c r="F34" s="55" t="n">
        <f aca="false">ROUND(E34*$E$5/12,2)</f>
        <v>94.86</v>
      </c>
      <c r="G34" s="55" t="n">
        <f aca="false">MIN($F$5,E34+F34)</f>
        <v>1350</v>
      </c>
      <c r="H34" s="55" t="n">
        <f aca="false">MAX(0,MIN(E34+F34-G34,$D34))</f>
        <v>1000</v>
      </c>
      <c r="I34" s="55" t="n">
        <f aca="false">G34+H34</f>
        <v>2350</v>
      </c>
      <c r="J34" s="55" t="n">
        <f aca="false">ROUND(MAX(0,J33+K33-N33),2)</f>
        <v>23765.38</v>
      </c>
      <c r="K34" s="55" t="n">
        <f aca="false">ROUND(J34*$E$6/12,2)</f>
        <v>356.48</v>
      </c>
      <c r="L34" s="55" t="n">
        <f aca="false">MIN($F$6,J34+K34)</f>
        <v>1900</v>
      </c>
      <c r="M34" s="55" t="n">
        <f aca="false">MAX(0,MIN(J34+K34-L34,$D34-(H34)))</f>
        <v>0</v>
      </c>
      <c r="N34" s="55" t="n">
        <f aca="false">L34+M34</f>
        <v>1900</v>
      </c>
      <c r="O34" s="55" t="n">
        <f aca="false">ROUND(MAX(0,O33+P33-S33),2)</f>
        <v>2107.26</v>
      </c>
      <c r="P34" s="55" t="n">
        <f aca="false">ROUND(O34*$E$7/12,2)</f>
        <v>22.83</v>
      </c>
      <c r="Q34" s="55" t="n">
        <f aca="false">MIN($F$7,O34+P34)</f>
        <v>1072</v>
      </c>
      <c r="R34" s="55" t="n">
        <f aca="false">MAX(0,MIN(O34+P34-Q34,$D34-(H34+M34)))</f>
        <v>0</v>
      </c>
      <c r="S34" s="55" t="n">
        <f aca="false">Q34+R34</f>
        <v>1072</v>
      </c>
      <c r="T34" s="55" t="n">
        <f aca="false">ROUND(MAX(0,T33+U33-X33),2)</f>
        <v>15000</v>
      </c>
      <c r="U34" s="55" t="n">
        <f aca="false">ROUND(T34*$E$8/12,2)</f>
        <v>0</v>
      </c>
      <c r="V34" s="55" t="n">
        <f aca="false">MIN($F$8,T34+U34)</f>
        <v>500</v>
      </c>
      <c r="W34" s="55" t="n">
        <f aca="false">MAX(0,MIN(T34+U34-V34,$D34-(H34+M34+R34)))</f>
        <v>0</v>
      </c>
      <c r="X34" s="55" t="n">
        <f aca="false">V34+W34</f>
        <v>500</v>
      </c>
      <c r="Y34" s="55" t="n">
        <f aca="false">ROUND(MAX(0,Y33+Z33-AC33),2)</f>
        <v>0</v>
      </c>
      <c r="Z34" s="55" t="n">
        <f aca="false">ROUND(Y34*$E$9/12,2)</f>
        <v>0</v>
      </c>
      <c r="AA34" s="55" t="n">
        <f aca="false">MIN($F$9,Y34+Z34)</f>
        <v>0</v>
      </c>
      <c r="AB34" s="55" t="n">
        <f aca="false">MAX(0,MIN(Y34+Z34-AA34,$D34-(H34+M34+R34+W34)))</f>
        <v>0</v>
      </c>
      <c r="AC34" s="55" t="n">
        <f aca="false">AA34+AB34</f>
        <v>0</v>
      </c>
      <c r="AD34" s="55" t="n">
        <f aca="false">ROUND(MAX(0,AD33+AE33-AH33),2)</f>
        <v>0</v>
      </c>
      <c r="AE34" s="55" t="n">
        <f aca="false">ROUND(AD34*$E$10/12,2)</f>
        <v>0</v>
      </c>
      <c r="AF34" s="55" t="n">
        <f aca="false">MIN($F$10,AD34+AE34)</f>
        <v>0</v>
      </c>
      <c r="AG34" s="55" t="n">
        <f aca="false">MAX(0,MIN(AD34+AE34-AF34,$D34-(H34+M34+R34+W34+AB34)))</f>
        <v>0</v>
      </c>
      <c r="AH34" s="55" t="n">
        <f aca="false">AF34+AG34</f>
        <v>0</v>
      </c>
      <c r="AI34" s="55" t="n">
        <f aca="false">ROUND(MAX(0,AI33+AJ33-AM33),2)</f>
        <v>0</v>
      </c>
      <c r="AJ34" s="55" t="n">
        <f aca="false">ROUND(AI34*$E$11/12,2)</f>
        <v>0</v>
      </c>
      <c r="AK34" s="55" t="n">
        <f aca="false">MIN($F$11,AI34+AJ34)</f>
        <v>0</v>
      </c>
      <c r="AL34" s="55" t="n">
        <f aca="false">MAX(0,MIN(AI34+AJ34-AK34,$D34-(H34+M34+R34+W34+AB34+AG34)))</f>
        <v>0</v>
      </c>
      <c r="AM34" s="55" t="n">
        <f aca="false">AK34+AL34</f>
        <v>0</v>
      </c>
      <c r="AN34" s="55" t="n">
        <f aca="false">ROUND(MAX(0,AN33+AO33-AR33),2)</f>
        <v>0</v>
      </c>
      <c r="AO34" s="55" t="n">
        <f aca="false">ROUND(AN34*$E$12/12,2)</f>
        <v>0</v>
      </c>
      <c r="AP34" s="55" t="n">
        <f aca="false">MIN($F$12,AN34+AO34)</f>
        <v>0</v>
      </c>
      <c r="AQ34" s="55" t="n">
        <f aca="false">MAX(0,MIN(AN34+AO34-AP34,$D34-(H34+M34+R34+W34+AB34+AG34+AL34)))</f>
        <v>0</v>
      </c>
      <c r="AR34" s="55" t="n">
        <f aca="false">AP34+AQ34</f>
        <v>0</v>
      </c>
      <c r="AS34" s="55" t="n">
        <f aca="false">ROUND(MAX(0,AS33+AT33-AW33),2)</f>
        <v>0</v>
      </c>
      <c r="AT34" s="55" t="n">
        <f aca="false">ROUND(AS34*$E$13/12,2)</f>
        <v>0</v>
      </c>
      <c r="AU34" s="55" t="n">
        <f aca="false">MIN($F$13,AS34+AT34)</f>
        <v>0</v>
      </c>
      <c r="AV34" s="55" t="n">
        <f aca="false">MAX(0,MIN(AS34+AT34-AU34,$D34-(H34+M34+R34+W34+AB34+AG34+AL34+AQ34)))</f>
        <v>0</v>
      </c>
      <c r="AW34" s="55" t="n">
        <f aca="false">AU34+AV34</f>
        <v>0</v>
      </c>
      <c r="AX34" s="55" t="n">
        <f aca="false">ROUND(MAX(0,AX33+AY33-BB33),2)</f>
        <v>0</v>
      </c>
      <c r="AY34" s="55" t="n">
        <f aca="false">ROUND(AX34*$E$14/12,2)</f>
        <v>0</v>
      </c>
      <c r="AZ34" s="55" t="n">
        <f aca="false">MIN($F$14,AX34+AY34)</f>
        <v>0</v>
      </c>
      <c r="BA34" s="55" t="n">
        <f aca="false">MAX(0,MIN(AX34+AY34-AZ34,$D34-(H34+M34+R34+W34+AB34+AG34+AL34+AQ34+AV34)))</f>
        <v>0</v>
      </c>
      <c r="BB34" s="55" t="n">
        <f aca="false">AZ34+BA34</f>
        <v>0</v>
      </c>
      <c r="BC34" s="55" t="n">
        <f aca="false">I34+N34+S34+X34+AC34+AH34+AM34+AR34+AW34+BB34</f>
        <v>5822</v>
      </c>
      <c r="BD34" s="55" t="n">
        <f aca="false">ROUND((E34+F34-I34)+(J34+K34-N34)+(O34+P34-S34)+(T34+U34-X34)+(Y34+Z34-AC34)+(AD34+AE34-AH34)+(AI34+AJ34-AM34)+(AN34+AO34-AR34)+(AS34+AT34-AW34)+(AX34+AY34-BB34),2)</f>
        <v>40267.83</v>
      </c>
      <c r="BE34" s="25" t="str">
        <f aca="false">IF(H34&gt;0.005,$C$5,IF(M34&gt;0.005,$C$6,IF(R34&gt;0.005,$C$7,IF(W34&gt;0.005,$C$8,IF(AB34&gt;0.005,$C$9,IF(AG34&gt;0.005,$C$10,IF(AL34&gt;0.005,$C$11,IF(AQ34&gt;0.005,$C$12,IF(AV34&gt;0.005,$C$13,IF(BA34&gt;0.005,$C$14,""))))))))))</f>
        <v>网贷X</v>
      </c>
    </row>
    <row r="35" customFormat="false" ht="15" hidden="false" customHeight="false" outlineLevel="0" collapsed="false">
      <c r="A35" s="24" t="n">
        <v>12</v>
      </c>
      <c r="B35" s="54" t="n">
        <f aca="false">EDATE($C$17,A35-1)</f>
        <v>46661</v>
      </c>
      <c r="C35" s="55" t="n">
        <f aca="false">G35+L35+Q35+V35+AA35+AF35+AK35+AP35+AU35+AZ35</f>
        <v>4819.55</v>
      </c>
      <c r="D35" s="55" t="n">
        <f aca="false">MAX(0,$C$16-C35)</f>
        <v>1002.45</v>
      </c>
      <c r="E35" s="55" t="n">
        <f aca="false">ROUND(MAX(0,E34+F34-I34),2)</f>
        <v>2487.88</v>
      </c>
      <c r="F35" s="55" t="n">
        <f aca="false">ROUND(E35*$E$5/12,2)</f>
        <v>49.76</v>
      </c>
      <c r="G35" s="55" t="n">
        <f aca="false">MIN($F$5,E35+F35)</f>
        <v>1350</v>
      </c>
      <c r="H35" s="55" t="n">
        <f aca="false">MAX(0,MIN(E35+F35-G35,$D35))</f>
        <v>1002.45</v>
      </c>
      <c r="I35" s="55" t="n">
        <f aca="false">G35+H35</f>
        <v>2352.45</v>
      </c>
      <c r="J35" s="55" t="n">
        <f aca="false">ROUND(MAX(0,J34+K34-N34),2)</f>
        <v>22221.86</v>
      </c>
      <c r="K35" s="55" t="n">
        <f aca="false">ROUND(J35*$E$6/12,2)</f>
        <v>333.33</v>
      </c>
      <c r="L35" s="55" t="n">
        <f aca="false">MIN($F$6,J35+K35)</f>
        <v>1900</v>
      </c>
      <c r="M35" s="55" t="n">
        <f aca="false">MAX(0,MIN(J35+K35-L35,$D35-(H35)))</f>
        <v>0</v>
      </c>
      <c r="N35" s="55" t="n">
        <f aca="false">L35+M35</f>
        <v>1900</v>
      </c>
      <c r="O35" s="55" t="n">
        <f aca="false">ROUND(MAX(0,O34+P34-S34),2)</f>
        <v>1058.09</v>
      </c>
      <c r="P35" s="55" t="n">
        <f aca="false">ROUND(O35*$E$7/12,2)</f>
        <v>11.46</v>
      </c>
      <c r="Q35" s="55" t="n">
        <f aca="false">MIN($F$7,O35+P35)</f>
        <v>1069.55</v>
      </c>
      <c r="R35" s="55" t="n">
        <f aca="false">MAX(0,MIN(O35+P35-Q35,$D35-(H35+M35)))</f>
        <v>0</v>
      </c>
      <c r="S35" s="55" t="n">
        <f aca="false">Q35+R35</f>
        <v>1069.55</v>
      </c>
      <c r="T35" s="55" t="n">
        <f aca="false">ROUND(MAX(0,T34+U34-X34),2)</f>
        <v>14500</v>
      </c>
      <c r="U35" s="55" t="n">
        <f aca="false">ROUND(T35*$E$8/12,2)</f>
        <v>0</v>
      </c>
      <c r="V35" s="55" t="n">
        <f aca="false">MIN($F$8,T35+U35)</f>
        <v>500</v>
      </c>
      <c r="W35" s="55" t="n">
        <f aca="false">MAX(0,MIN(T35+U35-V35,$D35-(H35+M35+R35)))</f>
        <v>0</v>
      </c>
      <c r="X35" s="55" t="n">
        <f aca="false">V35+W35</f>
        <v>500</v>
      </c>
      <c r="Y35" s="55" t="n">
        <f aca="false">ROUND(MAX(0,Y34+Z34-AC34),2)</f>
        <v>0</v>
      </c>
      <c r="Z35" s="55" t="n">
        <f aca="false">ROUND(Y35*$E$9/12,2)</f>
        <v>0</v>
      </c>
      <c r="AA35" s="55" t="n">
        <f aca="false">MIN($F$9,Y35+Z35)</f>
        <v>0</v>
      </c>
      <c r="AB35" s="55" t="n">
        <f aca="false">MAX(0,MIN(Y35+Z35-AA35,$D35-(H35+M35+R35+W35)))</f>
        <v>0</v>
      </c>
      <c r="AC35" s="55" t="n">
        <f aca="false">AA35+AB35</f>
        <v>0</v>
      </c>
      <c r="AD35" s="55" t="n">
        <f aca="false">ROUND(MAX(0,AD34+AE34-AH34),2)</f>
        <v>0</v>
      </c>
      <c r="AE35" s="55" t="n">
        <f aca="false">ROUND(AD35*$E$10/12,2)</f>
        <v>0</v>
      </c>
      <c r="AF35" s="55" t="n">
        <f aca="false">MIN($F$10,AD35+AE35)</f>
        <v>0</v>
      </c>
      <c r="AG35" s="55" t="n">
        <f aca="false">MAX(0,MIN(AD35+AE35-AF35,$D35-(H35+M35+R35+W35+AB35)))</f>
        <v>0</v>
      </c>
      <c r="AH35" s="55" t="n">
        <f aca="false">AF35+AG35</f>
        <v>0</v>
      </c>
      <c r="AI35" s="55" t="n">
        <f aca="false">ROUND(MAX(0,AI34+AJ34-AM34),2)</f>
        <v>0</v>
      </c>
      <c r="AJ35" s="55" t="n">
        <f aca="false">ROUND(AI35*$E$11/12,2)</f>
        <v>0</v>
      </c>
      <c r="AK35" s="55" t="n">
        <f aca="false">MIN($F$11,AI35+AJ35)</f>
        <v>0</v>
      </c>
      <c r="AL35" s="55" t="n">
        <f aca="false">MAX(0,MIN(AI35+AJ35-AK35,$D35-(H35+M35+R35+W35+AB35+AG35)))</f>
        <v>0</v>
      </c>
      <c r="AM35" s="55" t="n">
        <f aca="false">AK35+AL35</f>
        <v>0</v>
      </c>
      <c r="AN35" s="55" t="n">
        <f aca="false">ROUND(MAX(0,AN34+AO34-AR34),2)</f>
        <v>0</v>
      </c>
      <c r="AO35" s="55" t="n">
        <f aca="false">ROUND(AN35*$E$12/12,2)</f>
        <v>0</v>
      </c>
      <c r="AP35" s="55" t="n">
        <f aca="false">MIN($F$12,AN35+AO35)</f>
        <v>0</v>
      </c>
      <c r="AQ35" s="55" t="n">
        <f aca="false">MAX(0,MIN(AN35+AO35-AP35,$D35-(H35+M35+R35+W35+AB35+AG35+AL35)))</f>
        <v>0</v>
      </c>
      <c r="AR35" s="55" t="n">
        <f aca="false">AP35+AQ35</f>
        <v>0</v>
      </c>
      <c r="AS35" s="55" t="n">
        <f aca="false">ROUND(MAX(0,AS34+AT34-AW34),2)</f>
        <v>0</v>
      </c>
      <c r="AT35" s="55" t="n">
        <f aca="false">ROUND(AS35*$E$13/12,2)</f>
        <v>0</v>
      </c>
      <c r="AU35" s="55" t="n">
        <f aca="false">MIN($F$13,AS35+AT35)</f>
        <v>0</v>
      </c>
      <c r="AV35" s="55" t="n">
        <f aca="false">MAX(0,MIN(AS35+AT35-AU35,$D35-(H35+M35+R35+W35+AB35+AG35+AL35+AQ35)))</f>
        <v>0</v>
      </c>
      <c r="AW35" s="55" t="n">
        <f aca="false">AU35+AV35</f>
        <v>0</v>
      </c>
      <c r="AX35" s="55" t="n">
        <f aca="false">ROUND(MAX(0,AX34+AY34-BB34),2)</f>
        <v>0</v>
      </c>
      <c r="AY35" s="55" t="n">
        <f aca="false">ROUND(AX35*$E$14/12,2)</f>
        <v>0</v>
      </c>
      <c r="AZ35" s="55" t="n">
        <f aca="false">MIN($F$14,AX35+AY35)</f>
        <v>0</v>
      </c>
      <c r="BA35" s="55" t="n">
        <f aca="false">MAX(0,MIN(AX35+AY35-AZ35,$D35-(H35+M35+R35+W35+AB35+AG35+AL35+AQ35+AV35)))</f>
        <v>0</v>
      </c>
      <c r="BB35" s="55" t="n">
        <f aca="false">AZ35+BA35</f>
        <v>0</v>
      </c>
      <c r="BC35" s="55" t="n">
        <f aca="false">I35+N35+S35+X35+AC35+AH35+AM35+AR35+AW35+BB35</f>
        <v>5822</v>
      </c>
      <c r="BD35" s="55" t="n">
        <f aca="false">ROUND((E35+F35-I35)+(J35+K35-N35)+(O35+P35-S35)+(T35+U35-X35)+(Y35+Z35-AC35)+(AD35+AE35-AH35)+(AI35+AJ35-AM35)+(AN35+AO35-AR35)+(AS35+AT35-AW35)+(AX35+AY35-BB35),2)</f>
        <v>34840.38</v>
      </c>
      <c r="BE35" s="25" t="str">
        <f aca="false">IF(H35&gt;0.005,$C$5,IF(M35&gt;0.005,$C$6,IF(R35&gt;0.005,$C$7,IF(W35&gt;0.005,$C$8,IF(AB35&gt;0.005,$C$9,IF(AG35&gt;0.005,$C$10,IF(AL35&gt;0.005,$C$11,IF(AQ35&gt;0.005,$C$12,IF(AV35&gt;0.005,$C$13,IF(BA35&gt;0.005,$C$14,""))))))))))</f>
        <v>网贷X</v>
      </c>
    </row>
    <row r="36" customFormat="false" ht="15" hidden="false" customHeight="false" outlineLevel="0" collapsed="false">
      <c r="A36" s="24" t="n">
        <v>13</v>
      </c>
      <c r="B36" s="54" t="n">
        <f aca="false">EDATE($C$17,A36-1)</f>
        <v>46692</v>
      </c>
      <c r="C36" s="55" t="n">
        <f aca="false">G36+L36+Q36+V36+AA36+AF36+AK36+AP36+AU36+AZ36</f>
        <v>2588.89</v>
      </c>
      <c r="D36" s="55" t="n">
        <f aca="false">MAX(0,$C$16-C36)</f>
        <v>3233.11</v>
      </c>
      <c r="E36" s="55" t="n">
        <f aca="false">ROUND(MAX(0,E35+F35-I35),2)</f>
        <v>185.19</v>
      </c>
      <c r="F36" s="55" t="n">
        <f aca="false">ROUND(E36*$E$5/12,2)</f>
        <v>3.7</v>
      </c>
      <c r="G36" s="55" t="n">
        <f aca="false">MIN($F$5,E36+F36)</f>
        <v>188.89</v>
      </c>
      <c r="H36" s="55" t="n">
        <f aca="false">MAX(0,MIN(E36+F36-G36,$D36))</f>
        <v>0</v>
      </c>
      <c r="I36" s="55" t="n">
        <f aca="false">G36+H36</f>
        <v>188.89</v>
      </c>
      <c r="J36" s="55" t="n">
        <f aca="false">ROUND(MAX(0,J35+K35-N35),2)</f>
        <v>20655.19</v>
      </c>
      <c r="K36" s="55" t="n">
        <f aca="false">ROUND(J36*$E$6/12,2)</f>
        <v>309.83</v>
      </c>
      <c r="L36" s="55" t="n">
        <f aca="false">MIN($F$6,J36+K36)</f>
        <v>1900</v>
      </c>
      <c r="M36" s="55" t="n">
        <f aca="false">MAX(0,MIN(J36+K36-L36,$D36-(H36)))</f>
        <v>3233.11</v>
      </c>
      <c r="N36" s="55" t="n">
        <f aca="false">L36+M36</f>
        <v>5133.11</v>
      </c>
      <c r="O36" s="55" t="n">
        <f aca="false">ROUND(MAX(0,O35+P35-S35),2)</f>
        <v>0</v>
      </c>
      <c r="P36" s="55" t="n">
        <f aca="false">ROUND(O36*$E$7/12,2)</f>
        <v>0</v>
      </c>
      <c r="Q36" s="55" t="n">
        <f aca="false">MIN($F$7,O36+P36)</f>
        <v>0</v>
      </c>
      <c r="R36" s="55" t="n">
        <f aca="false">MAX(0,MIN(O36+P36-Q36,$D36-(H36+M36)))</f>
        <v>0</v>
      </c>
      <c r="S36" s="55" t="n">
        <f aca="false">Q36+R36</f>
        <v>0</v>
      </c>
      <c r="T36" s="55" t="n">
        <f aca="false">ROUND(MAX(0,T35+U35-X35),2)</f>
        <v>14000</v>
      </c>
      <c r="U36" s="55" t="n">
        <f aca="false">ROUND(T36*$E$8/12,2)</f>
        <v>0</v>
      </c>
      <c r="V36" s="55" t="n">
        <f aca="false">MIN($F$8,T36+U36)</f>
        <v>500</v>
      </c>
      <c r="W36" s="55" t="n">
        <f aca="false">MAX(0,MIN(T36+U36-V36,$D36-(H36+M36+R36)))</f>
        <v>0</v>
      </c>
      <c r="X36" s="55" t="n">
        <f aca="false">V36+W36</f>
        <v>500</v>
      </c>
      <c r="Y36" s="55" t="n">
        <f aca="false">ROUND(MAX(0,Y35+Z35-AC35),2)</f>
        <v>0</v>
      </c>
      <c r="Z36" s="55" t="n">
        <f aca="false">ROUND(Y36*$E$9/12,2)</f>
        <v>0</v>
      </c>
      <c r="AA36" s="55" t="n">
        <f aca="false">MIN($F$9,Y36+Z36)</f>
        <v>0</v>
      </c>
      <c r="AB36" s="55" t="n">
        <f aca="false">MAX(0,MIN(Y36+Z36-AA36,$D36-(H36+M36+R36+W36)))</f>
        <v>0</v>
      </c>
      <c r="AC36" s="55" t="n">
        <f aca="false">AA36+AB36</f>
        <v>0</v>
      </c>
      <c r="AD36" s="55" t="n">
        <f aca="false">ROUND(MAX(0,AD35+AE35-AH35),2)</f>
        <v>0</v>
      </c>
      <c r="AE36" s="55" t="n">
        <f aca="false">ROUND(AD36*$E$10/12,2)</f>
        <v>0</v>
      </c>
      <c r="AF36" s="55" t="n">
        <f aca="false">MIN($F$10,AD36+AE36)</f>
        <v>0</v>
      </c>
      <c r="AG36" s="55" t="n">
        <f aca="false">MAX(0,MIN(AD36+AE36-AF36,$D36-(H36+M36+R36+W36+AB36)))</f>
        <v>0</v>
      </c>
      <c r="AH36" s="55" t="n">
        <f aca="false">AF36+AG36</f>
        <v>0</v>
      </c>
      <c r="AI36" s="55" t="n">
        <f aca="false">ROUND(MAX(0,AI35+AJ35-AM35),2)</f>
        <v>0</v>
      </c>
      <c r="AJ36" s="55" t="n">
        <f aca="false">ROUND(AI36*$E$11/12,2)</f>
        <v>0</v>
      </c>
      <c r="AK36" s="55" t="n">
        <f aca="false">MIN($F$11,AI36+AJ36)</f>
        <v>0</v>
      </c>
      <c r="AL36" s="55" t="n">
        <f aca="false">MAX(0,MIN(AI36+AJ36-AK36,$D36-(H36+M36+R36+W36+AB36+AG36)))</f>
        <v>0</v>
      </c>
      <c r="AM36" s="55" t="n">
        <f aca="false">AK36+AL36</f>
        <v>0</v>
      </c>
      <c r="AN36" s="55" t="n">
        <f aca="false">ROUND(MAX(0,AN35+AO35-AR35),2)</f>
        <v>0</v>
      </c>
      <c r="AO36" s="55" t="n">
        <f aca="false">ROUND(AN36*$E$12/12,2)</f>
        <v>0</v>
      </c>
      <c r="AP36" s="55" t="n">
        <f aca="false">MIN($F$12,AN36+AO36)</f>
        <v>0</v>
      </c>
      <c r="AQ36" s="55" t="n">
        <f aca="false">MAX(0,MIN(AN36+AO36-AP36,$D36-(H36+M36+R36+W36+AB36+AG36+AL36)))</f>
        <v>0</v>
      </c>
      <c r="AR36" s="55" t="n">
        <f aca="false">AP36+AQ36</f>
        <v>0</v>
      </c>
      <c r="AS36" s="55" t="n">
        <f aca="false">ROUND(MAX(0,AS35+AT35-AW35),2)</f>
        <v>0</v>
      </c>
      <c r="AT36" s="55" t="n">
        <f aca="false">ROUND(AS36*$E$13/12,2)</f>
        <v>0</v>
      </c>
      <c r="AU36" s="55" t="n">
        <f aca="false">MIN($F$13,AS36+AT36)</f>
        <v>0</v>
      </c>
      <c r="AV36" s="55" t="n">
        <f aca="false">MAX(0,MIN(AS36+AT36-AU36,$D36-(H36+M36+R36+W36+AB36+AG36+AL36+AQ36)))</f>
        <v>0</v>
      </c>
      <c r="AW36" s="55" t="n">
        <f aca="false">AU36+AV36</f>
        <v>0</v>
      </c>
      <c r="AX36" s="55" t="n">
        <f aca="false">ROUND(MAX(0,AX35+AY35-BB35),2)</f>
        <v>0</v>
      </c>
      <c r="AY36" s="55" t="n">
        <f aca="false">ROUND(AX36*$E$14/12,2)</f>
        <v>0</v>
      </c>
      <c r="AZ36" s="55" t="n">
        <f aca="false">MIN($F$14,AX36+AY36)</f>
        <v>0</v>
      </c>
      <c r="BA36" s="55" t="n">
        <f aca="false">MAX(0,MIN(AX36+AY36-AZ36,$D36-(H36+M36+R36+W36+AB36+AG36+AL36+AQ36+AV36)))</f>
        <v>0</v>
      </c>
      <c r="BB36" s="55" t="n">
        <f aca="false">AZ36+BA36</f>
        <v>0</v>
      </c>
      <c r="BC36" s="55" t="n">
        <f aca="false">I36+N36+S36+X36+AC36+AH36+AM36+AR36+AW36+BB36</f>
        <v>5822</v>
      </c>
      <c r="BD36" s="55" t="n">
        <f aca="false">ROUND((E36+F36-I36)+(J36+K36-N36)+(O36+P36-S36)+(T36+U36-X36)+(Y36+Z36-AC36)+(AD36+AE36-AH36)+(AI36+AJ36-AM36)+(AN36+AO36-AR36)+(AS36+AT36-AW36)+(AX36+AY36-BB36),2)</f>
        <v>29331.91</v>
      </c>
      <c r="BE36" s="25" t="str">
        <f aca="false">IF(H36&gt;0.005,$C$5,IF(M36&gt;0.005,$C$6,IF(R36&gt;0.005,$C$7,IF(W36&gt;0.005,$C$8,IF(AB36&gt;0.005,$C$9,IF(AG36&gt;0.005,$C$10,IF(AL36&gt;0.005,$C$11,IF(AQ36&gt;0.005,$C$12,IF(AV36&gt;0.005,$C$13,IF(BA36&gt;0.005,$C$14,""))))))))))</f>
        <v>信用卡A</v>
      </c>
    </row>
    <row r="37" customFormat="false" ht="15" hidden="false" customHeight="false" outlineLevel="0" collapsed="false">
      <c r="A37" s="24" t="n">
        <v>14</v>
      </c>
      <c r="B37" s="54" t="n">
        <f aca="false">EDATE($C$17,A37-1)</f>
        <v>46722</v>
      </c>
      <c r="C37" s="55" t="n">
        <f aca="false">G37+L37+Q37+V37+AA37+AF37+AK37+AP37+AU37+AZ37</f>
        <v>2400</v>
      </c>
      <c r="D37" s="55" t="n">
        <f aca="false">MAX(0,$C$16-C37)</f>
        <v>3422</v>
      </c>
      <c r="E37" s="55" t="n">
        <f aca="false">ROUND(MAX(0,E36+F36-I36),2)</f>
        <v>0</v>
      </c>
      <c r="F37" s="55" t="n">
        <f aca="false">ROUND(E37*$E$5/12,2)</f>
        <v>0</v>
      </c>
      <c r="G37" s="55" t="n">
        <f aca="false">MIN($F$5,E37+F37)</f>
        <v>0</v>
      </c>
      <c r="H37" s="55" t="n">
        <f aca="false">MAX(0,MIN(E37+F37-G37,$D37))</f>
        <v>0</v>
      </c>
      <c r="I37" s="55" t="n">
        <f aca="false">G37+H37</f>
        <v>0</v>
      </c>
      <c r="J37" s="55" t="n">
        <f aca="false">ROUND(MAX(0,J36+K36-N36),2)</f>
        <v>15831.91</v>
      </c>
      <c r="K37" s="55" t="n">
        <f aca="false">ROUND(J37*$E$6/12,2)</f>
        <v>237.48</v>
      </c>
      <c r="L37" s="55" t="n">
        <f aca="false">MIN($F$6,J37+K37)</f>
        <v>1900</v>
      </c>
      <c r="M37" s="55" t="n">
        <f aca="false">MAX(0,MIN(J37+K37-L37,$D37-(H37)))</f>
        <v>3422</v>
      </c>
      <c r="N37" s="55" t="n">
        <f aca="false">L37+M37</f>
        <v>5322</v>
      </c>
      <c r="O37" s="55" t="n">
        <f aca="false">ROUND(MAX(0,O36+P36-S36),2)</f>
        <v>0</v>
      </c>
      <c r="P37" s="55" t="n">
        <f aca="false">ROUND(O37*$E$7/12,2)</f>
        <v>0</v>
      </c>
      <c r="Q37" s="55" t="n">
        <f aca="false">MIN($F$7,O37+P37)</f>
        <v>0</v>
      </c>
      <c r="R37" s="55" t="n">
        <f aca="false">MAX(0,MIN(O37+P37-Q37,$D37-(H37+M37)))</f>
        <v>0</v>
      </c>
      <c r="S37" s="55" t="n">
        <f aca="false">Q37+R37</f>
        <v>0</v>
      </c>
      <c r="T37" s="55" t="n">
        <f aca="false">ROUND(MAX(0,T36+U36-X36),2)</f>
        <v>13500</v>
      </c>
      <c r="U37" s="55" t="n">
        <f aca="false">ROUND(T37*$E$8/12,2)</f>
        <v>0</v>
      </c>
      <c r="V37" s="55" t="n">
        <f aca="false">MIN($F$8,T37+U37)</f>
        <v>500</v>
      </c>
      <c r="W37" s="55" t="n">
        <f aca="false">MAX(0,MIN(T37+U37-V37,$D37-(H37+M37+R37)))</f>
        <v>0</v>
      </c>
      <c r="X37" s="55" t="n">
        <f aca="false">V37+W37</f>
        <v>500</v>
      </c>
      <c r="Y37" s="55" t="n">
        <f aca="false">ROUND(MAX(0,Y36+Z36-AC36),2)</f>
        <v>0</v>
      </c>
      <c r="Z37" s="55" t="n">
        <f aca="false">ROUND(Y37*$E$9/12,2)</f>
        <v>0</v>
      </c>
      <c r="AA37" s="55" t="n">
        <f aca="false">MIN($F$9,Y37+Z37)</f>
        <v>0</v>
      </c>
      <c r="AB37" s="55" t="n">
        <f aca="false">MAX(0,MIN(Y37+Z37-AA37,$D37-(H37+M37+R37+W37)))</f>
        <v>0</v>
      </c>
      <c r="AC37" s="55" t="n">
        <f aca="false">AA37+AB37</f>
        <v>0</v>
      </c>
      <c r="AD37" s="55" t="n">
        <f aca="false">ROUND(MAX(0,AD36+AE36-AH36),2)</f>
        <v>0</v>
      </c>
      <c r="AE37" s="55" t="n">
        <f aca="false">ROUND(AD37*$E$10/12,2)</f>
        <v>0</v>
      </c>
      <c r="AF37" s="55" t="n">
        <f aca="false">MIN($F$10,AD37+AE37)</f>
        <v>0</v>
      </c>
      <c r="AG37" s="55" t="n">
        <f aca="false">MAX(0,MIN(AD37+AE37-AF37,$D37-(H37+M37+R37+W37+AB37)))</f>
        <v>0</v>
      </c>
      <c r="AH37" s="55" t="n">
        <f aca="false">AF37+AG37</f>
        <v>0</v>
      </c>
      <c r="AI37" s="55" t="n">
        <f aca="false">ROUND(MAX(0,AI36+AJ36-AM36),2)</f>
        <v>0</v>
      </c>
      <c r="AJ37" s="55" t="n">
        <f aca="false">ROUND(AI37*$E$11/12,2)</f>
        <v>0</v>
      </c>
      <c r="AK37" s="55" t="n">
        <f aca="false">MIN($F$11,AI37+AJ37)</f>
        <v>0</v>
      </c>
      <c r="AL37" s="55" t="n">
        <f aca="false">MAX(0,MIN(AI37+AJ37-AK37,$D37-(H37+M37+R37+W37+AB37+AG37)))</f>
        <v>0</v>
      </c>
      <c r="AM37" s="55" t="n">
        <f aca="false">AK37+AL37</f>
        <v>0</v>
      </c>
      <c r="AN37" s="55" t="n">
        <f aca="false">ROUND(MAX(0,AN36+AO36-AR36),2)</f>
        <v>0</v>
      </c>
      <c r="AO37" s="55" t="n">
        <f aca="false">ROUND(AN37*$E$12/12,2)</f>
        <v>0</v>
      </c>
      <c r="AP37" s="55" t="n">
        <f aca="false">MIN($F$12,AN37+AO37)</f>
        <v>0</v>
      </c>
      <c r="AQ37" s="55" t="n">
        <f aca="false">MAX(0,MIN(AN37+AO37-AP37,$D37-(H37+M37+R37+W37+AB37+AG37+AL37)))</f>
        <v>0</v>
      </c>
      <c r="AR37" s="55" t="n">
        <f aca="false">AP37+AQ37</f>
        <v>0</v>
      </c>
      <c r="AS37" s="55" t="n">
        <f aca="false">ROUND(MAX(0,AS36+AT36-AW36),2)</f>
        <v>0</v>
      </c>
      <c r="AT37" s="55" t="n">
        <f aca="false">ROUND(AS37*$E$13/12,2)</f>
        <v>0</v>
      </c>
      <c r="AU37" s="55" t="n">
        <f aca="false">MIN($F$13,AS37+AT37)</f>
        <v>0</v>
      </c>
      <c r="AV37" s="55" t="n">
        <f aca="false">MAX(0,MIN(AS37+AT37-AU37,$D37-(H37+M37+R37+W37+AB37+AG37+AL37+AQ37)))</f>
        <v>0</v>
      </c>
      <c r="AW37" s="55" t="n">
        <f aca="false">AU37+AV37</f>
        <v>0</v>
      </c>
      <c r="AX37" s="55" t="n">
        <f aca="false">ROUND(MAX(0,AX36+AY36-BB36),2)</f>
        <v>0</v>
      </c>
      <c r="AY37" s="55" t="n">
        <f aca="false">ROUND(AX37*$E$14/12,2)</f>
        <v>0</v>
      </c>
      <c r="AZ37" s="55" t="n">
        <f aca="false">MIN($F$14,AX37+AY37)</f>
        <v>0</v>
      </c>
      <c r="BA37" s="55" t="n">
        <f aca="false">MAX(0,MIN(AX37+AY37-AZ37,$D37-(H37+M37+R37+W37+AB37+AG37+AL37+AQ37+AV37)))</f>
        <v>0</v>
      </c>
      <c r="BB37" s="55" t="n">
        <f aca="false">AZ37+BA37</f>
        <v>0</v>
      </c>
      <c r="BC37" s="55" t="n">
        <f aca="false">I37+N37+S37+X37+AC37+AH37+AM37+AR37+AW37+BB37</f>
        <v>5822</v>
      </c>
      <c r="BD37" s="55" t="n">
        <f aca="false">ROUND((E37+F37-I37)+(J37+K37-N37)+(O37+P37-S37)+(T37+U37-X37)+(Y37+Z37-AC37)+(AD37+AE37-AH37)+(AI37+AJ37-AM37)+(AN37+AO37-AR37)+(AS37+AT37-AW37)+(AX37+AY37-BB37),2)</f>
        <v>23747.39</v>
      </c>
      <c r="BE37" s="25" t="str">
        <f aca="false">IF(H37&gt;0.005,$C$5,IF(M37&gt;0.005,$C$6,IF(R37&gt;0.005,$C$7,IF(W37&gt;0.005,$C$8,IF(AB37&gt;0.005,$C$9,IF(AG37&gt;0.005,$C$10,IF(AL37&gt;0.005,$C$11,IF(AQ37&gt;0.005,$C$12,IF(AV37&gt;0.005,$C$13,IF(BA37&gt;0.005,$C$14,""))))))))))</f>
        <v>信用卡A</v>
      </c>
    </row>
    <row r="38" customFormat="false" ht="15" hidden="false" customHeight="false" outlineLevel="0" collapsed="false">
      <c r="A38" s="24" t="n">
        <v>15</v>
      </c>
      <c r="B38" s="54" t="n">
        <f aca="false">EDATE($C$17,A38-1)</f>
        <v>46753</v>
      </c>
      <c r="C38" s="55" t="n">
        <f aca="false">G38+L38+Q38+V38+AA38+AF38+AK38+AP38+AU38+AZ38</f>
        <v>2400</v>
      </c>
      <c r="D38" s="55" t="n">
        <f aca="false">MAX(0,$C$16-C38)</f>
        <v>3422</v>
      </c>
      <c r="E38" s="55" t="n">
        <f aca="false">ROUND(MAX(0,E37+F37-I37),2)</f>
        <v>0</v>
      </c>
      <c r="F38" s="55" t="n">
        <f aca="false">ROUND(E38*$E$5/12,2)</f>
        <v>0</v>
      </c>
      <c r="G38" s="55" t="n">
        <f aca="false">MIN($F$5,E38+F38)</f>
        <v>0</v>
      </c>
      <c r="H38" s="55" t="n">
        <f aca="false">MAX(0,MIN(E38+F38-G38,$D38))</f>
        <v>0</v>
      </c>
      <c r="I38" s="55" t="n">
        <f aca="false">G38+H38</f>
        <v>0</v>
      </c>
      <c r="J38" s="55" t="n">
        <f aca="false">ROUND(MAX(0,J37+K37-N37),2)</f>
        <v>10747.39</v>
      </c>
      <c r="K38" s="55" t="n">
        <f aca="false">ROUND(J38*$E$6/12,2)</f>
        <v>161.21</v>
      </c>
      <c r="L38" s="55" t="n">
        <f aca="false">MIN($F$6,J38+K38)</f>
        <v>1900</v>
      </c>
      <c r="M38" s="55" t="n">
        <f aca="false">MAX(0,MIN(J38+K38-L38,$D38-(H38)))</f>
        <v>3422</v>
      </c>
      <c r="N38" s="55" t="n">
        <f aca="false">L38+M38</f>
        <v>5322</v>
      </c>
      <c r="O38" s="55" t="n">
        <f aca="false">ROUND(MAX(0,O37+P37-S37),2)</f>
        <v>0</v>
      </c>
      <c r="P38" s="55" t="n">
        <f aca="false">ROUND(O38*$E$7/12,2)</f>
        <v>0</v>
      </c>
      <c r="Q38" s="55" t="n">
        <f aca="false">MIN($F$7,O38+P38)</f>
        <v>0</v>
      </c>
      <c r="R38" s="55" t="n">
        <f aca="false">MAX(0,MIN(O38+P38-Q38,$D38-(H38+M38)))</f>
        <v>0</v>
      </c>
      <c r="S38" s="55" t="n">
        <f aca="false">Q38+R38</f>
        <v>0</v>
      </c>
      <c r="T38" s="55" t="n">
        <f aca="false">ROUND(MAX(0,T37+U37-X37),2)</f>
        <v>13000</v>
      </c>
      <c r="U38" s="55" t="n">
        <f aca="false">ROUND(T38*$E$8/12,2)</f>
        <v>0</v>
      </c>
      <c r="V38" s="55" t="n">
        <f aca="false">MIN($F$8,T38+U38)</f>
        <v>500</v>
      </c>
      <c r="W38" s="55" t="n">
        <f aca="false">MAX(0,MIN(T38+U38-V38,$D38-(H38+M38+R38)))</f>
        <v>0</v>
      </c>
      <c r="X38" s="55" t="n">
        <f aca="false">V38+W38</f>
        <v>500</v>
      </c>
      <c r="Y38" s="55" t="n">
        <f aca="false">ROUND(MAX(0,Y37+Z37-AC37),2)</f>
        <v>0</v>
      </c>
      <c r="Z38" s="55" t="n">
        <f aca="false">ROUND(Y38*$E$9/12,2)</f>
        <v>0</v>
      </c>
      <c r="AA38" s="55" t="n">
        <f aca="false">MIN($F$9,Y38+Z38)</f>
        <v>0</v>
      </c>
      <c r="AB38" s="55" t="n">
        <f aca="false">MAX(0,MIN(Y38+Z38-AA38,$D38-(H38+M38+R38+W38)))</f>
        <v>0</v>
      </c>
      <c r="AC38" s="55" t="n">
        <f aca="false">AA38+AB38</f>
        <v>0</v>
      </c>
      <c r="AD38" s="55" t="n">
        <f aca="false">ROUND(MAX(0,AD37+AE37-AH37),2)</f>
        <v>0</v>
      </c>
      <c r="AE38" s="55" t="n">
        <f aca="false">ROUND(AD38*$E$10/12,2)</f>
        <v>0</v>
      </c>
      <c r="AF38" s="55" t="n">
        <f aca="false">MIN($F$10,AD38+AE38)</f>
        <v>0</v>
      </c>
      <c r="AG38" s="55" t="n">
        <f aca="false">MAX(0,MIN(AD38+AE38-AF38,$D38-(H38+M38+R38+W38+AB38)))</f>
        <v>0</v>
      </c>
      <c r="AH38" s="55" t="n">
        <f aca="false">AF38+AG38</f>
        <v>0</v>
      </c>
      <c r="AI38" s="55" t="n">
        <f aca="false">ROUND(MAX(0,AI37+AJ37-AM37),2)</f>
        <v>0</v>
      </c>
      <c r="AJ38" s="55" t="n">
        <f aca="false">ROUND(AI38*$E$11/12,2)</f>
        <v>0</v>
      </c>
      <c r="AK38" s="55" t="n">
        <f aca="false">MIN($F$11,AI38+AJ38)</f>
        <v>0</v>
      </c>
      <c r="AL38" s="55" t="n">
        <f aca="false">MAX(0,MIN(AI38+AJ38-AK38,$D38-(H38+M38+R38+W38+AB38+AG38)))</f>
        <v>0</v>
      </c>
      <c r="AM38" s="55" t="n">
        <f aca="false">AK38+AL38</f>
        <v>0</v>
      </c>
      <c r="AN38" s="55" t="n">
        <f aca="false">ROUND(MAX(0,AN37+AO37-AR37),2)</f>
        <v>0</v>
      </c>
      <c r="AO38" s="55" t="n">
        <f aca="false">ROUND(AN38*$E$12/12,2)</f>
        <v>0</v>
      </c>
      <c r="AP38" s="55" t="n">
        <f aca="false">MIN($F$12,AN38+AO38)</f>
        <v>0</v>
      </c>
      <c r="AQ38" s="55" t="n">
        <f aca="false">MAX(0,MIN(AN38+AO38-AP38,$D38-(H38+M38+R38+W38+AB38+AG38+AL38)))</f>
        <v>0</v>
      </c>
      <c r="AR38" s="55" t="n">
        <f aca="false">AP38+AQ38</f>
        <v>0</v>
      </c>
      <c r="AS38" s="55" t="n">
        <f aca="false">ROUND(MAX(0,AS37+AT37-AW37),2)</f>
        <v>0</v>
      </c>
      <c r="AT38" s="55" t="n">
        <f aca="false">ROUND(AS38*$E$13/12,2)</f>
        <v>0</v>
      </c>
      <c r="AU38" s="55" t="n">
        <f aca="false">MIN($F$13,AS38+AT38)</f>
        <v>0</v>
      </c>
      <c r="AV38" s="55" t="n">
        <f aca="false">MAX(0,MIN(AS38+AT38-AU38,$D38-(H38+M38+R38+W38+AB38+AG38+AL38+AQ38)))</f>
        <v>0</v>
      </c>
      <c r="AW38" s="55" t="n">
        <f aca="false">AU38+AV38</f>
        <v>0</v>
      </c>
      <c r="AX38" s="55" t="n">
        <f aca="false">ROUND(MAX(0,AX37+AY37-BB37),2)</f>
        <v>0</v>
      </c>
      <c r="AY38" s="55" t="n">
        <f aca="false">ROUND(AX38*$E$14/12,2)</f>
        <v>0</v>
      </c>
      <c r="AZ38" s="55" t="n">
        <f aca="false">MIN($F$14,AX38+AY38)</f>
        <v>0</v>
      </c>
      <c r="BA38" s="55" t="n">
        <f aca="false">MAX(0,MIN(AX38+AY38-AZ38,$D38-(H38+M38+R38+W38+AB38+AG38+AL38+AQ38+AV38)))</f>
        <v>0</v>
      </c>
      <c r="BB38" s="55" t="n">
        <f aca="false">AZ38+BA38</f>
        <v>0</v>
      </c>
      <c r="BC38" s="55" t="n">
        <f aca="false">I38+N38+S38+X38+AC38+AH38+AM38+AR38+AW38+BB38</f>
        <v>5822</v>
      </c>
      <c r="BD38" s="55" t="n">
        <f aca="false">ROUND((E38+F38-I38)+(J38+K38-N38)+(O38+P38-S38)+(T38+U38-X38)+(Y38+Z38-AC38)+(AD38+AE38-AH38)+(AI38+AJ38-AM38)+(AN38+AO38-AR38)+(AS38+AT38-AW38)+(AX38+AY38-BB38),2)</f>
        <v>18086.6</v>
      </c>
      <c r="BE38" s="25" t="str">
        <f aca="false">IF(H38&gt;0.005,$C$5,IF(M38&gt;0.005,$C$6,IF(R38&gt;0.005,$C$7,IF(W38&gt;0.005,$C$8,IF(AB38&gt;0.005,$C$9,IF(AG38&gt;0.005,$C$10,IF(AL38&gt;0.005,$C$11,IF(AQ38&gt;0.005,$C$12,IF(AV38&gt;0.005,$C$13,IF(BA38&gt;0.005,$C$14,""))))))))))</f>
        <v>信用卡A</v>
      </c>
    </row>
    <row r="39" customFormat="false" ht="15" hidden="false" customHeight="false" outlineLevel="0" collapsed="false">
      <c r="A39" s="24" t="n">
        <v>16</v>
      </c>
      <c r="B39" s="54" t="n">
        <f aca="false">EDATE($C$17,A39-1)</f>
        <v>46784</v>
      </c>
      <c r="C39" s="55" t="n">
        <f aca="false">G39+L39+Q39+V39+AA39+AF39+AK39+AP39+AU39+AZ39</f>
        <v>2400</v>
      </c>
      <c r="D39" s="55" t="n">
        <f aca="false">MAX(0,$C$16-C39)</f>
        <v>3422</v>
      </c>
      <c r="E39" s="55" t="n">
        <f aca="false">ROUND(MAX(0,E38+F38-I38),2)</f>
        <v>0</v>
      </c>
      <c r="F39" s="55" t="n">
        <f aca="false">ROUND(E39*$E$5/12,2)</f>
        <v>0</v>
      </c>
      <c r="G39" s="55" t="n">
        <f aca="false">MIN($F$5,E39+F39)</f>
        <v>0</v>
      </c>
      <c r="H39" s="55" t="n">
        <f aca="false">MAX(0,MIN(E39+F39-G39,$D39))</f>
        <v>0</v>
      </c>
      <c r="I39" s="55" t="n">
        <f aca="false">G39+H39</f>
        <v>0</v>
      </c>
      <c r="J39" s="55" t="n">
        <f aca="false">ROUND(MAX(0,J38+K38-N38),2)</f>
        <v>5586.6</v>
      </c>
      <c r="K39" s="55" t="n">
        <f aca="false">ROUND(J39*$E$6/12,2)</f>
        <v>83.8</v>
      </c>
      <c r="L39" s="55" t="n">
        <f aca="false">MIN($F$6,J39+K39)</f>
        <v>1900</v>
      </c>
      <c r="M39" s="55" t="n">
        <f aca="false">MAX(0,MIN(J39+K39-L39,$D39-(H39)))</f>
        <v>3422</v>
      </c>
      <c r="N39" s="55" t="n">
        <f aca="false">L39+M39</f>
        <v>5322</v>
      </c>
      <c r="O39" s="55" t="n">
        <f aca="false">ROUND(MAX(0,O38+P38-S38),2)</f>
        <v>0</v>
      </c>
      <c r="P39" s="55" t="n">
        <f aca="false">ROUND(O39*$E$7/12,2)</f>
        <v>0</v>
      </c>
      <c r="Q39" s="55" t="n">
        <f aca="false">MIN($F$7,O39+P39)</f>
        <v>0</v>
      </c>
      <c r="R39" s="55" t="n">
        <f aca="false">MAX(0,MIN(O39+P39-Q39,$D39-(H39+M39)))</f>
        <v>0</v>
      </c>
      <c r="S39" s="55" t="n">
        <f aca="false">Q39+R39</f>
        <v>0</v>
      </c>
      <c r="T39" s="55" t="n">
        <f aca="false">ROUND(MAX(0,T38+U38-X38),2)</f>
        <v>12500</v>
      </c>
      <c r="U39" s="55" t="n">
        <f aca="false">ROUND(T39*$E$8/12,2)</f>
        <v>0</v>
      </c>
      <c r="V39" s="55" t="n">
        <f aca="false">MIN($F$8,T39+U39)</f>
        <v>500</v>
      </c>
      <c r="W39" s="55" t="n">
        <f aca="false">MAX(0,MIN(T39+U39-V39,$D39-(H39+M39+R39)))</f>
        <v>0</v>
      </c>
      <c r="X39" s="55" t="n">
        <f aca="false">V39+W39</f>
        <v>500</v>
      </c>
      <c r="Y39" s="55" t="n">
        <f aca="false">ROUND(MAX(0,Y38+Z38-AC38),2)</f>
        <v>0</v>
      </c>
      <c r="Z39" s="55" t="n">
        <f aca="false">ROUND(Y39*$E$9/12,2)</f>
        <v>0</v>
      </c>
      <c r="AA39" s="55" t="n">
        <f aca="false">MIN($F$9,Y39+Z39)</f>
        <v>0</v>
      </c>
      <c r="AB39" s="55" t="n">
        <f aca="false">MAX(0,MIN(Y39+Z39-AA39,$D39-(H39+M39+R39+W39)))</f>
        <v>0</v>
      </c>
      <c r="AC39" s="55" t="n">
        <f aca="false">AA39+AB39</f>
        <v>0</v>
      </c>
      <c r="AD39" s="55" t="n">
        <f aca="false">ROUND(MAX(0,AD38+AE38-AH38),2)</f>
        <v>0</v>
      </c>
      <c r="AE39" s="55" t="n">
        <f aca="false">ROUND(AD39*$E$10/12,2)</f>
        <v>0</v>
      </c>
      <c r="AF39" s="55" t="n">
        <f aca="false">MIN($F$10,AD39+AE39)</f>
        <v>0</v>
      </c>
      <c r="AG39" s="55" t="n">
        <f aca="false">MAX(0,MIN(AD39+AE39-AF39,$D39-(H39+M39+R39+W39+AB39)))</f>
        <v>0</v>
      </c>
      <c r="AH39" s="55" t="n">
        <f aca="false">AF39+AG39</f>
        <v>0</v>
      </c>
      <c r="AI39" s="55" t="n">
        <f aca="false">ROUND(MAX(0,AI38+AJ38-AM38),2)</f>
        <v>0</v>
      </c>
      <c r="AJ39" s="55" t="n">
        <f aca="false">ROUND(AI39*$E$11/12,2)</f>
        <v>0</v>
      </c>
      <c r="AK39" s="55" t="n">
        <f aca="false">MIN($F$11,AI39+AJ39)</f>
        <v>0</v>
      </c>
      <c r="AL39" s="55" t="n">
        <f aca="false">MAX(0,MIN(AI39+AJ39-AK39,$D39-(H39+M39+R39+W39+AB39+AG39)))</f>
        <v>0</v>
      </c>
      <c r="AM39" s="55" t="n">
        <f aca="false">AK39+AL39</f>
        <v>0</v>
      </c>
      <c r="AN39" s="55" t="n">
        <f aca="false">ROUND(MAX(0,AN38+AO38-AR38),2)</f>
        <v>0</v>
      </c>
      <c r="AO39" s="55" t="n">
        <f aca="false">ROUND(AN39*$E$12/12,2)</f>
        <v>0</v>
      </c>
      <c r="AP39" s="55" t="n">
        <f aca="false">MIN($F$12,AN39+AO39)</f>
        <v>0</v>
      </c>
      <c r="AQ39" s="55" t="n">
        <f aca="false">MAX(0,MIN(AN39+AO39-AP39,$D39-(H39+M39+R39+W39+AB39+AG39+AL39)))</f>
        <v>0</v>
      </c>
      <c r="AR39" s="55" t="n">
        <f aca="false">AP39+AQ39</f>
        <v>0</v>
      </c>
      <c r="AS39" s="55" t="n">
        <f aca="false">ROUND(MAX(0,AS38+AT38-AW38),2)</f>
        <v>0</v>
      </c>
      <c r="AT39" s="55" t="n">
        <f aca="false">ROUND(AS39*$E$13/12,2)</f>
        <v>0</v>
      </c>
      <c r="AU39" s="55" t="n">
        <f aca="false">MIN($F$13,AS39+AT39)</f>
        <v>0</v>
      </c>
      <c r="AV39" s="55" t="n">
        <f aca="false">MAX(0,MIN(AS39+AT39-AU39,$D39-(H39+M39+R39+W39+AB39+AG39+AL39+AQ39)))</f>
        <v>0</v>
      </c>
      <c r="AW39" s="55" t="n">
        <f aca="false">AU39+AV39</f>
        <v>0</v>
      </c>
      <c r="AX39" s="55" t="n">
        <f aca="false">ROUND(MAX(0,AX38+AY38-BB38),2)</f>
        <v>0</v>
      </c>
      <c r="AY39" s="55" t="n">
        <f aca="false">ROUND(AX39*$E$14/12,2)</f>
        <v>0</v>
      </c>
      <c r="AZ39" s="55" t="n">
        <f aca="false">MIN($F$14,AX39+AY39)</f>
        <v>0</v>
      </c>
      <c r="BA39" s="55" t="n">
        <f aca="false">MAX(0,MIN(AX39+AY39-AZ39,$D39-(H39+M39+R39+W39+AB39+AG39+AL39+AQ39+AV39)))</f>
        <v>0</v>
      </c>
      <c r="BB39" s="55" t="n">
        <f aca="false">AZ39+BA39</f>
        <v>0</v>
      </c>
      <c r="BC39" s="55" t="n">
        <f aca="false">I39+N39+S39+X39+AC39+AH39+AM39+AR39+AW39+BB39</f>
        <v>5822</v>
      </c>
      <c r="BD39" s="55" t="n">
        <f aca="false">ROUND((E39+F39-I39)+(J39+K39-N39)+(O39+P39-S39)+(T39+U39-X39)+(Y39+Z39-AC39)+(AD39+AE39-AH39)+(AI39+AJ39-AM39)+(AN39+AO39-AR39)+(AS39+AT39-AW39)+(AX39+AY39-BB39),2)</f>
        <v>12348.4</v>
      </c>
      <c r="BE39" s="25" t="str">
        <f aca="false">IF(H39&gt;0.005,$C$5,IF(M39&gt;0.005,$C$6,IF(R39&gt;0.005,$C$7,IF(W39&gt;0.005,$C$8,IF(AB39&gt;0.005,$C$9,IF(AG39&gt;0.005,$C$10,IF(AL39&gt;0.005,$C$11,IF(AQ39&gt;0.005,$C$12,IF(AV39&gt;0.005,$C$13,IF(BA39&gt;0.005,$C$14,""))))))))))</f>
        <v>信用卡A</v>
      </c>
    </row>
    <row r="40" customFormat="false" ht="15" hidden="false" customHeight="false" outlineLevel="0" collapsed="false">
      <c r="A40" s="24" t="n">
        <v>17</v>
      </c>
      <c r="B40" s="54" t="n">
        <f aca="false">EDATE($C$17,A40-1)</f>
        <v>46813</v>
      </c>
      <c r="C40" s="55" t="n">
        <f aca="false">G40+L40+Q40+V40+AA40+AF40+AK40+AP40+AU40+AZ40</f>
        <v>853.63</v>
      </c>
      <c r="D40" s="55" t="n">
        <f aca="false">MAX(0,$C$16-C40)</f>
        <v>4968.37</v>
      </c>
      <c r="E40" s="55" t="n">
        <f aca="false">ROUND(MAX(0,E39+F39-I39),2)</f>
        <v>0</v>
      </c>
      <c r="F40" s="55" t="n">
        <f aca="false">ROUND(E40*$E$5/12,2)</f>
        <v>0</v>
      </c>
      <c r="G40" s="55" t="n">
        <f aca="false">MIN($F$5,E40+F40)</f>
        <v>0</v>
      </c>
      <c r="H40" s="55" t="n">
        <f aca="false">MAX(0,MIN(E40+F40-G40,$D40))</f>
        <v>0</v>
      </c>
      <c r="I40" s="55" t="n">
        <f aca="false">G40+H40</f>
        <v>0</v>
      </c>
      <c r="J40" s="55" t="n">
        <f aca="false">ROUND(MAX(0,J39+K39-N39),2)</f>
        <v>348.4</v>
      </c>
      <c r="K40" s="55" t="n">
        <f aca="false">ROUND(J40*$E$6/12,2)</f>
        <v>5.23</v>
      </c>
      <c r="L40" s="55" t="n">
        <f aca="false">MIN($F$6,J40+K40)</f>
        <v>353.63</v>
      </c>
      <c r="M40" s="55" t="n">
        <f aca="false">MAX(0,MIN(J40+K40-L40,$D40-(H40)))</f>
        <v>0</v>
      </c>
      <c r="N40" s="55" t="n">
        <f aca="false">L40+M40</f>
        <v>353.63</v>
      </c>
      <c r="O40" s="55" t="n">
        <f aca="false">ROUND(MAX(0,O39+P39-S39),2)</f>
        <v>0</v>
      </c>
      <c r="P40" s="55" t="n">
        <f aca="false">ROUND(O40*$E$7/12,2)</f>
        <v>0</v>
      </c>
      <c r="Q40" s="55" t="n">
        <f aca="false">MIN($F$7,O40+P40)</f>
        <v>0</v>
      </c>
      <c r="R40" s="55" t="n">
        <f aca="false">MAX(0,MIN(O40+P40-Q40,$D40-(H40+M40)))</f>
        <v>0</v>
      </c>
      <c r="S40" s="55" t="n">
        <f aca="false">Q40+R40</f>
        <v>0</v>
      </c>
      <c r="T40" s="55" t="n">
        <f aca="false">ROUND(MAX(0,T39+U39-X39),2)</f>
        <v>12000</v>
      </c>
      <c r="U40" s="55" t="n">
        <f aca="false">ROUND(T40*$E$8/12,2)</f>
        <v>0</v>
      </c>
      <c r="V40" s="55" t="n">
        <f aca="false">MIN($F$8,T40+U40)</f>
        <v>500</v>
      </c>
      <c r="W40" s="55" t="n">
        <f aca="false">MAX(0,MIN(T40+U40-V40,$D40-(H40+M40+R40)))</f>
        <v>4968.37</v>
      </c>
      <c r="X40" s="55" t="n">
        <f aca="false">V40+W40</f>
        <v>5468.37</v>
      </c>
      <c r="Y40" s="55" t="n">
        <f aca="false">ROUND(MAX(0,Y39+Z39-AC39),2)</f>
        <v>0</v>
      </c>
      <c r="Z40" s="55" t="n">
        <f aca="false">ROUND(Y40*$E$9/12,2)</f>
        <v>0</v>
      </c>
      <c r="AA40" s="55" t="n">
        <f aca="false">MIN($F$9,Y40+Z40)</f>
        <v>0</v>
      </c>
      <c r="AB40" s="55" t="n">
        <f aca="false">MAX(0,MIN(Y40+Z40-AA40,$D40-(H40+M40+R40+W40)))</f>
        <v>0</v>
      </c>
      <c r="AC40" s="55" t="n">
        <f aca="false">AA40+AB40</f>
        <v>0</v>
      </c>
      <c r="AD40" s="55" t="n">
        <f aca="false">ROUND(MAX(0,AD39+AE39-AH39),2)</f>
        <v>0</v>
      </c>
      <c r="AE40" s="55" t="n">
        <f aca="false">ROUND(AD40*$E$10/12,2)</f>
        <v>0</v>
      </c>
      <c r="AF40" s="55" t="n">
        <f aca="false">MIN($F$10,AD40+AE40)</f>
        <v>0</v>
      </c>
      <c r="AG40" s="55" t="n">
        <f aca="false">MAX(0,MIN(AD40+AE40-AF40,$D40-(H40+M40+R40+W40+AB40)))</f>
        <v>0</v>
      </c>
      <c r="AH40" s="55" t="n">
        <f aca="false">AF40+AG40</f>
        <v>0</v>
      </c>
      <c r="AI40" s="55" t="n">
        <f aca="false">ROUND(MAX(0,AI39+AJ39-AM39),2)</f>
        <v>0</v>
      </c>
      <c r="AJ40" s="55" t="n">
        <f aca="false">ROUND(AI40*$E$11/12,2)</f>
        <v>0</v>
      </c>
      <c r="AK40" s="55" t="n">
        <f aca="false">MIN($F$11,AI40+AJ40)</f>
        <v>0</v>
      </c>
      <c r="AL40" s="55" t="n">
        <f aca="false">MAX(0,MIN(AI40+AJ40-AK40,$D40-(H40+M40+R40+W40+AB40+AG40)))</f>
        <v>0</v>
      </c>
      <c r="AM40" s="55" t="n">
        <f aca="false">AK40+AL40</f>
        <v>0</v>
      </c>
      <c r="AN40" s="55" t="n">
        <f aca="false">ROUND(MAX(0,AN39+AO39-AR39),2)</f>
        <v>0</v>
      </c>
      <c r="AO40" s="55" t="n">
        <f aca="false">ROUND(AN40*$E$12/12,2)</f>
        <v>0</v>
      </c>
      <c r="AP40" s="55" t="n">
        <f aca="false">MIN($F$12,AN40+AO40)</f>
        <v>0</v>
      </c>
      <c r="AQ40" s="55" t="n">
        <f aca="false">MAX(0,MIN(AN40+AO40-AP40,$D40-(H40+M40+R40+W40+AB40+AG40+AL40)))</f>
        <v>0</v>
      </c>
      <c r="AR40" s="55" t="n">
        <f aca="false">AP40+AQ40</f>
        <v>0</v>
      </c>
      <c r="AS40" s="55" t="n">
        <f aca="false">ROUND(MAX(0,AS39+AT39-AW39),2)</f>
        <v>0</v>
      </c>
      <c r="AT40" s="55" t="n">
        <f aca="false">ROUND(AS40*$E$13/12,2)</f>
        <v>0</v>
      </c>
      <c r="AU40" s="55" t="n">
        <f aca="false">MIN($F$13,AS40+AT40)</f>
        <v>0</v>
      </c>
      <c r="AV40" s="55" t="n">
        <f aca="false">MAX(0,MIN(AS40+AT40-AU40,$D40-(H40+M40+R40+W40+AB40+AG40+AL40+AQ40)))</f>
        <v>0</v>
      </c>
      <c r="AW40" s="55" t="n">
        <f aca="false">AU40+AV40</f>
        <v>0</v>
      </c>
      <c r="AX40" s="55" t="n">
        <f aca="false">ROUND(MAX(0,AX39+AY39-BB39),2)</f>
        <v>0</v>
      </c>
      <c r="AY40" s="55" t="n">
        <f aca="false">ROUND(AX40*$E$14/12,2)</f>
        <v>0</v>
      </c>
      <c r="AZ40" s="55" t="n">
        <f aca="false">MIN($F$14,AX40+AY40)</f>
        <v>0</v>
      </c>
      <c r="BA40" s="55" t="n">
        <f aca="false">MAX(0,MIN(AX40+AY40-AZ40,$D40-(H40+M40+R40+W40+AB40+AG40+AL40+AQ40+AV40)))</f>
        <v>0</v>
      </c>
      <c r="BB40" s="55" t="n">
        <f aca="false">AZ40+BA40</f>
        <v>0</v>
      </c>
      <c r="BC40" s="55" t="n">
        <f aca="false">I40+N40+S40+X40+AC40+AH40+AM40+AR40+AW40+BB40</f>
        <v>5822</v>
      </c>
      <c r="BD40" s="55" t="n">
        <f aca="false">ROUND((E40+F40-I40)+(J40+K40-N40)+(O40+P40-S40)+(T40+U40-X40)+(Y40+Z40-AC40)+(AD40+AE40-AH40)+(AI40+AJ40-AM40)+(AN40+AO40-AR40)+(AS40+AT40-AW40)+(AX40+AY40-BB40),2)</f>
        <v>6531.63</v>
      </c>
      <c r="BE40" s="25" t="str">
        <f aca="false">IF(H40&gt;0.005,$C$5,IF(M40&gt;0.005,$C$6,IF(R40&gt;0.005,$C$7,IF(W40&gt;0.005,$C$8,IF(AB40&gt;0.005,$C$9,IF(AG40&gt;0.005,$C$10,IF(AL40&gt;0.005,$C$11,IF(AQ40&gt;0.005,$C$12,IF(AV40&gt;0.005,$C$13,IF(BA40&gt;0.005,$C$14,""))))))))))</f>
        <v>亲友借款（老王）</v>
      </c>
    </row>
    <row r="41" customFormat="false" ht="15" hidden="false" customHeight="false" outlineLevel="0" collapsed="false">
      <c r="A41" s="24" t="n">
        <v>18</v>
      </c>
      <c r="B41" s="54" t="n">
        <f aca="false">EDATE($C$17,A41-1)</f>
        <v>46844</v>
      </c>
      <c r="C41" s="55" t="n">
        <f aca="false">G41+L41+Q41+V41+AA41+AF41+AK41+AP41+AU41+AZ41</f>
        <v>500</v>
      </c>
      <c r="D41" s="55" t="n">
        <f aca="false">MAX(0,$C$16-C41)</f>
        <v>5322</v>
      </c>
      <c r="E41" s="55" t="n">
        <f aca="false">ROUND(MAX(0,E40+F40-I40),2)</f>
        <v>0</v>
      </c>
      <c r="F41" s="55" t="n">
        <f aca="false">ROUND(E41*$E$5/12,2)</f>
        <v>0</v>
      </c>
      <c r="G41" s="55" t="n">
        <f aca="false">MIN($F$5,E41+F41)</f>
        <v>0</v>
      </c>
      <c r="H41" s="55" t="n">
        <f aca="false">MAX(0,MIN(E41+F41-G41,$D41))</f>
        <v>0</v>
      </c>
      <c r="I41" s="55" t="n">
        <f aca="false">G41+H41</f>
        <v>0</v>
      </c>
      <c r="J41" s="55" t="n">
        <f aca="false">ROUND(MAX(0,J40+K40-N40),2)</f>
        <v>0</v>
      </c>
      <c r="K41" s="55" t="n">
        <f aca="false">ROUND(J41*$E$6/12,2)</f>
        <v>0</v>
      </c>
      <c r="L41" s="55" t="n">
        <f aca="false">MIN($F$6,J41+K41)</f>
        <v>0</v>
      </c>
      <c r="M41" s="55" t="n">
        <f aca="false">MAX(0,MIN(J41+K41-L41,$D41-(H41)))</f>
        <v>0</v>
      </c>
      <c r="N41" s="55" t="n">
        <f aca="false">L41+M41</f>
        <v>0</v>
      </c>
      <c r="O41" s="55" t="n">
        <f aca="false">ROUND(MAX(0,O40+P40-S40),2)</f>
        <v>0</v>
      </c>
      <c r="P41" s="55" t="n">
        <f aca="false">ROUND(O41*$E$7/12,2)</f>
        <v>0</v>
      </c>
      <c r="Q41" s="55" t="n">
        <f aca="false">MIN($F$7,O41+P41)</f>
        <v>0</v>
      </c>
      <c r="R41" s="55" t="n">
        <f aca="false">MAX(0,MIN(O41+P41-Q41,$D41-(H41+M41)))</f>
        <v>0</v>
      </c>
      <c r="S41" s="55" t="n">
        <f aca="false">Q41+R41</f>
        <v>0</v>
      </c>
      <c r="T41" s="55" t="n">
        <f aca="false">ROUND(MAX(0,T40+U40-X40),2)</f>
        <v>6531.63</v>
      </c>
      <c r="U41" s="55" t="n">
        <f aca="false">ROUND(T41*$E$8/12,2)</f>
        <v>0</v>
      </c>
      <c r="V41" s="55" t="n">
        <f aca="false">MIN($F$8,T41+U41)</f>
        <v>500</v>
      </c>
      <c r="W41" s="55" t="n">
        <f aca="false">MAX(0,MIN(T41+U41-V41,$D41-(H41+M41+R41)))</f>
        <v>5322</v>
      </c>
      <c r="X41" s="55" t="n">
        <f aca="false">V41+W41</f>
        <v>5822</v>
      </c>
      <c r="Y41" s="55" t="n">
        <f aca="false">ROUND(MAX(0,Y40+Z40-AC40),2)</f>
        <v>0</v>
      </c>
      <c r="Z41" s="55" t="n">
        <f aca="false">ROUND(Y41*$E$9/12,2)</f>
        <v>0</v>
      </c>
      <c r="AA41" s="55" t="n">
        <f aca="false">MIN($F$9,Y41+Z41)</f>
        <v>0</v>
      </c>
      <c r="AB41" s="55" t="n">
        <f aca="false">MAX(0,MIN(Y41+Z41-AA41,$D41-(H41+M41+R41+W41)))</f>
        <v>0</v>
      </c>
      <c r="AC41" s="55" t="n">
        <f aca="false">AA41+AB41</f>
        <v>0</v>
      </c>
      <c r="AD41" s="55" t="n">
        <f aca="false">ROUND(MAX(0,AD40+AE40-AH40),2)</f>
        <v>0</v>
      </c>
      <c r="AE41" s="55" t="n">
        <f aca="false">ROUND(AD41*$E$10/12,2)</f>
        <v>0</v>
      </c>
      <c r="AF41" s="55" t="n">
        <f aca="false">MIN($F$10,AD41+AE41)</f>
        <v>0</v>
      </c>
      <c r="AG41" s="55" t="n">
        <f aca="false">MAX(0,MIN(AD41+AE41-AF41,$D41-(H41+M41+R41+W41+AB41)))</f>
        <v>0</v>
      </c>
      <c r="AH41" s="55" t="n">
        <f aca="false">AF41+AG41</f>
        <v>0</v>
      </c>
      <c r="AI41" s="55" t="n">
        <f aca="false">ROUND(MAX(0,AI40+AJ40-AM40),2)</f>
        <v>0</v>
      </c>
      <c r="AJ41" s="55" t="n">
        <f aca="false">ROUND(AI41*$E$11/12,2)</f>
        <v>0</v>
      </c>
      <c r="AK41" s="55" t="n">
        <f aca="false">MIN($F$11,AI41+AJ41)</f>
        <v>0</v>
      </c>
      <c r="AL41" s="55" t="n">
        <f aca="false">MAX(0,MIN(AI41+AJ41-AK41,$D41-(H41+M41+R41+W41+AB41+AG41)))</f>
        <v>0</v>
      </c>
      <c r="AM41" s="55" t="n">
        <f aca="false">AK41+AL41</f>
        <v>0</v>
      </c>
      <c r="AN41" s="55" t="n">
        <f aca="false">ROUND(MAX(0,AN40+AO40-AR40),2)</f>
        <v>0</v>
      </c>
      <c r="AO41" s="55" t="n">
        <f aca="false">ROUND(AN41*$E$12/12,2)</f>
        <v>0</v>
      </c>
      <c r="AP41" s="55" t="n">
        <f aca="false">MIN($F$12,AN41+AO41)</f>
        <v>0</v>
      </c>
      <c r="AQ41" s="55" t="n">
        <f aca="false">MAX(0,MIN(AN41+AO41-AP41,$D41-(H41+M41+R41+W41+AB41+AG41+AL41)))</f>
        <v>0</v>
      </c>
      <c r="AR41" s="55" t="n">
        <f aca="false">AP41+AQ41</f>
        <v>0</v>
      </c>
      <c r="AS41" s="55" t="n">
        <f aca="false">ROUND(MAX(0,AS40+AT40-AW40),2)</f>
        <v>0</v>
      </c>
      <c r="AT41" s="55" t="n">
        <f aca="false">ROUND(AS41*$E$13/12,2)</f>
        <v>0</v>
      </c>
      <c r="AU41" s="55" t="n">
        <f aca="false">MIN($F$13,AS41+AT41)</f>
        <v>0</v>
      </c>
      <c r="AV41" s="55" t="n">
        <f aca="false">MAX(0,MIN(AS41+AT41-AU41,$D41-(H41+M41+R41+W41+AB41+AG41+AL41+AQ41)))</f>
        <v>0</v>
      </c>
      <c r="AW41" s="55" t="n">
        <f aca="false">AU41+AV41</f>
        <v>0</v>
      </c>
      <c r="AX41" s="55" t="n">
        <f aca="false">ROUND(MAX(0,AX40+AY40-BB40),2)</f>
        <v>0</v>
      </c>
      <c r="AY41" s="55" t="n">
        <f aca="false">ROUND(AX41*$E$14/12,2)</f>
        <v>0</v>
      </c>
      <c r="AZ41" s="55" t="n">
        <f aca="false">MIN($F$14,AX41+AY41)</f>
        <v>0</v>
      </c>
      <c r="BA41" s="55" t="n">
        <f aca="false">MAX(0,MIN(AX41+AY41-AZ41,$D41-(H41+M41+R41+W41+AB41+AG41+AL41+AQ41+AV41)))</f>
        <v>0</v>
      </c>
      <c r="BB41" s="55" t="n">
        <f aca="false">AZ41+BA41</f>
        <v>0</v>
      </c>
      <c r="BC41" s="55" t="n">
        <f aca="false">I41+N41+S41+X41+AC41+AH41+AM41+AR41+AW41+BB41</f>
        <v>5822</v>
      </c>
      <c r="BD41" s="55" t="n">
        <f aca="false">ROUND((E41+F41-I41)+(J41+K41-N41)+(O41+P41-S41)+(T41+U41-X41)+(Y41+Z41-AC41)+(AD41+AE41-AH41)+(AI41+AJ41-AM41)+(AN41+AO41-AR41)+(AS41+AT41-AW41)+(AX41+AY41-BB41),2)</f>
        <v>709.63</v>
      </c>
      <c r="BE41" s="25" t="str">
        <f aca="false">IF(H41&gt;0.005,$C$5,IF(M41&gt;0.005,$C$6,IF(R41&gt;0.005,$C$7,IF(W41&gt;0.005,$C$8,IF(AB41&gt;0.005,$C$9,IF(AG41&gt;0.005,$C$10,IF(AL41&gt;0.005,$C$11,IF(AQ41&gt;0.005,$C$12,IF(AV41&gt;0.005,$C$13,IF(BA41&gt;0.005,$C$14,""))))))))))</f>
        <v>亲友借款（老王）</v>
      </c>
    </row>
    <row r="42" customFormat="false" ht="15" hidden="false" customHeight="false" outlineLevel="0" collapsed="false">
      <c r="A42" s="24" t="n">
        <v>19</v>
      </c>
      <c r="B42" s="54" t="n">
        <f aca="false">EDATE($C$17,A42-1)</f>
        <v>46874</v>
      </c>
      <c r="C42" s="55" t="n">
        <f aca="false">G42+L42+Q42+V42+AA42+AF42+AK42+AP42+AU42+AZ42</f>
        <v>500</v>
      </c>
      <c r="D42" s="55" t="n">
        <f aca="false">MAX(0,$C$16-C42)</f>
        <v>5322</v>
      </c>
      <c r="E42" s="55" t="n">
        <f aca="false">ROUND(MAX(0,E41+F41-I41),2)</f>
        <v>0</v>
      </c>
      <c r="F42" s="55" t="n">
        <f aca="false">ROUND(E42*$E$5/12,2)</f>
        <v>0</v>
      </c>
      <c r="G42" s="55" t="n">
        <f aca="false">MIN($F$5,E42+F42)</f>
        <v>0</v>
      </c>
      <c r="H42" s="55" t="n">
        <f aca="false">MAX(0,MIN(E42+F42-G42,$D42))</f>
        <v>0</v>
      </c>
      <c r="I42" s="55" t="n">
        <f aca="false">G42+H42</f>
        <v>0</v>
      </c>
      <c r="J42" s="55" t="n">
        <f aca="false">ROUND(MAX(0,J41+K41-N41),2)</f>
        <v>0</v>
      </c>
      <c r="K42" s="55" t="n">
        <f aca="false">ROUND(J42*$E$6/12,2)</f>
        <v>0</v>
      </c>
      <c r="L42" s="55" t="n">
        <f aca="false">MIN($F$6,J42+K42)</f>
        <v>0</v>
      </c>
      <c r="M42" s="55" t="n">
        <f aca="false">MAX(0,MIN(J42+K42-L42,$D42-(H42)))</f>
        <v>0</v>
      </c>
      <c r="N42" s="55" t="n">
        <f aca="false">L42+M42</f>
        <v>0</v>
      </c>
      <c r="O42" s="55" t="n">
        <f aca="false">ROUND(MAX(0,O41+P41-S41),2)</f>
        <v>0</v>
      </c>
      <c r="P42" s="55" t="n">
        <f aca="false">ROUND(O42*$E$7/12,2)</f>
        <v>0</v>
      </c>
      <c r="Q42" s="55" t="n">
        <f aca="false">MIN($F$7,O42+P42)</f>
        <v>0</v>
      </c>
      <c r="R42" s="55" t="n">
        <f aca="false">MAX(0,MIN(O42+P42-Q42,$D42-(H42+M42)))</f>
        <v>0</v>
      </c>
      <c r="S42" s="55" t="n">
        <f aca="false">Q42+R42</f>
        <v>0</v>
      </c>
      <c r="T42" s="55" t="n">
        <f aca="false">ROUND(MAX(0,T41+U41-X41),2)</f>
        <v>709.63</v>
      </c>
      <c r="U42" s="55" t="n">
        <f aca="false">ROUND(T42*$E$8/12,2)</f>
        <v>0</v>
      </c>
      <c r="V42" s="55" t="n">
        <f aca="false">MIN($F$8,T42+U42)</f>
        <v>500</v>
      </c>
      <c r="W42" s="55" t="n">
        <f aca="false">MAX(0,MIN(T42+U42-V42,$D42-(H42+M42+R42)))</f>
        <v>209.63</v>
      </c>
      <c r="X42" s="55" t="n">
        <f aca="false">V42+W42</f>
        <v>709.63</v>
      </c>
      <c r="Y42" s="55" t="n">
        <f aca="false">ROUND(MAX(0,Y41+Z41-AC41),2)</f>
        <v>0</v>
      </c>
      <c r="Z42" s="55" t="n">
        <f aca="false">ROUND(Y42*$E$9/12,2)</f>
        <v>0</v>
      </c>
      <c r="AA42" s="55" t="n">
        <f aca="false">MIN($F$9,Y42+Z42)</f>
        <v>0</v>
      </c>
      <c r="AB42" s="55" t="n">
        <f aca="false">MAX(0,MIN(Y42+Z42-AA42,$D42-(H42+M42+R42+W42)))</f>
        <v>0</v>
      </c>
      <c r="AC42" s="55" t="n">
        <f aca="false">AA42+AB42</f>
        <v>0</v>
      </c>
      <c r="AD42" s="55" t="n">
        <f aca="false">ROUND(MAX(0,AD41+AE41-AH41),2)</f>
        <v>0</v>
      </c>
      <c r="AE42" s="55" t="n">
        <f aca="false">ROUND(AD42*$E$10/12,2)</f>
        <v>0</v>
      </c>
      <c r="AF42" s="55" t="n">
        <f aca="false">MIN($F$10,AD42+AE42)</f>
        <v>0</v>
      </c>
      <c r="AG42" s="55" t="n">
        <f aca="false">MAX(0,MIN(AD42+AE42-AF42,$D42-(H42+M42+R42+W42+AB42)))</f>
        <v>0</v>
      </c>
      <c r="AH42" s="55" t="n">
        <f aca="false">AF42+AG42</f>
        <v>0</v>
      </c>
      <c r="AI42" s="55" t="n">
        <f aca="false">ROUND(MAX(0,AI41+AJ41-AM41),2)</f>
        <v>0</v>
      </c>
      <c r="AJ42" s="55" t="n">
        <f aca="false">ROUND(AI42*$E$11/12,2)</f>
        <v>0</v>
      </c>
      <c r="AK42" s="55" t="n">
        <f aca="false">MIN($F$11,AI42+AJ42)</f>
        <v>0</v>
      </c>
      <c r="AL42" s="55" t="n">
        <f aca="false">MAX(0,MIN(AI42+AJ42-AK42,$D42-(H42+M42+R42+W42+AB42+AG42)))</f>
        <v>0</v>
      </c>
      <c r="AM42" s="55" t="n">
        <f aca="false">AK42+AL42</f>
        <v>0</v>
      </c>
      <c r="AN42" s="55" t="n">
        <f aca="false">ROUND(MAX(0,AN41+AO41-AR41),2)</f>
        <v>0</v>
      </c>
      <c r="AO42" s="55" t="n">
        <f aca="false">ROUND(AN42*$E$12/12,2)</f>
        <v>0</v>
      </c>
      <c r="AP42" s="55" t="n">
        <f aca="false">MIN($F$12,AN42+AO42)</f>
        <v>0</v>
      </c>
      <c r="AQ42" s="55" t="n">
        <f aca="false">MAX(0,MIN(AN42+AO42-AP42,$D42-(H42+M42+R42+W42+AB42+AG42+AL42)))</f>
        <v>0</v>
      </c>
      <c r="AR42" s="55" t="n">
        <f aca="false">AP42+AQ42</f>
        <v>0</v>
      </c>
      <c r="AS42" s="55" t="n">
        <f aca="false">ROUND(MAX(0,AS41+AT41-AW41),2)</f>
        <v>0</v>
      </c>
      <c r="AT42" s="55" t="n">
        <f aca="false">ROUND(AS42*$E$13/12,2)</f>
        <v>0</v>
      </c>
      <c r="AU42" s="55" t="n">
        <f aca="false">MIN($F$13,AS42+AT42)</f>
        <v>0</v>
      </c>
      <c r="AV42" s="55" t="n">
        <f aca="false">MAX(0,MIN(AS42+AT42-AU42,$D42-(H42+M42+R42+W42+AB42+AG42+AL42+AQ42)))</f>
        <v>0</v>
      </c>
      <c r="AW42" s="55" t="n">
        <f aca="false">AU42+AV42</f>
        <v>0</v>
      </c>
      <c r="AX42" s="55" t="n">
        <f aca="false">ROUND(MAX(0,AX41+AY41-BB41),2)</f>
        <v>0</v>
      </c>
      <c r="AY42" s="55" t="n">
        <f aca="false">ROUND(AX42*$E$14/12,2)</f>
        <v>0</v>
      </c>
      <c r="AZ42" s="55" t="n">
        <f aca="false">MIN($F$14,AX42+AY42)</f>
        <v>0</v>
      </c>
      <c r="BA42" s="55" t="n">
        <f aca="false">MAX(0,MIN(AX42+AY42-AZ42,$D42-(H42+M42+R42+W42+AB42+AG42+AL42+AQ42+AV42)))</f>
        <v>0</v>
      </c>
      <c r="BB42" s="55" t="n">
        <f aca="false">AZ42+BA42</f>
        <v>0</v>
      </c>
      <c r="BC42" s="55" t="n">
        <f aca="false">I42+N42+S42+X42+AC42+AH42+AM42+AR42+AW42+BB42</f>
        <v>709.63</v>
      </c>
      <c r="BD42" s="55" t="n">
        <f aca="false">ROUND((E42+F42-I42)+(J42+K42-N42)+(O42+P42-S42)+(T42+U42-X42)+(Y42+Z42-AC42)+(AD42+AE42-AH42)+(AI42+AJ42-AM42)+(AN42+AO42-AR42)+(AS42+AT42-AW42)+(AX42+AY42-BB42),2)</f>
        <v>0</v>
      </c>
      <c r="BE42" s="25" t="str">
        <f aca="false">IF(H42&gt;0.005,$C$5,IF(M42&gt;0.005,$C$6,IF(R42&gt;0.005,$C$7,IF(W42&gt;0.005,$C$8,IF(AB42&gt;0.005,$C$9,IF(AG42&gt;0.005,$C$10,IF(AL42&gt;0.005,$C$11,IF(AQ42&gt;0.005,$C$12,IF(AV42&gt;0.005,$C$13,IF(BA42&gt;0.005,$C$14,""))))))))))</f>
        <v>亲友借款（老王）</v>
      </c>
    </row>
    <row r="43" customFormat="false" ht="15" hidden="false" customHeight="false" outlineLevel="0" collapsed="false">
      <c r="A43" s="24" t="n">
        <v>20</v>
      </c>
      <c r="B43" s="54" t="n">
        <f aca="false">EDATE($C$17,A43-1)</f>
        <v>46905</v>
      </c>
      <c r="C43" s="55" t="n">
        <f aca="false">G43+L43+Q43+V43+AA43+AF43+AK43+AP43+AU43+AZ43</f>
        <v>0</v>
      </c>
      <c r="D43" s="55" t="n">
        <f aca="false">MAX(0,$C$16-C43)</f>
        <v>5822</v>
      </c>
      <c r="E43" s="55" t="n">
        <f aca="false">ROUND(MAX(0,E42+F42-I42),2)</f>
        <v>0</v>
      </c>
      <c r="F43" s="55" t="n">
        <f aca="false">ROUND(E43*$E$5/12,2)</f>
        <v>0</v>
      </c>
      <c r="G43" s="55" t="n">
        <f aca="false">MIN($F$5,E43+F43)</f>
        <v>0</v>
      </c>
      <c r="H43" s="55" t="n">
        <f aca="false">MAX(0,MIN(E43+F43-G43,$D43))</f>
        <v>0</v>
      </c>
      <c r="I43" s="55" t="n">
        <f aca="false">G43+H43</f>
        <v>0</v>
      </c>
      <c r="J43" s="55" t="n">
        <f aca="false">ROUND(MAX(0,J42+K42-N42),2)</f>
        <v>0</v>
      </c>
      <c r="K43" s="55" t="n">
        <f aca="false">ROUND(J43*$E$6/12,2)</f>
        <v>0</v>
      </c>
      <c r="L43" s="55" t="n">
        <f aca="false">MIN($F$6,J43+K43)</f>
        <v>0</v>
      </c>
      <c r="M43" s="55" t="n">
        <f aca="false">MAX(0,MIN(J43+K43-L43,$D43-(H43)))</f>
        <v>0</v>
      </c>
      <c r="N43" s="55" t="n">
        <f aca="false">L43+M43</f>
        <v>0</v>
      </c>
      <c r="O43" s="55" t="n">
        <f aca="false">ROUND(MAX(0,O42+P42-S42),2)</f>
        <v>0</v>
      </c>
      <c r="P43" s="55" t="n">
        <f aca="false">ROUND(O43*$E$7/12,2)</f>
        <v>0</v>
      </c>
      <c r="Q43" s="55" t="n">
        <f aca="false">MIN($F$7,O43+P43)</f>
        <v>0</v>
      </c>
      <c r="R43" s="55" t="n">
        <f aca="false">MAX(0,MIN(O43+P43-Q43,$D43-(H43+M43)))</f>
        <v>0</v>
      </c>
      <c r="S43" s="55" t="n">
        <f aca="false">Q43+R43</f>
        <v>0</v>
      </c>
      <c r="T43" s="55" t="n">
        <f aca="false">ROUND(MAX(0,T42+U42-X42),2)</f>
        <v>0</v>
      </c>
      <c r="U43" s="55" t="n">
        <f aca="false">ROUND(T43*$E$8/12,2)</f>
        <v>0</v>
      </c>
      <c r="V43" s="55" t="n">
        <f aca="false">MIN($F$8,T43+U43)</f>
        <v>0</v>
      </c>
      <c r="W43" s="55" t="n">
        <f aca="false">MAX(0,MIN(T43+U43-V43,$D43-(H43+M43+R43)))</f>
        <v>0</v>
      </c>
      <c r="X43" s="55" t="n">
        <f aca="false">V43+W43</f>
        <v>0</v>
      </c>
      <c r="Y43" s="55" t="n">
        <f aca="false">ROUND(MAX(0,Y42+Z42-AC42),2)</f>
        <v>0</v>
      </c>
      <c r="Z43" s="55" t="n">
        <f aca="false">ROUND(Y43*$E$9/12,2)</f>
        <v>0</v>
      </c>
      <c r="AA43" s="55" t="n">
        <f aca="false">MIN($F$9,Y43+Z43)</f>
        <v>0</v>
      </c>
      <c r="AB43" s="55" t="n">
        <f aca="false">MAX(0,MIN(Y43+Z43-AA43,$D43-(H43+M43+R43+W43)))</f>
        <v>0</v>
      </c>
      <c r="AC43" s="55" t="n">
        <f aca="false">AA43+AB43</f>
        <v>0</v>
      </c>
      <c r="AD43" s="55" t="n">
        <f aca="false">ROUND(MAX(0,AD42+AE42-AH42),2)</f>
        <v>0</v>
      </c>
      <c r="AE43" s="55" t="n">
        <f aca="false">ROUND(AD43*$E$10/12,2)</f>
        <v>0</v>
      </c>
      <c r="AF43" s="55" t="n">
        <f aca="false">MIN($F$10,AD43+AE43)</f>
        <v>0</v>
      </c>
      <c r="AG43" s="55" t="n">
        <f aca="false">MAX(0,MIN(AD43+AE43-AF43,$D43-(H43+M43+R43+W43+AB43)))</f>
        <v>0</v>
      </c>
      <c r="AH43" s="55" t="n">
        <f aca="false">AF43+AG43</f>
        <v>0</v>
      </c>
      <c r="AI43" s="55" t="n">
        <f aca="false">ROUND(MAX(0,AI42+AJ42-AM42),2)</f>
        <v>0</v>
      </c>
      <c r="AJ43" s="55" t="n">
        <f aca="false">ROUND(AI43*$E$11/12,2)</f>
        <v>0</v>
      </c>
      <c r="AK43" s="55" t="n">
        <f aca="false">MIN($F$11,AI43+AJ43)</f>
        <v>0</v>
      </c>
      <c r="AL43" s="55" t="n">
        <f aca="false">MAX(0,MIN(AI43+AJ43-AK43,$D43-(H43+M43+R43+W43+AB43+AG43)))</f>
        <v>0</v>
      </c>
      <c r="AM43" s="55" t="n">
        <f aca="false">AK43+AL43</f>
        <v>0</v>
      </c>
      <c r="AN43" s="55" t="n">
        <f aca="false">ROUND(MAX(0,AN42+AO42-AR42),2)</f>
        <v>0</v>
      </c>
      <c r="AO43" s="55" t="n">
        <f aca="false">ROUND(AN43*$E$12/12,2)</f>
        <v>0</v>
      </c>
      <c r="AP43" s="55" t="n">
        <f aca="false">MIN($F$12,AN43+AO43)</f>
        <v>0</v>
      </c>
      <c r="AQ43" s="55" t="n">
        <f aca="false">MAX(0,MIN(AN43+AO43-AP43,$D43-(H43+M43+R43+W43+AB43+AG43+AL43)))</f>
        <v>0</v>
      </c>
      <c r="AR43" s="55" t="n">
        <f aca="false">AP43+AQ43</f>
        <v>0</v>
      </c>
      <c r="AS43" s="55" t="n">
        <f aca="false">ROUND(MAX(0,AS42+AT42-AW42),2)</f>
        <v>0</v>
      </c>
      <c r="AT43" s="55" t="n">
        <f aca="false">ROUND(AS43*$E$13/12,2)</f>
        <v>0</v>
      </c>
      <c r="AU43" s="55" t="n">
        <f aca="false">MIN($F$13,AS43+AT43)</f>
        <v>0</v>
      </c>
      <c r="AV43" s="55" t="n">
        <f aca="false">MAX(0,MIN(AS43+AT43-AU43,$D43-(H43+M43+R43+W43+AB43+AG43+AL43+AQ43)))</f>
        <v>0</v>
      </c>
      <c r="AW43" s="55" t="n">
        <f aca="false">AU43+AV43</f>
        <v>0</v>
      </c>
      <c r="AX43" s="55" t="n">
        <f aca="false">ROUND(MAX(0,AX42+AY42-BB42),2)</f>
        <v>0</v>
      </c>
      <c r="AY43" s="55" t="n">
        <f aca="false">ROUND(AX43*$E$14/12,2)</f>
        <v>0</v>
      </c>
      <c r="AZ43" s="55" t="n">
        <f aca="false">MIN($F$14,AX43+AY43)</f>
        <v>0</v>
      </c>
      <c r="BA43" s="55" t="n">
        <f aca="false">MAX(0,MIN(AX43+AY43-AZ43,$D43-(H43+M43+R43+W43+AB43+AG43+AL43+AQ43+AV43)))</f>
        <v>0</v>
      </c>
      <c r="BB43" s="55" t="n">
        <f aca="false">AZ43+BA43</f>
        <v>0</v>
      </c>
      <c r="BC43" s="55" t="n">
        <f aca="false">I43+N43+S43+X43+AC43+AH43+AM43+AR43+AW43+BB43</f>
        <v>0</v>
      </c>
      <c r="BD43" s="55" t="n">
        <f aca="false">ROUND((E43+F43-I43)+(J43+K43-N43)+(O43+P43-S43)+(T43+U43-X43)+(Y43+Z43-AC43)+(AD43+AE43-AH43)+(AI43+AJ43-AM43)+(AN43+AO43-AR43)+(AS43+AT43-AW43)+(AX43+AY43-BB43),2)</f>
        <v>0</v>
      </c>
      <c r="BE43" s="25" t="str">
        <f aca="false">IF(H43&gt;0.005,$C$5,IF(M43&gt;0.005,$C$6,IF(R43&gt;0.005,$C$7,IF(W43&gt;0.005,$C$8,IF(AB43&gt;0.005,$C$9,IF(AG43&gt;0.005,$C$10,IF(AL43&gt;0.005,$C$11,IF(AQ43&gt;0.005,$C$12,IF(AV43&gt;0.005,$C$13,IF(BA43&gt;0.005,$C$14,""))))))))))</f>
        <v/>
      </c>
    </row>
    <row r="44" customFormat="false" ht="15" hidden="false" customHeight="false" outlineLevel="0" collapsed="false">
      <c r="A44" s="24" t="n">
        <v>21</v>
      </c>
      <c r="B44" s="54" t="n">
        <f aca="false">EDATE($C$17,A44-1)</f>
        <v>46935</v>
      </c>
      <c r="C44" s="55" t="n">
        <f aca="false">G44+L44+Q44+V44+AA44+AF44+AK44+AP44+AU44+AZ44</f>
        <v>0</v>
      </c>
      <c r="D44" s="55" t="n">
        <f aca="false">MAX(0,$C$16-C44)</f>
        <v>5822</v>
      </c>
      <c r="E44" s="55" t="n">
        <f aca="false">ROUND(MAX(0,E43+F43-I43),2)</f>
        <v>0</v>
      </c>
      <c r="F44" s="55" t="n">
        <f aca="false">ROUND(E44*$E$5/12,2)</f>
        <v>0</v>
      </c>
      <c r="G44" s="55" t="n">
        <f aca="false">MIN($F$5,E44+F44)</f>
        <v>0</v>
      </c>
      <c r="H44" s="55" t="n">
        <f aca="false">MAX(0,MIN(E44+F44-G44,$D44))</f>
        <v>0</v>
      </c>
      <c r="I44" s="55" t="n">
        <f aca="false">G44+H44</f>
        <v>0</v>
      </c>
      <c r="J44" s="55" t="n">
        <f aca="false">ROUND(MAX(0,J43+K43-N43),2)</f>
        <v>0</v>
      </c>
      <c r="K44" s="55" t="n">
        <f aca="false">ROUND(J44*$E$6/12,2)</f>
        <v>0</v>
      </c>
      <c r="L44" s="55" t="n">
        <f aca="false">MIN($F$6,J44+K44)</f>
        <v>0</v>
      </c>
      <c r="M44" s="55" t="n">
        <f aca="false">MAX(0,MIN(J44+K44-L44,$D44-(H44)))</f>
        <v>0</v>
      </c>
      <c r="N44" s="55" t="n">
        <f aca="false">L44+M44</f>
        <v>0</v>
      </c>
      <c r="O44" s="55" t="n">
        <f aca="false">ROUND(MAX(0,O43+P43-S43),2)</f>
        <v>0</v>
      </c>
      <c r="P44" s="55" t="n">
        <f aca="false">ROUND(O44*$E$7/12,2)</f>
        <v>0</v>
      </c>
      <c r="Q44" s="55" t="n">
        <f aca="false">MIN($F$7,O44+P44)</f>
        <v>0</v>
      </c>
      <c r="R44" s="55" t="n">
        <f aca="false">MAX(0,MIN(O44+P44-Q44,$D44-(H44+M44)))</f>
        <v>0</v>
      </c>
      <c r="S44" s="55" t="n">
        <f aca="false">Q44+R44</f>
        <v>0</v>
      </c>
      <c r="T44" s="55" t="n">
        <f aca="false">ROUND(MAX(0,T43+U43-X43),2)</f>
        <v>0</v>
      </c>
      <c r="U44" s="55" t="n">
        <f aca="false">ROUND(T44*$E$8/12,2)</f>
        <v>0</v>
      </c>
      <c r="V44" s="55" t="n">
        <f aca="false">MIN($F$8,T44+U44)</f>
        <v>0</v>
      </c>
      <c r="W44" s="55" t="n">
        <f aca="false">MAX(0,MIN(T44+U44-V44,$D44-(H44+M44+R44)))</f>
        <v>0</v>
      </c>
      <c r="X44" s="55" t="n">
        <f aca="false">V44+W44</f>
        <v>0</v>
      </c>
      <c r="Y44" s="55" t="n">
        <f aca="false">ROUND(MAX(0,Y43+Z43-AC43),2)</f>
        <v>0</v>
      </c>
      <c r="Z44" s="55" t="n">
        <f aca="false">ROUND(Y44*$E$9/12,2)</f>
        <v>0</v>
      </c>
      <c r="AA44" s="55" t="n">
        <f aca="false">MIN($F$9,Y44+Z44)</f>
        <v>0</v>
      </c>
      <c r="AB44" s="55" t="n">
        <f aca="false">MAX(0,MIN(Y44+Z44-AA44,$D44-(H44+M44+R44+W44)))</f>
        <v>0</v>
      </c>
      <c r="AC44" s="55" t="n">
        <f aca="false">AA44+AB44</f>
        <v>0</v>
      </c>
      <c r="AD44" s="55" t="n">
        <f aca="false">ROUND(MAX(0,AD43+AE43-AH43),2)</f>
        <v>0</v>
      </c>
      <c r="AE44" s="55" t="n">
        <f aca="false">ROUND(AD44*$E$10/12,2)</f>
        <v>0</v>
      </c>
      <c r="AF44" s="55" t="n">
        <f aca="false">MIN($F$10,AD44+AE44)</f>
        <v>0</v>
      </c>
      <c r="AG44" s="55" t="n">
        <f aca="false">MAX(0,MIN(AD44+AE44-AF44,$D44-(H44+M44+R44+W44+AB44)))</f>
        <v>0</v>
      </c>
      <c r="AH44" s="55" t="n">
        <f aca="false">AF44+AG44</f>
        <v>0</v>
      </c>
      <c r="AI44" s="55" t="n">
        <f aca="false">ROUND(MAX(0,AI43+AJ43-AM43),2)</f>
        <v>0</v>
      </c>
      <c r="AJ44" s="55" t="n">
        <f aca="false">ROUND(AI44*$E$11/12,2)</f>
        <v>0</v>
      </c>
      <c r="AK44" s="55" t="n">
        <f aca="false">MIN($F$11,AI44+AJ44)</f>
        <v>0</v>
      </c>
      <c r="AL44" s="55" t="n">
        <f aca="false">MAX(0,MIN(AI44+AJ44-AK44,$D44-(H44+M44+R44+W44+AB44+AG44)))</f>
        <v>0</v>
      </c>
      <c r="AM44" s="55" t="n">
        <f aca="false">AK44+AL44</f>
        <v>0</v>
      </c>
      <c r="AN44" s="55" t="n">
        <f aca="false">ROUND(MAX(0,AN43+AO43-AR43),2)</f>
        <v>0</v>
      </c>
      <c r="AO44" s="55" t="n">
        <f aca="false">ROUND(AN44*$E$12/12,2)</f>
        <v>0</v>
      </c>
      <c r="AP44" s="55" t="n">
        <f aca="false">MIN($F$12,AN44+AO44)</f>
        <v>0</v>
      </c>
      <c r="AQ44" s="55" t="n">
        <f aca="false">MAX(0,MIN(AN44+AO44-AP44,$D44-(H44+M44+R44+W44+AB44+AG44+AL44)))</f>
        <v>0</v>
      </c>
      <c r="AR44" s="55" t="n">
        <f aca="false">AP44+AQ44</f>
        <v>0</v>
      </c>
      <c r="AS44" s="55" t="n">
        <f aca="false">ROUND(MAX(0,AS43+AT43-AW43),2)</f>
        <v>0</v>
      </c>
      <c r="AT44" s="55" t="n">
        <f aca="false">ROUND(AS44*$E$13/12,2)</f>
        <v>0</v>
      </c>
      <c r="AU44" s="55" t="n">
        <f aca="false">MIN($F$13,AS44+AT44)</f>
        <v>0</v>
      </c>
      <c r="AV44" s="55" t="n">
        <f aca="false">MAX(0,MIN(AS44+AT44-AU44,$D44-(H44+M44+R44+W44+AB44+AG44+AL44+AQ44)))</f>
        <v>0</v>
      </c>
      <c r="AW44" s="55" t="n">
        <f aca="false">AU44+AV44</f>
        <v>0</v>
      </c>
      <c r="AX44" s="55" t="n">
        <f aca="false">ROUND(MAX(0,AX43+AY43-BB43),2)</f>
        <v>0</v>
      </c>
      <c r="AY44" s="55" t="n">
        <f aca="false">ROUND(AX44*$E$14/12,2)</f>
        <v>0</v>
      </c>
      <c r="AZ44" s="55" t="n">
        <f aca="false">MIN($F$14,AX44+AY44)</f>
        <v>0</v>
      </c>
      <c r="BA44" s="55" t="n">
        <f aca="false">MAX(0,MIN(AX44+AY44-AZ44,$D44-(H44+M44+R44+W44+AB44+AG44+AL44+AQ44+AV44)))</f>
        <v>0</v>
      </c>
      <c r="BB44" s="55" t="n">
        <f aca="false">AZ44+BA44</f>
        <v>0</v>
      </c>
      <c r="BC44" s="55" t="n">
        <f aca="false">I44+N44+S44+X44+AC44+AH44+AM44+AR44+AW44+BB44</f>
        <v>0</v>
      </c>
      <c r="BD44" s="55" t="n">
        <f aca="false">ROUND((E44+F44-I44)+(J44+K44-N44)+(O44+P44-S44)+(T44+U44-X44)+(Y44+Z44-AC44)+(AD44+AE44-AH44)+(AI44+AJ44-AM44)+(AN44+AO44-AR44)+(AS44+AT44-AW44)+(AX44+AY44-BB44),2)</f>
        <v>0</v>
      </c>
      <c r="BE44" s="25" t="str">
        <f aca="false">IF(H44&gt;0.005,$C$5,IF(M44&gt;0.005,$C$6,IF(R44&gt;0.005,$C$7,IF(W44&gt;0.005,$C$8,IF(AB44&gt;0.005,$C$9,IF(AG44&gt;0.005,$C$10,IF(AL44&gt;0.005,$C$11,IF(AQ44&gt;0.005,$C$12,IF(AV44&gt;0.005,$C$13,IF(BA44&gt;0.005,$C$14,""))))))))))</f>
        <v/>
      </c>
    </row>
    <row r="45" customFormat="false" ht="15" hidden="false" customHeight="false" outlineLevel="0" collapsed="false">
      <c r="A45" s="24" t="n">
        <v>22</v>
      </c>
      <c r="B45" s="54" t="n">
        <f aca="false">EDATE($C$17,A45-1)</f>
        <v>46966</v>
      </c>
      <c r="C45" s="55" t="n">
        <f aca="false">G45+L45+Q45+V45+AA45+AF45+AK45+AP45+AU45+AZ45</f>
        <v>0</v>
      </c>
      <c r="D45" s="55" t="n">
        <f aca="false">MAX(0,$C$16-C45)</f>
        <v>5822</v>
      </c>
      <c r="E45" s="55" t="n">
        <f aca="false">ROUND(MAX(0,E44+F44-I44),2)</f>
        <v>0</v>
      </c>
      <c r="F45" s="55" t="n">
        <f aca="false">ROUND(E45*$E$5/12,2)</f>
        <v>0</v>
      </c>
      <c r="G45" s="55" t="n">
        <f aca="false">MIN($F$5,E45+F45)</f>
        <v>0</v>
      </c>
      <c r="H45" s="55" t="n">
        <f aca="false">MAX(0,MIN(E45+F45-G45,$D45))</f>
        <v>0</v>
      </c>
      <c r="I45" s="55" t="n">
        <f aca="false">G45+H45</f>
        <v>0</v>
      </c>
      <c r="J45" s="55" t="n">
        <f aca="false">ROUND(MAX(0,J44+K44-N44),2)</f>
        <v>0</v>
      </c>
      <c r="K45" s="55" t="n">
        <f aca="false">ROUND(J45*$E$6/12,2)</f>
        <v>0</v>
      </c>
      <c r="L45" s="55" t="n">
        <f aca="false">MIN($F$6,J45+K45)</f>
        <v>0</v>
      </c>
      <c r="M45" s="55" t="n">
        <f aca="false">MAX(0,MIN(J45+K45-L45,$D45-(H45)))</f>
        <v>0</v>
      </c>
      <c r="N45" s="55" t="n">
        <f aca="false">L45+M45</f>
        <v>0</v>
      </c>
      <c r="O45" s="55" t="n">
        <f aca="false">ROUND(MAX(0,O44+P44-S44),2)</f>
        <v>0</v>
      </c>
      <c r="P45" s="55" t="n">
        <f aca="false">ROUND(O45*$E$7/12,2)</f>
        <v>0</v>
      </c>
      <c r="Q45" s="55" t="n">
        <f aca="false">MIN($F$7,O45+P45)</f>
        <v>0</v>
      </c>
      <c r="R45" s="55" t="n">
        <f aca="false">MAX(0,MIN(O45+P45-Q45,$D45-(H45+M45)))</f>
        <v>0</v>
      </c>
      <c r="S45" s="55" t="n">
        <f aca="false">Q45+R45</f>
        <v>0</v>
      </c>
      <c r="T45" s="55" t="n">
        <f aca="false">ROUND(MAX(0,T44+U44-X44),2)</f>
        <v>0</v>
      </c>
      <c r="U45" s="55" t="n">
        <f aca="false">ROUND(T45*$E$8/12,2)</f>
        <v>0</v>
      </c>
      <c r="V45" s="55" t="n">
        <f aca="false">MIN($F$8,T45+U45)</f>
        <v>0</v>
      </c>
      <c r="W45" s="55" t="n">
        <f aca="false">MAX(0,MIN(T45+U45-V45,$D45-(H45+M45+R45)))</f>
        <v>0</v>
      </c>
      <c r="X45" s="55" t="n">
        <f aca="false">V45+W45</f>
        <v>0</v>
      </c>
      <c r="Y45" s="55" t="n">
        <f aca="false">ROUND(MAX(0,Y44+Z44-AC44),2)</f>
        <v>0</v>
      </c>
      <c r="Z45" s="55" t="n">
        <f aca="false">ROUND(Y45*$E$9/12,2)</f>
        <v>0</v>
      </c>
      <c r="AA45" s="55" t="n">
        <f aca="false">MIN($F$9,Y45+Z45)</f>
        <v>0</v>
      </c>
      <c r="AB45" s="55" t="n">
        <f aca="false">MAX(0,MIN(Y45+Z45-AA45,$D45-(H45+M45+R45+W45)))</f>
        <v>0</v>
      </c>
      <c r="AC45" s="55" t="n">
        <f aca="false">AA45+AB45</f>
        <v>0</v>
      </c>
      <c r="AD45" s="55" t="n">
        <f aca="false">ROUND(MAX(0,AD44+AE44-AH44),2)</f>
        <v>0</v>
      </c>
      <c r="AE45" s="55" t="n">
        <f aca="false">ROUND(AD45*$E$10/12,2)</f>
        <v>0</v>
      </c>
      <c r="AF45" s="55" t="n">
        <f aca="false">MIN($F$10,AD45+AE45)</f>
        <v>0</v>
      </c>
      <c r="AG45" s="55" t="n">
        <f aca="false">MAX(0,MIN(AD45+AE45-AF45,$D45-(H45+M45+R45+W45+AB45)))</f>
        <v>0</v>
      </c>
      <c r="AH45" s="55" t="n">
        <f aca="false">AF45+AG45</f>
        <v>0</v>
      </c>
      <c r="AI45" s="55" t="n">
        <f aca="false">ROUND(MAX(0,AI44+AJ44-AM44),2)</f>
        <v>0</v>
      </c>
      <c r="AJ45" s="55" t="n">
        <f aca="false">ROUND(AI45*$E$11/12,2)</f>
        <v>0</v>
      </c>
      <c r="AK45" s="55" t="n">
        <f aca="false">MIN($F$11,AI45+AJ45)</f>
        <v>0</v>
      </c>
      <c r="AL45" s="55" t="n">
        <f aca="false">MAX(0,MIN(AI45+AJ45-AK45,$D45-(H45+M45+R45+W45+AB45+AG45)))</f>
        <v>0</v>
      </c>
      <c r="AM45" s="55" t="n">
        <f aca="false">AK45+AL45</f>
        <v>0</v>
      </c>
      <c r="AN45" s="55" t="n">
        <f aca="false">ROUND(MAX(0,AN44+AO44-AR44),2)</f>
        <v>0</v>
      </c>
      <c r="AO45" s="55" t="n">
        <f aca="false">ROUND(AN45*$E$12/12,2)</f>
        <v>0</v>
      </c>
      <c r="AP45" s="55" t="n">
        <f aca="false">MIN($F$12,AN45+AO45)</f>
        <v>0</v>
      </c>
      <c r="AQ45" s="55" t="n">
        <f aca="false">MAX(0,MIN(AN45+AO45-AP45,$D45-(H45+M45+R45+W45+AB45+AG45+AL45)))</f>
        <v>0</v>
      </c>
      <c r="AR45" s="55" t="n">
        <f aca="false">AP45+AQ45</f>
        <v>0</v>
      </c>
      <c r="AS45" s="55" t="n">
        <f aca="false">ROUND(MAX(0,AS44+AT44-AW44),2)</f>
        <v>0</v>
      </c>
      <c r="AT45" s="55" t="n">
        <f aca="false">ROUND(AS45*$E$13/12,2)</f>
        <v>0</v>
      </c>
      <c r="AU45" s="55" t="n">
        <f aca="false">MIN($F$13,AS45+AT45)</f>
        <v>0</v>
      </c>
      <c r="AV45" s="55" t="n">
        <f aca="false">MAX(0,MIN(AS45+AT45-AU45,$D45-(H45+M45+R45+W45+AB45+AG45+AL45+AQ45)))</f>
        <v>0</v>
      </c>
      <c r="AW45" s="55" t="n">
        <f aca="false">AU45+AV45</f>
        <v>0</v>
      </c>
      <c r="AX45" s="55" t="n">
        <f aca="false">ROUND(MAX(0,AX44+AY44-BB44),2)</f>
        <v>0</v>
      </c>
      <c r="AY45" s="55" t="n">
        <f aca="false">ROUND(AX45*$E$14/12,2)</f>
        <v>0</v>
      </c>
      <c r="AZ45" s="55" t="n">
        <f aca="false">MIN($F$14,AX45+AY45)</f>
        <v>0</v>
      </c>
      <c r="BA45" s="55" t="n">
        <f aca="false">MAX(0,MIN(AX45+AY45-AZ45,$D45-(H45+M45+R45+W45+AB45+AG45+AL45+AQ45+AV45)))</f>
        <v>0</v>
      </c>
      <c r="BB45" s="55" t="n">
        <f aca="false">AZ45+BA45</f>
        <v>0</v>
      </c>
      <c r="BC45" s="55" t="n">
        <f aca="false">I45+N45+S45+X45+AC45+AH45+AM45+AR45+AW45+BB45</f>
        <v>0</v>
      </c>
      <c r="BD45" s="55" t="n">
        <f aca="false">ROUND((E45+F45-I45)+(J45+K45-N45)+(O45+P45-S45)+(T45+U45-X45)+(Y45+Z45-AC45)+(AD45+AE45-AH45)+(AI45+AJ45-AM45)+(AN45+AO45-AR45)+(AS45+AT45-AW45)+(AX45+AY45-BB45),2)</f>
        <v>0</v>
      </c>
      <c r="BE45" s="25" t="str">
        <f aca="false">IF(H45&gt;0.005,$C$5,IF(M45&gt;0.005,$C$6,IF(R45&gt;0.005,$C$7,IF(W45&gt;0.005,$C$8,IF(AB45&gt;0.005,$C$9,IF(AG45&gt;0.005,$C$10,IF(AL45&gt;0.005,$C$11,IF(AQ45&gt;0.005,$C$12,IF(AV45&gt;0.005,$C$13,IF(BA45&gt;0.005,$C$14,""))))))))))</f>
        <v/>
      </c>
    </row>
    <row r="46" customFormat="false" ht="15" hidden="false" customHeight="false" outlineLevel="0" collapsed="false">
      <c r="A46" s="24" t="n">
        <v>23</v>
      </c>
      <c r="B46" s="54" t="n">
        <f aca="false">EDATE($C$17,A46-1)</f>
        <v>46997</v>
      </c>
      <c r="C46" s="55" t="n">
        <f aca="false">G46+L46+Q46+V46+AA46+AF46+AK46+AP46+AU46+AZ46</f>
        <v>0</v>
      </c>
      <c r="D46" s="55" t="n">
        <f aca="false">MAX(0,$C$16-C46)</f>
        <v>5822</v>
      </c>
      <c r="E46" s="55" t="n">
        <f aca="false">ROUND(MAX(0,E45+F45-I45),2)</f>
        <v>0</v>
      </c>
      <c r="F46" s="55" t="n">
        <f aca="false">ROUND(E46*$E$5/12,2)</f>
        <v>0</v>
      </c>
      <c r="G46" s="55" t="n">
        <f aca="false">MIN($F$5,E46+F46)</f>
        <v>0</v>
      </c>
      <c r="H46" s="55" t="n">
        <f aca="false">MAX(0,MIN(E46+F46-G46,$D46))</f>
        <v>0</v>
      </c>
      <c r="I46" s="55" t="n">
        <f aca="false">G46+H46</f>
        <v>0</v>
      </c>
      <c r="J46" s="55" t="n">
        <f aca="false">ROUND(MAX(0,J45+K45-N45),2)</f>
        <v>0</v>
      </c>
      <c r="K46" s="55" t="n">
        <f aca="false">ROUND(J46*$E$6/12,2)</f>
        <v>0</v>
      </c>
      <c r="L46" s="55" t="n">
        <f aca="false">MIN($F$6,J46+K46)</f>
        <v>0</v>
      </c>
      <c r="M46" s="55" t="n">
        <f aca="false">MAX(0,MIN(J46+K46-L46,$D46-(H46)))</f>
        <v>0</v>
      </c>
      <c r="N46" s="55" t="n">
        <f aca="false">L46+M46</f>
        <v>0</v>
      </c>
      <c r="O46" s="55" t="n">
        <f aca="false">ROUND(MAX(0,O45+P45-S45),2)</f>
        <v>0</v>
      </c>
      <c r="P46" s="55" t="n">
        <f aca="false">ROUND(O46*$E$7/12,2)</f>
        <v>0</v>
      </c>
      <c r="Q46" s="55" t="n">
        <f aca="false">MIN($F$7,O46+P46)</f>
        <v>0</v>
      </c>
      <c r="R46" s="55" t="n">
        <f aca="false">MAX(0,MIN(O46+P46-Q46,$D46-(H46+M46)))</f>
        <v>0</v>
      </c>
      <c r="S46" s="55" t="n">
        <f aca="false">Q46+R46</f>
        <v>0</v>
      </c>
      <c r="T46" s="55" t="n">
        <f aca="false">ROUND(MAX(0,T45+U45-X45),2)</f>
        <v>0</v>
      </c>
      <c r="U46" s="55" t="n">
        <f aca="false">ROUND(T46*$E$8/12,2)</f>
        <v>0</v>
      </c>
      <c r="V46" s="55" t="n">
        <f aca="false">MIN($F$8,T46+U46)</f>
        <v>0</v>
      </c>
      <c r="W46" s="55" t="n">
        <f aca="false">MAX(0,MIN(T46+U46-V46,$D46-(H46+M46+R46)))</f>
        <v>0</v>
      </c>
      <c r="X46" s="55" t="n">
        <f aca="false">V46+W46</f>
        <v>0</v>
      </c>
      <c r="Y46" s="55" t="n">
        <f aca="false">ROUND(MAX(0,Y45+Z45-AC45),2)</f>
        <v>0</v>
      </c>
      <c r="Z46" s="55" t="n">
        <f aca="false">ROUND(Y46*$E$9/12,2)</f>
        <v>0</v>
      </c>
      <c r="AA46" s="55" t="n">
        <f aca="false">MIN($F$9,Y46+Z46)</f>
        <v>0</v>
      </c>
      <c r="AB46" s="55" t="n">
        <f aca="false">MAX(0,MIN(Y46+Z46-AA46,$D46-(H46+M46+R46+W46)))</f>
        <v>0</v>
      </c>
      <c r="AC46" s="55" t="n">
        <f aca="false">AA46+AB46</f>
        <v>0</v>
      </c>
      <c r="AD46" s="55" t="n">
        <f aca="false">ROUND(MAX(0,AD45+AE45-AH45),2)</f>
        <v>0</v>
      </c>
      <c r="AE46" s="55" t="n">
        <f aca="false">ROUND(AD46*$E$10/12,2)</f>
        <v>0</v>
      </c>
      <c r="AF46" s="55" t="n">
        <f aca="false">MIN($F$10,AD46+AE46)</f>
        <v>0</v>
      </c>
      <c r="AG46" s="55" t="n">
        <f aca="false">MAX(0,MIN(AD46+AE46-AF46,$D46-(H46+M46+R46+W46+AB46)))</f>
        <v>0</v>
      </c>
      <c r="AH46" s="55" t="n">
        <f aca="false">AF46+AG46</f>
        <v>0</v>
      </c>
      <c r="AI46" s="55" t="n">
        <f aca="false">ROUND(MAX(0,AI45+AJ45-AM45),2)</f>
        <v>0</v>
      </c>
      <c r="AJ46" s="55" t="n">
        <f aca="false">ROUND(AI46*$E$11/12,2)</f>
        <v>0</v>
      </c>
      <c r="AK46" s="55" t="n">
        <f aca="false">MIN($F$11,AI46+AJ46)</f>
        <v>0</v>
      </c>
      <c r="AL46" s="55" t="n">
        <f aca="false">MAX(0,MIN(AI46+AJ46-AK46,$D46-(H46+M46+R46+W46+AB46+AG46)))</f>
        <v>0</v>
      </c>
      <c r="AM46" s="55" t="n">
        <f aca="false">AK46+AL46</f>
        <v>0</v>
      </c>
      <c r="AN46" s="55" t="n">
        <f aca="false">ROUND(MAX(0,AN45+AO45-AR45),2)</f>
        <v>0</v>
      </c>
      <c r="AO46" s="55" t="n">
        <f aca="false">ROUND(AN46*$E$12/12,2)</f>
        <v>0</v>
      </c>
      <c r="AP46" s="55" t="n">
        <f aca="false">MIN($F$12,AN46+AO46)</f>
        <v>0</v>
      </c>
      <c r="AQ46" s="55" t="n">
        <f aca="false">MAX(0,MIN(AN46+AO46-AP46,$D46-(H46+M46+R46+W46+AB46+AG46+AL46)))</f>
        <v>0</v>
      </c>
      <c r="AR46" s="55" t="n">
        <f aca="false">AP46+AQ46</f>
        <v>0</v>
      </c>
      <c r="AS46" s="55" t="n">
        <f aca="false">ROUND(MAX(0,AS45+AT45-AW45),2)</f>
        <v>0</v>
      </c>
      <c r="AT46" s="55" t="n">
        <f aca="false">ROUND(AS46*$E$13/12,2)</f>
        <v>0</v>
      </c>
      <c r="AU46" s="55" t="n">
        <f aca="false">MIN($F$13,AS46+AT46)</f>
        <v>0</v>
      </c>
      <c r="AV46" s="55" t="n">
        <f aca="false">MAX(0,MIN(AS46+AT46-AU46,$D46-(H46+M46+R46+W46+AB46+AG46+AL46+AQ46)))</f>
        <v>0</v>
      </c>
      <c r="AW46" s="55" t="n">
        <f aca="false">AU46+AV46</f>
        <v>0</v>
      </c>
      <c r="AX46" s="55" t="n">
        <f aca="false">ROUND(MAX(0,AX45+AY45-BB45),2)</f>
        <v>0</v>
      </c>
      <c r="AY46" s="55" t="n">
        <f aca="false">ROUND(AX46*$E$14/12,2)</f>
        <v>0</v>
      </c>
      <c r="AZ46" s="55" t="n">
        <f aca="false">MIN($F$14,AX46+AY46)</f>
        <v>0</v>
      </c>
      <c r="BA46" s="55" t="n">
        <f aca="false">MAX(0,MIN(AX46+AY46-AZ46,$D46-(H46+M46+R46+W46+AB46+AG46+AL46+AQ46+AV46)))</f>
        <v>0</v>
      </c>
      <c r="BB46" s="55" t="n">
        <f aca="false">AZ46+BA46</f>
        <v>0</v>
      </c>
      <c r="BC46" s="55" t="n">
        <f aca="false">I46+N46+S46+X46+AC46+AH46+AM46+AR46+AW46+BB46</f>
        <v>0</v>
      </c>
      <c r="BD46" s="55" t="n">
        <f aca="false">ROUND((E46+F46-I46)+(J46+K46-N46)+(O46+P46-S46)+(T46+U46-X46)+(Y46+Z46-AC46)+(AD46+AE46-AH46)+(AI46+AJ46-AM46)+(AN46+AO46-AR46)+(AS46+AT46-AW46)+(AX46+AY46-BB46),2)</f>
        <v>0</v>
      </c>
      <c r="BE46" s="25" t="str">
        <f aca="false">IF(H46&gt;0.005,$C$5,IF(M46&gt;0.005,$C$6,IF(R46&gt;0.005,$C$7,IF(W46&gt;0.005,$C$8,IF(AB46&gt;0.005,$C$9,IF(AG46&gt;0.005,$C$10,IF(AL46&gt;0.005,$C$11,IF(AQ46&gt;0.005,$C$12,IF(AV46&gt;0.005,$C$13,IF(BA46&gt;0.005,$C$14,""))))))))))</f>
        <v/>
      </c>
    </row>
    <row r="47" customFormat="false" ht="15" hidden="false" customHeight="false" outlineLevel="0" collapsed="false">
      <c r="A47" s="24" t="n">
        <v>24</v>
      </c>
      <c r="B47" s="54" t="n">
        <f aca="false">EDATE($C$17,A47-1)</f>
        <v>47027</v>
      </c>
      <c r="C47" s="55" t="n">
        <f aca="false">G47+L47+Q47+V47+AA47+AF47+AK47+AP47+AU47+AZ47</f>
        <v>0</v>
      </c>
      <c r="D47" s="55" t="n">
        <f aca="false">MAX(0,$C$16-C47)</f>
        <v>5822</v>
      </c>
      <c r="E47" s="55" t="n">
        <f aca="false">ROUND(MAX(0,E46+F46-I46),2)</f>
        <v>0</v>
      </c>
      <c r="F47" s="55" t="n">
        <f aca="false">ROUND(E47*$E$5/12,2)</f>
        <v>0</v>
      </c>
      <c r="G47" s="55" t="n">
        <f aca="false">MIN($F$5,E47+F47)</f>
        <v>0</v>
      </c>
      <c r="H47" s="55" t="n">
        <f aca="false">MAX(0,MIN(E47+F47-G47,$D47))</f>
        <v>0</v>
      </c>
      <c r="I47" s="55" t="n">
        <f aca="false">G47+H47</f>
        <v>0</v>
      </c>
      <c r="J47" s="55" t="n">
        <f aca="false">ROUND(MAX(0,J46+K46-N46),2)</f>
        <v>0</v>
      </c>
      <c r="K47" s="55" t="n">
        <f aca="false">ROUND(J47*$E$6/12,2)</f>
        <v>0</v>
      </c>
      <c r="L47" s="55" t="n">
        <f aca="false">MIN($F$6,J47+K47)</f>
        <v>0</v>
      </c>
      <c r="M47" s="55" t="n">
        <f aca="false">MAX(0,MIN(J47+K47-L47,$D47-(H47)))</f>
        <v>0</v>
      </c>
      <c r="N47" s="55" t="n">
        <f aca="false">L47+M47</f>
        <v>0</v>
      </c>
      <c r="O47" s="55" t="n">
        <f aca="false">ROUND(MAX(0,O46+P46-S46),2)</f>
        <v>0</v>
      </c>
      <c r="P47" s="55" t="n">
        <f aca="false">ROUND(O47*$E$7/12,2)</f>
        <v>0</v>
      </c>
      <c r="Q47" s="55" t="n">
        <f aca="false">MIN($F$7,O47+P47)</f>
        <v>0</v>
      </c>
      <c r="R47" s="55" t="n">
        <f aca="false">MAX(0,MIN(O47+P47-Q47,$D47-(H47+M47)))</f>
        <v>0</v>
      </c>
      <c r="S47" s="55" t="n">
        <f aca="false">Q47+R47</f>
        <v>0</v>
      </c>
      <c r="T47" s="55" t="n">
        <f aca="false">ROUND(MAX(0,T46+U46-X46),2)</f>
        <v>0</v>
      </c>
      <c r="U47" s="55" t="n">
        <f aca="false">ROUND(T47*$E$8/12,2)</f>
        <v>0</v>
      </c>
      <c r="V47" s="55" t="n">
        <f aca="false">MIN($F$8,T47+U47)</f>
        <v>0</v>
      </c>
      <c r="W47" s="55" t="n">
        <f aca="false">MAX(0,MIN(T47+U47-V47,$D47-(H47+M47+R47)))</f>
        <v>0</v>
      </c>
      <c r="X47" s="55" t="n">
        <f aca="false">V47+W47</f>
        <v>0</v>
      </c>
      <c r="Y47" s="55" t="n">
        <f aca="false">ROUND(MAX(0,Y46+Z46-AC46),2)</f>
        <v>0</v>
      </c>
      <c r="Z47" s="55" t="n">
        <f aca="false">ROUND(Y47*$E$9/12,2)</f>
        <v>0</v>
      </c>
      <c r="AA47" s="55" t="n">
        <f aca="false">MIN($F$9,Y47+Z47)</f>
        <v>0</v>
      </c>
      <c r="AB47" s="55" t="n">
        <f aca="false">MAX(0,MIN(Y47+Z47-AA47,$D47-(H47+M47+R47+W47)))</f>
        <v>0</v>
      </c>
      <c r="AC47" s="55" t="n">
        <f aca="false">AA47+AB47</f>
        <v>0</v>
      </c>
      <c r="AD47" s="55" t="n">
        <f aca="false">ROUND(MAX(0,AD46+AE46-AH46),2)</f>
        <v>0</v>
      </c>
      <c r="AE47" s="55" t="n">
        <f aca="false">ROUND(AD47*$E$10/12,2)</f>
        <v>0</v>
      </c>
      <c r="AF47" s="55" t="n">
        <f aca="false">MIN($F$10,AD47+AE47)</f>
        <v>0</v>
      </c>
      <c r="AG47" s="55" t="n">
        <f aca="false">MAX(0,MIN(AD47+AE47-AF47,$D47-(H47+M47+R47+W47+AB47)))</f>
        <v>0</v>
      </c>
      <c r="AH47" s="55" t="n">
        <f aca="false">AF47+AG47</f>
        <v>0</v>
      </c>
      <c r="AI47" s="55" t="n">
        <f aca="false">ROUND(MAX(0,AI46+AJ46-AM46),2)</f>
        <v>0</v>
      </c>
      <c r="AJ47" s="55" t="n">
        <f aca="false">ROUND(AI47*$E$11/12,2)</f>
        <v>0</v>
      </c>
      <c r="AK47" s="55" t="n">
        <f aca="false">MIN($F$11,AI47+AJ47)</f>
        <v>0</v>
      </c>
      <c r="AL47" s="55" t="n">
        <f aca="false">MAX(0,MIN(AI47+AJ47-AK47,$D47-(H47+M47+R47+W47+AB47+AG47)))</f>
        <v>0</v>
      </c>
      <c r="AM47" s="55" t="n">
        <f aca="false">AK47+AL47</f>
        <v>0</v>
      </c>
      <c r="AN47" s="55" t="n">
        <f aca="false">ROUND(MAX(0,AN46+AO46-AR46),2)</f>
        <v>0</v>
      </c>
      <c r="AO47" s="55" t="n">
        <f aca="false">ROUND(AN47*$E$12/12,2)</f>
        <v>0</v>
      </c>
      <c r="AP47" s="55" t="n">
        <f aca="false">MIN($F$12,AN47+AO47)</f>
        <v>0</v>
      </c>
      <c r="AQ47" s="55" t="n">
        <f aca="false">MAX(0,MIN(AN47+AO47-AP47,$D47-(H47+M47+R47+W47+AB47+AG47+AL47)))</f>
        <v>0</v>
      </c>
      <c r="AR47" s="55" t="n">
        <f aca="false">AP47+AQ47</f>
        <v>0</v>
      </c>
      <c r="AS47" s="55" t="n">
        <f aca="false">ROUND(MAX(0,AS46+AT46-AW46),2)</f>
        <v>0</v>
      </c>
      <c r="AT47" s="55" t="n">
        <f aca="false">ROUND(AS47*$E$13/12,2)</f>
        <v>0</v>
      </c>
      <c r="AU47" s="55" t="n">
        <f aca="false">MIN($F$13,AS47+AT47)</f>
        <v>0</v>
      </c>
      <c r="AV47" s="55" t="n">
        <f aca="false">MAX(0,MIN(AS47+AT47-AU47,$D47-(H47+M47+R47+W47+AB47+AG47+AL47+AQ47)))</f>
        <v>0</v>
      </c>
      <c r="AW47" s="55" t="n">
        <f aca="false">AU47+AV47</f>
        <v>0</v>
      </c>
      <c r="AX47" s="55" t="n">
        <f aca="false">ROUND(MAX(0,AX46+AY46-BB46),2)</f>
        <v>0</v>
      </c>
      <c r="AY47" s="55" t="n">
        <f aca="false">ROUND(AX47*$E$14/12,2)</f>
        <v>0</v>
      </c>
      <c r="AZ47" s="55" t="n">
        <f aca="false">MIN($F$14,AX47+AY47)</f>
        <v>0</v>
      </c>
      <c r="BA47" s="55" t="n">
        <f aca="false">MAX(0,MIN(AX47+AY47-AZ47,$D47-(H47+M47+R47+W47+AB47+AG47+AL47+AQ47+AV47)))</f>
        <v>0</v>
      </c>
      <c r="BB47" s="55" t="n">
        <f aca="false">AZ47+BA47</f>
        <v>0</v>
      </c>
      <c r="BC47" s="55" t="n">
        <f aca="false">I47+N47+S47+X47+AC47+AH47+AM47+AR47+AW47+BB47</f>
        <v>0</v>
      </c>
      <c r="BD47" s="55" t="n">
        <f aca="false">ROUND((E47+F47-I47)+(J47+K47-N47)+(O47+P47-S47)+(T47+U47-X47)+(Y47+Z47-AC47)+(AD47+AE47-AH47)+(AI47+AJ47-AM47)+(AN47+AO47-AR47)+(AS47+AT47-AW47)+(AX47+AY47-BB47),2)</f>
        <v>0</v>
      </c>
      <c r="BE47" s="25" t="str">
        <f aca="false">IF(H47&gt;0.005,$C$5,IF(M47&gt;0.005,$C$6,IF(R47&gt;0.005,$C$7,IF(W47&gt;0.005,$C$8,IF(AB47&gt;0.005,$C$9,IF(AG47&gt;0.005,$C$10,IF(AL47&gt;0.005,$C$11,IF(AQ47&gt;0.005,$C$12,IF(AV47&gt;0.005,$C$13,IF(BA47&gt;0.005,$C$14,""))))))))))</f>
        <v/>
      </c>
    </row>
    <row r="48" customFormat="false" ht="15" hidden="false" customHeight="false" outlineLevel="0" collapsed="false">
      <c r="A48" s="24" t="n">
        <v>25</v>
      </c>
      <c r="B48" s="54" t="n">
        <f aca="false">EDATE($C$17,A48-1)</f>
        <v>47058</v>
      </c>
      <c r="C48" s="55" t="n">
        <f aca="false">G48+L48+Q48+V48+AA48+AF48+AK48+AP48+AU48+AZ48</f>
        <v>0</v>
      </c>
      <c r="D48" s="55" t="n">
        <f aca="false">MAX(0,$C$16-C48)</f>
        <v>5822</v>
      </c>
      <c r="E48" s="55" t="n">
        <f aca="false">ROUND(MAX(0,E47+F47-I47),2)</f>
        <v>0</v>
      </c>
      <c r="F48" s="55" t="n">
        <f aca="false">ROUND(E48*$E$5/12,2)</f>
        <v>0</v>
      </c>
      <c r="G48" s="55" t="n">
        <f aca="false">MIN($F$5,E48+F48)</f>
        <v>0</v>
      </c>
      <c r="H48" s="55" t="n">
        <f aca="false">MAX(0,MIN(E48+F48-G48,$D48))</f>
        <v>0</v>
      </c>
      <c r="I48" s="55" t="n">
        <f aca="false">G48+H48</f>
        <v>0</v>
      </c>
      <c r="J48" s="55" t="n">
        <f aca="false">ROUND(MAX(0,J47+K47-N47),2)</f>
        <v>0</v>
      </c>
      <c r="K48" s="55" t="n">
        <f aca="false">ROUND(J48*$E$6/12,2)</f>
        <v>0</v>
      </c>
      <c r="L48" s="55" t="n">
        <f aca="false">MIN($F$6,J48+K48)</f>
        <v>0</v>
      </c>
      <c r="M48" s="55" t="n">
        <f aca="false">MAX(0,MIN(J48+K48-L48,$D48-(H48)))</f>
        <v>0</v>
      </c>
      <c r="N48" s="55" t="n">
        <f aca="false">L48+M48</f>
        <v>0</v>
      </c>
      <c r="O48" s="55" t="n">
        <f aca="false">ROUND(MAX(0,O47+P47-S47),2)</f>
        <v>0</v>
      </c>
      <c r="P48" s="55" t="n">
        <f aca="false">ROUND(O48*$E$7/12,2)</f>
        <v>0</v>
      </c>
      <c r="Q48" s="55" t="n">
        <f aca="false">MIN($F$7,O48+P48)</f>
        <v>0</v>
      </c>
      <c r="R48" s="55" t="n">
        <f aca="false">MAX(0,MIN(O48+P48-Q48,$D48-(H48+M48)))</f>
        <v>0</v>
      </c>
      <c r="S48" s="55" t="n">
        <f aca="false">Q48+R48</f>
        <v>0</v>
      </c>
      <c r="T48" s="55" t="n">
        <f aca="false">ROUND(MAX(0,T47+U47-X47),2)</f>
        <v>0</v>
      </c>
      <c r="U48" s="55" t="n">
        <f aca="false">ROUND(T48*$E$8/12,2)</f>
        <v>0</v>
      </c>
      <c r="V48" s="55" t="n">
        <f aca="false">MIN($F$8,T48+U48)</f>
        <v>0</v>
      </c>
      <c r="W48" s="55" t="n">
        <f aca="false">MAX(0,MIN(T48+U48-V48,$D48-(H48+M48+R48)))</f>
        <v>0</v>
      </c>
      <c r="X48" s="55" t="n">
        <f aca="false">V48+W48</f>
        <v>0</v>
      </c>
      <c r="Y48" s="55" t="n">
        <f aca="false">ROUND(MAX(0,Y47+Z47-AC47),2)</f>
        <v>0</v>
      </c>
      <c r="Z48" s="55" t="n">
        <f aca="false">ROUND(Y48*$E$9/12,2)</f>
        <v>0</v>
      </c>
      <c r="AA48" s="55" t="n">
        <f aca="false">MIN($F$9,Y48+Z48)</f>
        <v>0</v>
      </c>
      <c r="AB48" s="55" t="n">
        <f aca="false">MAX(0,MIN(Y48+Z48-AA48,$D48-(H48+M48+R48+W48)))</f>
        <v>0</v>
      </c>
      <c r="AC48" s="55" t="n">
        <f aca="false">AA48+AB48</f>
        <v>0</v>
      </c>
      <c r="AD48" s="55" t="n">
        <f aca="false">ROUND(MAX(0,AD47+AE47-AH47),2)</f>
        <v>0</v>
      </c>
      <c r="AE48" s="55" t="n">
        <f aca="false">ROUND(AD48*$E$10/12,2)</f>
        <v>0</v>
      </c>
      <c r="AF48" s="55" t="n">
        <f aca="false">MIN($F$10,AD48+AE48)</f>
        <v>0</v>
      </c>
      <c r="AG48" s="55" t="n">
        <f aca="false">MAX(0,MIN(AD48+AE48-AF48,$D48-(H48+M48+R48+W48+AB48)))</f>
        <v>0</v>
      </c>
      <c r="AH48" s="55" t="n">
        <f aca="false">AF48+AG48</f>
        <v>0</v>
      </c>
      <c r="AI48" s="55" t="n">
        <f aca="false">ROUND(MAX(0,AI47+AJ47-AM47),2)</f>
        <v>0</v>
      </c>
      <c r="AJ48" s="55" t="n">
        <f aca="false">ROUND(AI48*$E$11/12,2)</f>
        <v>0</v>
      </c>
      <c r="AK48" s="55" t="n">
        <f aca="false">MIN($F$11,AI48+AJ48)</f>
        <v>0</v>
      </c>
      <c r="AL48" s="55" t="n">
        <f aca="false">MAX(0,MIN(AI48+AJ48-AK48,$D48-(H48+M48+R48+W48+AB48+AG48)))</f>
        <v>0</v>
      </c>
      <c r="AM48" s="55" t="n">
        <f aca="false">AK48+AL48</f>
        <v>0</v>
      </c>
      <c r="AN48" s="55" t="n">
        <f aca="false">ROUND(MAX(0,AN47+AO47-AR47),2)</f>
        <v>0</v>
      </c>
      <c r="AO48" s="55" t="n">
        <f aca="false">ROUND(AN48*$E$12/12,2)</f>
        <v>0</v>
      </c>
      <c r="AP48" s="55" t="n">
        <f aca="false">MIN($F$12,AN48+AO48)</f>
        <v>0</v>
      </c>
      <c r="AQ48" s="55" t="n">
        <f aca="false">MAX(0,MIN(AN48+AO48-AP48,$D48-(H48+M48+R48+W48+AB48+AG48+AL48)))</f>
        <v>0</v>
      </c>
      <c r="AR48" s="55" t="n">
        <f aca="false">AP48+AQ48</f>
        <v>0</v>
      </c>
      <c r="AS48" s="55" t="n">
        <f aca="false">ROUND(MAX(0,AS47+AT47-AW47),2)</f>
        <v>0</v>
      </c>
      <c r="AT48" s="55" t="n">
        <f aca="false">ROUND(AS48*$E$13/12,2)</f>
        <v>0</v>
      </c>
      <c r="AU48" s="55" t="n">
        <f aca="false">MIN($F$13,AS48+AT48)</f>
        <v>0</v>
      </c>
      <c r="AV48" s="55" t="n">
        <f aca="false">MAX(0,MIN(AS48+AT48-AU48,$D48-(H48+M48+R48+W48+AB48+AG48+AL48+AQ48)))</f>
        <v>0</v>
      </c>
      <c r="AW48" s="55" t="n">
        <f aca="false">AU48+AV48</f>
        <v>0</v>
      </c>
      <c r="AX48" s="55" t="n">
        <f aca="false">ROUND(MAX(0,AX47+AY47-BB47),2)</f>
        <v>0</v>
      </c>
      <c r="AY48" s="55" t="n">
        <f aca="false">ROUND(AX48*$E$14/12,2)</f>
        <v>0</v>
      </c>
      <c r="AZ48" s="55" t="n">
        <f aca="false">MIN($F$14,AX48+AY48)</f>
        <v>0</v>
      </c>
      <c r="BA48" s="55" t="n">
        <f aca="false">MAX(0,MIN(AX48+AY48-AZ48,$D48-(H48+M48+R48+W48+AB48+AG48+AL48+AQ48+AV48)))</f>
        <v>0</v>
      </c>
      <c r="BB48" s="55" t="n">
        <f aca="false">AZ48+BA48</f>
        <v>0</v>
      </c>
      <c r="BC48" s="55" t="n">
        <f aca="false">I48+N48+S48+X48+AC48+AH48+AM48+AR48+AW48+BB48</f>
        <v>0</v>
      </c>
      <c r="BD48" s="55" t="n">
        <f aca="false">ROUND((E48+F48-I48)+(J48+K48-N48)+(O48+P48-S48)+(T48+U48-X48)+(Y48+Z48-AC48)+(AD48+AE48-AH48)+(AI48+AJ48-AM48)+(AN48+AO48-AR48)+(AS48+AT48-AW48)+(AX48+AY48-BB48),2)</f>
        <v>0</v>
      </c>
      <c r="BE48" s="25" t="str">
        <f aca="false">IF(H48&gt;0.005,$C$5,IF(M48&gt;0.005,$C$6,IF(R48&gt;0.005,$C$7,IF(W48&gt;0.005,$C$8,IF(AB48&gt;0.005,$C$9,IF(AG48&gt;0.005,$C$10,IF(AL48&gt;0.005,$C$11,IF(AQ48&gt;0.005,$C$12,IF(AV48&gt;0.005,$C$13,IF(BA48&gt;0.005,$C$14,""))))))))))</f>
        <v/>
      </c>
    </row>
    <row r="49" customFormat="false" ht="15" hidden="false" customHeight="false" outlineLevel="0" collapsed="false">
      <c r="A49" s="24" t="n">
        <v>26</v>
      </c>
      <c r="B49" s="54" t="n">
        <f aca="false">EDATE($C$17,A49-1)</f>
        <v>47088</v>
      </c>
      <c r="C49" s="55" t="n">
        <f aca="false">G49+L49+Q49+V49+AA49+AF49+AK49+AP49+AU49+AZ49</f>
        <v>0</v>
      </c>
      <c r="D49" s="55" t="n">
        <f aca="false">MAX(0,$C$16-C49)</f>
        <v>5822</v>
      </c>
      <c r="E49" s="55" t="n">
        <f aca="false">ROUND(MAX(0,E48+F48-I48),2)</f>
        <v>0</v>
      </c>
      <c r="F49" s="55" t="n">
        <f aca="false">ROUND(E49*$E$5/12,2)</f>
        <v>0</v>
      </c>
      <c r="G49" s="55" t="n">
        <f aca="false">MIN($F$5,E49+F49)</f>
        <v>0</v>
      </c>
      <c r="H49" s="55" t="n">
        <f aca="false">MAX(0,MIN(E49+F49-G49,$D49))</f>
        <v>0</v>
      </c>
      <c r="I49" s="55" t="n">
        <f aca="false">G49+H49</f>
        <v>0</v>
      </c>
      <c r="J49" s="55" t="n">
        <f aca="false">ROUND(MAX(0,J48+K48-N48),2)</f>
        <v>0</v>
      </c>
      <c r="K49" s="55" t="n">
        <f aca="false">ROUND(J49*$E$6/12,2)</f>
        <v>0</v>
      </c>
      <c r="L49" s="55" t="n">
        <f aca="false">MIN($F$6,J49+K49)</f>
        <v>0</v>
      </c>
      <c r="M49" s="55" t="n">
        <f aca="false">MAX(0,MIN(J49+K49-L49,$D49-(H49)))</f>
        <v>0</v>
      </c>
      <c r="N49" s="55" t="n">
        <f aca="false">L49+M49</f>
        <v>0</v>
      </c>
      <c r="O49" s="55" t="n">
        <f aca="false">ROUND(MAX(0,O48+P48-S48),2)</f>
        <v>0</v>
      </c>
      <c r="P49" s="55" t="n">
        <f aca="false">ROUND(O49*$E$7/12,2)</f>
        <v>0</v>
      </c>
      <c r="Q49" s="55" t="n">
        <f aca="false">MIN($F$7,O49+P49)</f>
        <v>0</v>
      </c>
      <c r="R49" s="55" t="n">
        <f aca="false">MAX(0,MIN(O49+P49-Q49,$D49-(H49+M49)))</f>
        <v>0</v>
      </c>
      <c r="S49" s="55" t="n">
        <f aca="false">Q49+R49</f>
        <v>0</v>
      </c>
      <c r="T49" s="55" t="n">
        <f aca="false">ROUND(MAX(0,T48+U48-X48),2)</f>
        <v>0</v>
      </c>
      <c r="U49" s="55" t="n">
        <f aca="false">ROUND(T49*$E$8/12,2)</f>
        <v>0</v>
      </c>
      <c r="V49" s="55" t="n">
        <f aca="false">MIN($F$8,T49+U49)</f>
        <v>0</v>
      </c>
      <c r="W49" s="55" t="n">
        <f aca="false">MAX(0,MIN(T49+U49-V49,$D49-(H49+M49+R49)))</f>
        <v>0</v>
      </c>
      <c r="X49" s="55" t="n">
        <f aca="false">V49+W49</f>
        <v>0</v>
      </c>
      <c r="Y49" s="55" t="n">
        <f aca="false">ROUND(MAX(0,Y48+Z48-AC48),2)</f>
        <v>0</v>
      </c>
      <c r="Z49" s="55" t="n">
        <f aca="false">ROUND(Y49*$E$9/12,2)</f>
        <v>0</v>
      </c>
      <c r="AA49" s="55" t="n">
        <f aca="false">MIN($F$9,Y49+Z49)</f>
        <v>0</v>
      </c>
      <c r="AB49" s="55" t="n">
        <f aca="false">MAX(0,MIN(Y49+Z49-AA49,$D49-(H49+M49+R49+W49)))</f>
        <v>0</v>
      </c>
      <c r="AC49" s="55" t="n">
        <f aca="false">AA49+AB49</f>
        <v>0</v>
      </c>
      <c r="AD49" s="55" t="n">
        <f aca="false">ROUND(MAX(0,AD48+AE48-AH48),2)</f>
        <v>0</v>
      </c>
      <c r="AE49" s="55" t="n">
        <f aca="false">ROUND(AD49*$E$10/12,2)</f>
        <v>0</v>
      </c>
      <c r="AF49" s="55" t="n">
        <f aca="false">MIN($F$10,AD49+AE49)</f>
        <v>0</v>
      </c>
      <c r="AG49" s="55" t="n">
        <f aca="false">MAX(0,MIN(AD49+AE49-AF49,$D49-(H49+M49+R49+W49+AB49)))</f>
        <v>0</v>
      </c>
      <c r="AH49" s="55" t="n">
        <f aca="false">AF49+AG49</f>
        <v>0</v>
      </c>
      <c r="AI49" s="55" t="n">
        <f aca="false">ROUND(MAX(0,AI48+AJ48-AM48),2)</f>
        <v>0</v>
      </c>
      <c r="AJ49" s="55" t="n">
        <f aca="false">ROUND(AI49*$E$11/12,2)</f>
        <v>0</v>
      </c>
      <c r="AK49" s="55" t="n">
        <f aca="false">MIN($F$11,AI49+AJ49)</f>
        <v>0</v>
      </c>
      <c r="AL49" s="55" t="n">
        <f aca="false">MAX(0,MIN(AI49+AJ49-AK49,$D49-(H49+M49+R49+W49+AB49+AG49)))</f>
        <v>0</v>
      </c>
      <c r="AM49" s="55" t="n">
        <f aca="false">AK49+AL49</f>
        <v>0</v>
      </c>
      <c r="AN49" s="55" t="n">
        <f aca="false">ROUND(MAX(0,AN48+AO48-AR48),2)</f>
        <v>0</v>
      </c>
      <c r="AO49" s="55" t="n">
        <f aca="false">ROUND(AN49*$E$12/12,2)</f>
        <v>0</v>
      </c>
      <c r="AP49" s="55" t="n">
        <f aca="false">MIN($F$12,AN49+AO49)</f>
        <v>0</v>
      </c>
      <c r="AQ49" s="55" t="n">
        <f aca="false">MAX(0,MIN(AN49+AO49-AP49,$D49-(H49+M49+R49+W49+AB49+AG49+AL49)))</f>
        <v>0</v>
      </c>
      <c r="AR49" s="55" t="n">
        <f aca="false">AP49+AQ49</f>
        <v>0</v>
      </c>
      <c r="AS49" s="55" t="n">
        <f aca="false">ROUND(MAX(0,AS48+AT48-AW48),2)</f>
        <v>0</v>
      </c>
      <c r="AT49" s="55" t="n">
        <f aca="false">ROUND(AS49*$E$13/12,2)</f>
        <v>0</v>
      </c>
      <c r="AU49" s="55" t="n">
        <f aca="false">MIN($F$13,AS49+AT49)</f>
        <v>0</v>
      </c>
      <c r="AV49" s="55" t="n">
        <f aca="false">MAX(0,MIN(AS49+AT49-AU49,$D49-(H49+M49+R49+W49+AB49+AG49+AL49+AQ49)))</f>
        <v>0</v>
      </c>
      <c r="AW49" s="55" t="n">
        <f aca="false">AU49+AV49</f>
        <v>0</v>
      </c>
      <c r="AX49" s="55" t="n">
        <f aca="false">ROUND(MAX(0,AX48+AY48-BB48),2)</f>
        <v>0</v>
      </c>
      <c r="AY49" s="55" t="n">
        <f aca="false">ROUND(AX49*$E$14/12,2)</f>
        <v>0</v>
      </c>
      <c r="AZ49" s="55" t="n">
        <f aca="false">MIN($F$14,AX49+AY49)</f>
        <v>0</v>
      </c>
      <c r="BA49" s="55" t="n">
        <f aca="false">MAX(0,MIN(AX49+AY49-AZ49,$D49-(H49+M49+R49+W49+AB49+AG49+AL49+AQ49+AV49)))</f>
        <v>0</v>
      </c>
      <c r="BB49" s="55" t="n">
        <f aca="false">AZ49+BA49</f>
        <v>0</v>
      </c>
      <c r="BC49" s="55" t="n">
        <f aca="false">I49+N49+S49+X49+AC49+AH49+AM49+AR49+AW49+BB49</f>
        <v>0</v>
      </c>
      <c r="BD49" s="55" t="n">
        <f aca="false">ROUND((E49+F49-I49)+(J49+K49-N49)+(O49+P49-S49)+(T49+U49-X49)+(Y49+Z49-AC49)+(AD49+AE49-AH49)+(AI49+AJ49-AM49)+(AN49+AO49-AR49)+(AS49+AT49-AW49)+(AX49+AY49-BB49),2)</f>
        <v>0</v>
      </c>
      <c r="BE49" s="25" t="str">
        <f aca="false">IF(H49&gt;0.005,$C$5,IF(M49&gt;0.005,$C$6,IF(R49&gt;0.005,$C$7,IF(W49&gt;0.005,$C$8,IF(AB49&gt;0.005,$C$9,IF(AG49&gt;0.005,$C$10,IF(AL49&gt;0.005,$C$11,IF(AQ49&gt;0.005,$C$12,IF(AV49&gt;0.005,$C$13,IF(BA49&gt;0.005,$C$14,""))))))))))</f>
        <v/>
      </c>
    </row>
    <row r="50" customFormat="false" ht="15" hidden="false" customHeight="false" outlineLevel="0" collapsed="false">
      <c r="A50" s="24" t="n">
        <v>27</v>
      </c>
      <c r="B50" s="54" t="n">
        <f aca="false">EDATE($C$17,A50-1)</f>
        <v>47119</v>
      </c>
      <c r="C50" s="55" t="n">
        <f aca="false">G50+L50+Q50+V50+AA50+AF50+AK50+AP50+AU50+AZ50</f>
        <v>0</v>
      </c>
      <c r="D50" s="55" t="n">
        <f aca="false">MAX(0,$C$16-C50)</f>
        <v>5822</v>
      </c>
      <c r="E50" s="55" t="n">
        <f aca="false">ROUND(MAX(0,E49+F49-I49),2)</f>
        <v>0</v>
      </c>
      <c r="F50" s="55" t="n">
        <f aca="false">ROUND(E50*$E$5/12,2)</f>
        <v>0</v>
      </c>
      <c r="G50" s="55" t="n">
        <f aca="false">MIN($F$5,E50+F50)</f>
        <v>0</v>
      </c>
      <c r="H50" s="55" t="n">
        <f aca="false">MAX(0,MIN(E50+F50-G50,$D50))</f>
        <v>0</v>
      </c>
      <c r="I50" s="55" t="n">
        <f aca="false">G50+H50</f>
        <v>0</v>
      </c>
      <c r="J50" s="55" t="n">
        <f aca="false">ROUND(MAX(0,J49+K49-N49),2)</f>
        <v>0</v>
      </c>
      <c r="K50" s="55" t="n">
        <f aca="false">ROUND(J50*$E$6/12,2)</f>
        <v>0</v>
      </c>
      <c r="L50" s="55" t="n">
        <f aca="false">MIN($F$6,J50+K50)</f>
        <v>0</v>
      </c>
      <c r="M50" s="55" t="n">
        <f aca="false">MAX(0,MIN(J50+K50-L50,$D50-(H50)))</f>
        <v>0</v>
      </c>
      <c r="N50" s="55" t="n">
        <f aca="false">L50+M50</f>
        <v>0</v>
      </c>
      <c r="O50" s="55" t="n">
        <f aca="false">ROUND(MAX(0,O49+P49-S49),2)</f>
        <v>0</v>
      </c>
      <c r="P50" s="55" t="n">
        <f aca="false">ROUND(O50*$E$7/12,2)</f>
        <v>0</v>
      </c>
      <c r="Q50" s="55" t="n">
        <f aca="false">MIN($F$7,O50+P50)</f>
        <v>0</v>
      </c>
      <c r="R50" s="55" t="n">
        <f aca="false">MAX(0,MIN(O50+P50-Q50,$D50-(H50+M50)))</f>
        <v>0</v>
      </c>
      <c r="S50" s="55" t="n">
        <f aca="false">Q50+R50</f>
        <v>0</v>
      </c>
      <c r="T50" s="55" t="n">
        <f aca="false">ROUND(MAX(0,T49+U49-X49),2)</f>
        <v>0</v>
      </c>
      <c r="U50" s="55" t="n">
        <f aca="false">ROUND(T50*$E$8/12,2)</f>
        <v>0</v>
      </c>
      <c r="V50" s="55" t="n">
        <f aca="false">MIN($F$8,T50+U50)</f>
        <v>0</v>
      </c>
      <c r="W50" s="55" t="n">
        <f aca="false">MAX(0,MIN(T50+U50-V50,$D50-(H50+M50+R50)))</f>
        <v>0</v>
      </c>
      <c r="X50" s="55" t="n">
        <f aca="false">V50+W50</f>
        <v>0</v>
      </c>
      <c r="Y50" s="55" t="n">
        <f aca="false">ROUND(MAX(0,Y49+Z49-AC49),2)</f>
        <v>0</v>
      </c>
      <c r="Z50" s="55" t="n">
        <f aca="false">ROUND(Y50*$E$9/12,2)</f>
        <v>0</v>
      </c>
      <c r="AA50" s="55" t="n">
        <f aca="false">MIN($F$9,Y50+Z50)</f>
        <v>0</v>
      </c>
      <c r="AB50" s="55" t="n">
        <f aca="false">MAX(0,MIN(Y50+Z50-AA50,$D50-(H50+M50+R50+W50)))</f>
        <v>0</v>
      </c>
      <c r="AC50" s="55" t="n">
        <f aca="false">AA50+AB50</f>
        <v>0</v>
      </c>
      <c r="AD50" s="55" t="n">
        <f aca="false">ROUND(MAX(0,AD49+AE49-AH49),2)</f>
        <v>0</v>
      </c>
      <c r="AE50" s="55" t="n">
        <f aca="false">ROUND(AD50*$E$10/12,2)</f>
        <v>0</v>
      </c>
      <c r="AF50" s="55" t="n">
        <f aca="false">MIN($F$10,AD50+AE50)</f>
        <v>0</v>
      </c>
      <c r="AG50" s="55" t="n">
        <f aca="false">MAX(0,MIN(AD50+AE50-AF50,$D50-(H50+M50+R50+W50+AB50)))</f>
        <v>0</v>
      </c>
      <c r="AH50" s="55" t="n">
        <f aca="false">AF50+AG50</f>
        <v>0</v>
      </c>
      <c r="AI50" s="55" t="n">
        <f aca="false">ROUND(MAX(0,AI49+AJ49-AM49),2)</f>
        <v>0</v>
      </c>
      <c r="AJ50" s="55" t="n">
        <f aca="false">ROUND(AI50*$E$11/12,2)</f>
        <v>0</v>
      </c>
      <c r="AK50" s="55" t="n">
        <f aca="false">MIN($F$11,AI50+AJ50)</f>
        <v>0</v>
      </c>
      <c r="AL50" s="55" t="n">
        <f aca="false">MAX(0,MIN(AI50+AJ50-AK50,$D50-(H50+M50+R50+W50+AB50+AG50)))</f>
        <v>0</v>
      </c>
      <c r="AM50" s="55" t="n">
        <f aca="false">AK50+AL50</f>
        <v>0</v>
      </c>
      <c r="AN50" s="55" t="n">
        <f aca="false">ROUND(MAX(0,AN49+AO49-AR49),2)</f>
        <v>0</v>
      </c>
      <c r="AO50" s="55" t="n">
        <f aca="false">ROUND(AN50*$E$12/12,2)</f>
        <v>0</v>
      </c>
      <c r="AP50" s="55" t="n">
        <f aca="false">MIN($F$12,AN50+AO50)</f>
        <v>0</v>
      </c>
      <c r="AQ50" s="55" t="n">
        <f aca="false">MAX(0,MIN(AN50+AO50-AP50,$D50-(H50+M50+R50+W50+AB50+AG50+AL50)))</f>
        <v>0</v>
      </c>
      <c r="AR50" s="55" t="n">
        <f aca="false">AP50+AQ50</f>
        <v>0</v>
      </c>
      <c r="AS50" s="55" t="n">
        <f aca="false">ROUND(MAX(0,AS49+AT49-AW49),2)</f>
        <v>0</v>
      </c>
      <c r="AT50" s="55" t="n">
        <f aca="false">ROUND(AS50*$E$13/12,2)</f>
        <v>0</v>
      </c>
      <c r="AU50" s="55" t="n">
        <f aca="false">MIN($F$13,AS50+AT50)</f>
        <v>0</v>
      </c>
      <c r="AV50" s="55" t="n">
        <f aca="false">MAX(0,MIN(AS50+AT50-AU50,$D50-(H50+M50+R50+W50+AB50+AG50+AL50+AQ50)))</f>
        <v>0</v>
      </c>
      <c r="AW50" s="55" t="n">
        <f aca="false">AU50+AV50</f>
        <v>0</v>
      </c>
      <c r="AX50" s="55" t="n">
        <f aca="false">ROUND(MAX(0,AX49+AY49-BB49),2)</f>
        <v>0</v>
      </c>
      <c r="AY50" s="55" t="n">
        <f aca="false">ROUND(AX50*$E$14/12,2)</f>
        <v>0</v>
      </c>
      <c r="AZ50" s="55" t="n">
        <f aca="false">MIN($F$14,AX50+AY50)</f>
        <v>0</v>
      </c>
      <c r="BA50" s="55" t="n">
        <f aca="false">MAX(0,MIN(AX50+AY50-AZ50,$D50-(H50+M50+R50+W50+AB50+AG50+AL50+AQ50+AV50)))</f>
        <v>0</v>
      </c>
      <c r="BB50" s="55" t="n">
        <f aca="false">AZ50+BA50</f>
        <v>0</v>
      </c>
      <c r="BC50" s="55" t="n">
        <f aca="false">I50+N50+S50+X50+AC50+AH50+AM50+AR50+AW50+BB50</f>
        <v>0</v>
      </c>
      <c r="BD50" s="55" t="n">
        <f aca="false">ROUND((E50+F50-I50)+(J50+K50-N50)+(O50+P50-S50)+(T50+U50-X50)+(Y50+Z50-AC50)+(AD50+AE50-AH50)+(AI50+AJ50-AM50)+(AN50+AO50-AR50)+(AS50+AT50-AW50)+(AX50+AY50-BB50),2)</f>
        <v>0</v>
      </c>
      <c r="BE50" s="25" t="str">
        <f aca="false">IF(H50&gt;0.005,$C$5,IF(M50&gt;0.005,$C$6,IF(R50&gt;0.005,$C$7,IF(W50&gt;0.005,$C$8,IF(AB50&gt;0.005,$C$9,IF(AG50&gt;0.005,$C$10,IF(AL50&gt;0.005,$C$11,IF(AQ50&gt;0.005,$C$12,IF(AV50&gt;0.005,$C$13,IF(BA50&gt;0.005,$C$14,""))))))))))</f>
        <v/>
      </c>
    </row>
    <row r="51" customFormat="false" ht="15" hidden="false" customHeight="false" outlineLevel="0" collapsed="false">
      <c r="A51" s="24" t="n">
        <v>28</v>
      </c>
      <c r="B51" s="54" t="n">
        <f aca="false">EDATE($C$17,A51-1)</f>
        <v>47150</v>
      </c>
      <c r="C51" s="55" t="n">
        <f aca="false">G51+L51+Q51+V51+AA51+AF51+AK51+AP51+AU51+AZ51</f>
        <v>0</v>
      </c>
      <c r="D51" s="55" t="n">
        <f aca="false">MAX(0,$C$16-C51)</f>
        <v>5822</v>
      </c>
      <c r="E51" s="55" t="n">
        <f aca="false">ROUND(MAX(0,E50+F50-I50),2)</f>
        <v>0</v>
      </c>
      <c r="F51" s="55" t="n">
        <f aca="false">ROUND(E51*$E$5/12,2)</f>
        <v>0</v>
      </c>
      <c r="G51" s="55" t="n">
        <f aca="false">MIN($F$5,E51+F51)</f>
        <v>0</v>
      </c>
      <c r="H51" s="55" t="n">
        <f aca="false">MAX(0,MIN(E51+F51-G51,$D51))</f>
        <v>0</v>
      </c>
      <c r="I51" s="55" t="n">
        <f aca="false">G51+H51</f>
        <v>0</v>
      </c>
      <c r="J51" s="55" t="n">
        <f aca="false">ROUND(MAX(0,J50+K50-N50),2)</f>
        <v>0</v>
      </c>
      <c r="K51" s="55" t="n">
        <f aca="false">ROUND(J51*$E$6/12,2)</f>
        <v>0</v>
      </c>
      <c r="L51" s="55" t="n">
        <f aca="false">MIN($F$6,J51+K51)</f>
        <v>0</v>
      </c>
      <c r="M51" s="55" t="n">
        <f aca="false">MAX(0,MIN(J51+K51-L51,$D51-(H51)))</f>
        <v>0</v>
      </c>
      <c r="N51" s="55" t="n">
        <f aca="false">L51+M51</f>
        <v>0</v>
      </c>
      <c r="O51" s="55" t="n">
        <f aca="false">ROUND(MAX(0,O50+P50-S50),2)</f>
        <v>0</v>
      </c>
      <c r="P51" s="55" t="n">
        <f aca="false">ROUND(O51*$E$7/12,2)</f>
        <v>0</v>
      </c>
      <c r="Q51" s="55" t="n">
        <f aca="false">MIN($F$7,O51+P51)</f>
        <v>0</v>
      </c>
      <c r="R51" s="55" t="n">
        <f aca="false">MAX(0,MIN(O51+P51-Q51,$D51-(H51+M51)))</f>
        <v>0</v>
      </c>
      <c r="S51" s="55" t="n">
        <f aca="false">Q51+R51</f>
        <v>0</v>
      </c>
      <c r="T51" s="55" t="n">
        <f aca="false">ROUND(MAX(0,T50+U50-X50),2)</f>
        <v>0</v>
      </c>
      <c r="U51" s="55" t="n">
        <f aca="false">ROUND(T51*$E$8/12,2)</f>
        <v>0</v>
      </c>
      <c r="V51" s="55" t="n">
        <f aca="false">MIN($F$8,T51+U51)</f>
        <v>0</v>
      </c>
      <c r="W51" s="55" t="n">
        <f aca="false">MAX(0,MIN(T51+U51-V51,$D51-(H51+M51+R51)))</f>
        <v>0</v>
      </c>
      <c r="X51" s="55" t="n">
        <f aca="false">V51+W51</f>
        <v>0</v>
      </c>
      <c r="Y51" s="55" t="n">
        <f aca="false">ROUND(MAX(0,Y50+Z50-AC50),2)</f>
        <v>0</v>
      </c>
      <c r="Z51" s="55" t="n">
        <f aca="false">ROUND(Y51*$E$9/12,2)</f>
        <v>0</v>
      </c>
      <c r="AA51" s="55" t="n">
        <f aca="false">MIN($F$9,Y51+Z51)</f>
        <v>0</v>
      </c>
      <c r="AB51" s="55" t="n">
        <f aca="false">MAX(0,MIN(Y51+Z51-AA51,$D51-(H51+M51+R51+W51)))</f>
        <v>0</v>
      </c>
      <c r="AC51" s="55" t="n">
        <f aca="false">AA51+AB51</f>
        <v>0</v>
      </c>
      <c r="AD51" s="55" t="n">
        <f aca="false">ROUND(MAX(0,AD50+AE50-AH50),2)</f>
        <v>0</v>
      </c>
      <c r="AE51" s="55" t="n">
        <f aca="false">ROUND(AD51*$E$10/12,2)</f>
        <v>0</v>
      </c>
      <c r="AF51" s="55" t="n">
        <f aca="false">MIN($F$10,AD51+AE51)</f>
        <v>0</v>
      </c>
      <c r="AG51" s="55" t="n">
        <f aca="false">MAX(0,MIN(AD51+AE51-AF51,$D51-(H51+M51+R51+W51+AB51)))</f>
        <v>0</v>
      </c>
      <c r="AH51" s="55" t="n">
        <f aca="false">AF51+AG51</f>
        <v>0</v>
      </c>
      <c r="AI51" s="55" t="n">
        <f aca="false">ROUND(MAX(0,AI50+AJ50-AM50),2)</f>
        <v>0</v>
      </c>
      <c r="AJ51" s="55" t="n">
        <f aca="false">ROUND(AI51*$E$11/12,2)</f>
        <v>0</v>
      </c>
      <c r="AK51" s="55" t="n">
        <f aca="false">MIN($F$11,AI51+AJ51)</f>
        <v>0</v>
      </c>
      <c r="AL51" s="55" t="n">
        <f aca="false">MAX(0,MIN(AI51+AJ51-AK51,$D51-(H51+M51+R51+W51+AB51+AG51)))</f>
        <v>0</v>
      </c>
      <c r="AM51" s="55" t="n">
        <f aca="false">AK51+AL51</f>
        <v>0</v>
      </c>
      <c r="AN51" s="55" t="n">
        <f aca="false">ROUND(MAX(0,AN50+AO50-AR50),2)</f>
        <v>0</v>
      </c>
      <c r="AO51" s="55" t="n">
        <f aca="false">ROUND(AN51*$E$12/12,2)</f>
        <v>0</v>
      </c>
      <c r="AP51" s="55" t="n">
        <f aca="false">MIN($F$12,AN51+AO51)</f>
        <v>0</v>
      </c>
      <c r="AQ51" s="55" t="n">
        <f aca="false">MAX(0,MIN(AN51+AO51-AP51,$D51-(H51+M51+R51+W51+AB51+AG51+AL51)))</f>
        <v>0</v>
      </c>
      <c r="AR51" s="55" t="n">
        <f aca="false">AP51+AQ51</f>
        <v>0</v>
      </c>
      <c r="AS51" s="55" t="n">
        <f aca="false">ROUND(MAX(0,AS50+AT50-AW50),2)</f>
        <v>0</v>
      </c>
      <c r="AT51" s="55" t="n">
        <f aca="false">ROUND(AS51*$E$13/12,2)</f>
        <v>0</v>
      </c>
      <c r="AU51" s="55" t="n">
        <f aca="false">MIN($F$13,AS51+AT51)</f>
        <v>0</v>
      </c>
      <c r="AV51" s="55" t="n">
        <f aca="false">MAX(0,MIN(AS51+AT51-AU51,$D51-(H51+M51+R51+W51+AB51+AG51+AL51+AQ51)))</f>
        <v>0</v>
      </c>
      <c r="AW51" s="55" t="n">
        <f aca="false">AU51+AV51</f>
        <v>0</v>
      </c>
      <c r="AX51" s="55" t="n">
        <f aca="false">ROUND(MAX(0,AX50+AY50-BB50),2)</f>
        <v>0</v>
      </c>
      <c r="AY51" s="55" t="n">
        <f aca="false">ROUND(AX51*$E$14/12,2)</f>
        <v>0</v>
      </c>
      <c r="AZ51" s="55" t="n">
        <f aca="false">MIN($F$14,AX51+AY51)</f>
        <v>0</v>
      </c>
      <c r="BA51" s="55" t="n">
        <f aca="false">MAX(0,MIN(AX51+AY51-AZ51,$D51-(H51+M51+R51+W51+AB51+AG51+AL51+AQ51+AV51)))</f>
        <v>0</v>
      </c>
      <c r="BB51" s="55" t="n">
        <f aca="false">AZ51+BA51</f>
        <v>0</v>
      </c>
      <c r="BC51" s="55" t="n">
        <f aca="false">I51+N51+S51+X51+AC51+AH51+AM51+AR51+AW51+BB51</f>
        <v>0</v>
      </c>
      <c r="BD51" s="55" t="n">
        <f aca="false">ROUND((E51+F51-I51)+(J51+K51-N51)+(O51+P51-S51)+(T51+U51-X51)+(Y51+Z51-AC51)+(AD51+AE51-AH51)+(AI51+AJ51-AM51)+(AN51+AO51-AR51)+(AS51+AT51-AW51)+(AX51+AY51-BB51),2)</f>
        <v>0</v>
      </c>
      <c r="BE51" s="25" t="str">
        <f aca="false">IF(H51&gt;0.005,$C$5,IF(M51&gt;0.005,$C$6,IF(R51&gt;0.005,$C$7,IF(W51&gt;0.005,$C$8,IF(AB51&gt;0.005,$C$9,IF(AG51&gt;0.005,$C$10,IF(AL51&gt;0.005,$C$11,IF(AQ51&gt;0.005,$C$12,IF(AV51&gt;0.005,$C$13,IF(BA51&gt;0.005,$C$14,""))))))))))</f>
        <v/>
      </c>
    </row>
    <row r="52" customFormat="false" ht="15" hidden="false" customHeight="false" outlineLevel="0" collapsed="false">
      <c r="A52" s="24" t="n">
        <v>29</v>
      </c>
      <c r="B52" s="54" t="n">
        <f aca="false">EDATE($C$17,A52-1)</f>
        <v>47178</v>
      </c>
      <c r="C52" s="55" t="n">
        <f aca="false">G52+L52+Q52+V52+AA52+AF52+AK52+AP52+AU52+AZ52</f>
        <v>0</v>
      </c>
      <c r="D52" s="55" t="n">
        <f aca="false">MAX(0,$C$16-C52)</f>
        <v>5822</v>
      </c>
      <c r="E52" s="55" t="n">
        <f aca="false">ROUND(MAX(0,E51+F51-I51),2)</f>
        <v>0</v>
      </c>
      <c r="F52" s="55" t="n">
        <f aca="false">ROUND(E52*$E$5/12,2)</f>
        <v>0</v>
      </c>
      <c r="G52" s="55" t="n">
        <f aca="false">MIN($F$5,E52+F52)</f>
        <v>0</v>
      </c>
      <c r="H52" s="55" t="n">
        <f aca="false">MAX(0,MIN(E52+F52-G52,$D52))</f>
        <v>0</v>
      </c>
      <c r="I52" s="55" t="n">
        <f aca="false">G52+H52</f>
        <v>0</v>
      </c>
      <c r="J52" s="55" t="n">
        <f aca="false">ROUND(MAX(0,J51+K51-N51),2)</f>
        <v>0</v>
      </c>
      <c r="K52" s="55" t="n">
        <f aca="false">ROUND(J52*$E$6/12,2)</f>
        <v>0</v>
      </c>
      <c r="L52" s="55" t="n">
        <f aca="false">MIN($F$6,J52+K52)</f>
        <v>0</v>
      </c>
      <c r="M52" s="55" t="n">
        <f aca="false">MAX(0,MIN(J52+K52-L52,$D52-(H52)))</f>
        <v>0</v>
      </c>
      <c r="N52" s="55" t="n">
        <f aca="false">L52+M52</f>
        <v>0</v>
      </c>
      <c r="O52" s="55" t="n">
        <f aca="false">ROUND(MAX(0,O51+P51-S51),2)</f>
        <v>0</v>
      </c>
      <c r="P52" s="55" t="n">
        <f aca="false">ROUND(O52*$E$7/12,2)</f>
        <v>0</v>
      </c>
      <c r="Q52" s="55" t="n">
        <f aca="false">MIN($F$7,O52+P52)</f>
        <v>0</v>
      </c>
      <c r="R52" s="55" t="n">
        <f aca="false">MAX(0,MIN(O52+P52-Q52,$D52-(H52+M52)))</f>
        <v>0</v>
      </c>
      <c r="S52" s="55" t="n">
        <f aca="false">Q52+R52</f>
        <v>0</v>
      </c>
      <c r="T52" s="55" t="n">
        <f aca="false">ROUND(MAX(0,T51+U51-X51),2)</f>
        <v>0</v>
      </c>
      <c r="U52" s="55" t="n">
        <f aca="false">ROUND(T52*$E$8/12,2)</f>
        <v>0</v>
      </c>
      <c r="V52" s="55" t="n">
        <f aca="false">MIN($F$8,T52+U52)</f>
        <v>0</v>
      </c>
      <c r="W52" s="55" t="n">
        <f aca="false">MAX(0,MIN(T52+U52-V52,$D52-(H52+M52+R52)))</f>
        <v>0</v>
      </c>
      <c r="X52" s="55" t="n">
        <f aca="false">V52+W52</f>
        <v>0</v>
      </c>
      <c r="Y52" s="55" t="n">
        <f aca="false">ROUND(MAX(0,Y51+Z51-AC51),2)</f>
        <v>0</v>
      </c>
      <c r="Z52" s="55" t="n">
        <f aca="false">ROUND(Y52*$E$9/12,2)</f>
        <v>0</v>
      </c>
      <c r="AA52" s="55" t="n">
        <f aca="false">MIN($F$9,Y52+Z52)</f>
        <v>0</v>
      </c>
      <c r="AB52" s="55" t="n">
        <f aca="false">MAX(0,MIN(Y52+Z52-AA52,$D52-(H52+M52+R52+W52)))</f>
        <v>0</v>
      </c>
      <c r="AC52" s="55" t="n">
        <f aca="false">AA52+AB52</f>
        <v>0</v>
      </c>
      <c r="AD52" s="55" t="n">
        <f aca="false">ROUND(MAX(0,AD51+AE51-AH51),2)</f>
        <v>0</v>
      </c>
      <c r="AE52" s="55" t="n">
        <f aca="false">ROUND(AD52*$E$10/12,2)</f>
        <v>0</v>
      </c>
      <c r="AF52" s="55" t="n">
        <f aca="false">MIN($F$10,AD52+AE52)</f>
        <v>0</v>
      </c>
      <c r="AG52" s="55" t="n">
        <f aca="false">MAX(0,MIN(AD52+AE52-AF52,$D52-(H52+M52+R52+W52+AB52)))</f>
        <v>0</v>
      </c>
      <c r="AH52" s="55" t="n">
        <f aca="false">AF52+AG52</f>
        <v>0</v>
      </c>
      <c r="AI52" s="55" t="n">
        <f aca="false">ROUND(MAX(0,AI51+AJ51-AM51),2)</f>
        <v>0</v>
      </c>
      <c r="AJ52" s="55" t="n">
        <f aca="false">ROUND(AI52*$E$11/12,2)</f>
        <v>0</v>
      </c>
      <c r="AK52" s="55" t="n">
        <f aca="false">MIN($F$11,AI52+AJ52)</f>
        <v>0</v>
      </c>
      <c r="AL52" s="55" t="n">
        <f aca="false">MAX(0,MIN(AI52+AJ52-AK52,$D52-(H52+M52+R52+W52+AB52+AG52)))</f>
        <v>0</v>
      </c>
      <c r="AM52" s="55" t="n">
        <f aca="false">AK52+AL52</f>
        <v>0</v>
      </c>
      <c r="AN52" s="55" t="n">
        <f aca="false">ROUND(MAX(0,AN51+AO51-AR51),2)</f>
        <v>0</v>
      </c>
      <c r="AO52" s="55" t="n">
        <f aca="false">ROUND(AN52*$E$12/12,2)</f>
        <v>0</v>
      </c>
      <c r="AP52" s="55" t="n">
        <f aca="false">MIN($F$12,AN52+AO52)</f>
        <v>0</v>
      </c>
      <c r="AQ52" s="55" t="n">
        <f aca="false">MAX(0,MIN(AN52+AO52-AP52,$D52-(H52+M52+R52+W52+AB52+AG52+AL52)))</f>
        <v>0</v>
      </c>
      <c r="AR52" s="55" t="n">
        <f aca="false">AP52+AQ52</f>
        <v>0</v>
      </c>
      <c r="AS52" s="55" t="n">
        <f aca="false">ROUND(MAX(0,AS51+AT51-AW51),2)</f>
        <v>0</v>
      </c>
      <c r="AT52" s="55" t="n">
        <f aca="false">ROUND(AS52*$E$13/12,2)</f>
        <v>0</v>
      </c>
      <c r="AU52" s="55" t="n">
        <f aca="false">MIN($F$13,AS52+AT52)</f>
        <v>0</v>
      </c>
      <c r="AV52" s="55" t="n">
        <f aca="false">MAX(0,MIN(AS52+AT52-AU52,$D52-(H52+M52+R52+W52+AB52+AG52+AL52+AQ52)))</f>
        <v>0</v>
      </c>
      <c r="AW52" s="55" t="n">
        <f aca="false">AU52+AV52</f>
        <v>0</v>
      </c>
      <c r="AX52" s="55" t="n">
        <f aca="false">ROUND(MAX(0,AX51+AY51-BB51),2)</f>
        <v>0</v>
      </c>
      <c r="AY52" s="55" t="n">
        <f aca="false">ROUND(AX52*$E$14/12,2)</f>
        <v>0</v>
      </c>
      <c r="AZ52" s="55" t="n">
        <f aca="false">MIN($F$14,AX52+AY52)</f>
        <v>0</v>
      </c>
      <c r="BA52" s="55" t="n">
        <f aca="false">MAX(0,MIN(AX52+AY52-AZ52,$D52-(H52+M52+R52+W52+AB52+AG52+AL52+AQ52+AV52)))</f>
        <v>0</v>
      </c>
      <c r="BB52" s="55" t="n">
        <f aca="false">AZ52+BA52</f>
        <v>0</v>
      </c>
      <c r="BC52" s="55" t="n">
        <f aca="false">I52+N52+S52+X52+AC52+AH52+AM52+AR52+AW52+BB52</f>
        <v>0</v>
      </c>
      <c r="BD52" s="55" t="n">
        <f aca="false">ROUND((E52+F52-I52)+(J52+K52-N52)+(O52+P52-S52)+(T52+U52-X52)+(Y52+Z52-AC52)+(AD52+AE52-AH52)+(AI52+AJ52-AM52)+(AN52+AO52-AR52)+(AS52+AT52-AW52)+(AX52+AY52-BB52),2)</f>
        <v>0</v>
      </c>
      <c r="BE52" s="25" t="str">
        <f aca="false">IF(H52&gt;0.005,$C$5,IF(M52&gt;0.005,$C$6,IF(R52&gt;0.005,$C$7,IF(W52&gt;0.005,$C$8,IF(AB52&gt;0.005,$C$9,IF(AG52&gt;0.005,$C$10,IF(AL52&gt;0.005,$C$11,IF(AQ52&gt;0.005,$C$12,IF(AV52&gt;0.005,$C$13,IF(BA52&gt;0.005,$C$14,""))))))))))</f>
        <v/>
      </c>
    </row>
    <row r="53" customFormat="false" ht="15" hidden="false" customHeight="false" outlineLevel="0" collapsed="false">
      <c r="A53" s="24" t="n">
        <v>30</v>
      </c>
      <c r="B53" s="54" t="n">
        <f aca="false">EDATE($C$17,A53-1)</f>
        <v>47209</v>
      </c>
      <c r="C53" s="55" t="n">
        <f aca="false">G53+L53+Q53+V53+AA53+AF53+AK53+AP53+AU53+AZ53</f>
        <v>0</v>
      </c>
      <c r="D53" s="55" t="n">
        <f aca="false">MAX(0,$C$16-C53)</f>
        <v>5822</v>
      </c>
      <c r="E53" s="55" t="n">
        <f aca="false">ROUND(MAX(0,E52+F52-I52),2)</f>
        <v>0</v>
      </c>
      <c r="F53" s="55" t="n">
        <f aca="false">ROUND(E53*$E$5/12,2)</f>
        <v>0</v>
      </c>
      <c r="G53" s="55" t="n">
        <f aca="false">MIN($F$5,E53+F53)</f>
        <v>0</v>
      </c>
      <c r="H53" s="55" t="n">
        <f aca="false">MAX(0,MIN(E53+F53-G53,$D53))</f>
        <v>0</v>
      </c>
      <c r="I53" s="55" t="n">
        <f aca="false">G53+H53</f>
        <v>0</v>
      </c>
      <c r="J53" s="55" t="n">
        <f aca="false">ROUND(MAX(0,J52+K52-N52),2)</f>
        <v>0</v>
      </c>
      <c r="K53" s="55" t="n">
        <f aca="false">ROUND(J53*$E$6/12,2)</f>
        <v>0</v>
      </c>
      <c r="L53" s="55" t="n">
        <f aca="false">MIN($F$6,J53+K53)</f>
        <v>0</v>
      </c>
      <c r="M53" s="55" t="n">
        <f aca="false">MAX(0,MIN(J53+K53-L53,$D53-(H53)))</f>
        <v>0</v>
      </c>
      <c r="N53" s="55" t="n">
        <f aca="false">L53+M53</f>
        <v>0</v>
      </c>
      <c r="O53" s="55" t="n">
        <f aca="false">ROUND(MAX(0,O52+P52-S52),2)</f>
        <v>0</v>
      </c>
      <c r="P53" s="55" t="n">
        <f aca="false">ROUND(O53*$E$7/12,2)</f>
        <v>0</v>
      </c>
      <c r="Q53" s="55" t="n">
        <f aca="false">MIN($F$7,O53+P53)</f>
        <v>0</v>
      </c>
      <c r="R53" s="55" t="n">
        <f aca="false">MAX(0,MIN(O53+P53-Q53,$D53-(H53+M53)))</f>
        <v>0</v>
      </c>
      <c r="S53" s="55" t="n">
        <f aca="false">Q53+R53</f>
        <v>0</v>
      </c>
      <c r="T53" s="55" t="n">
        <f aca="false">ROUND(MAX(0,T52+U52-X52),2)</f>
        <v>0</v>
      </c>
      <c r="U53" s="55" t="n">
        <f aca="false">ROUND(T53*$E$8/12,2)</f>
        <v>0</v>
      </c>
      <c r="V53" s="55" t="n">
        <f aca="false">MIN($F$8,T53+U53)</f>
        <v>0</v>
      </c>
      <c r="W53" s="55" t="n">
        <f aca="false">MAX(0,MIN(T53+U53-V53,$D53-(H53+M53+R53)))</f>
        <v>0</v>
      </c>
      <c r="X53" s="55" t="n">
        <f aca="false">V53+W53</f>
        <v>0</v>
      </c>
      <c r="Y53" s="55" t="n">
        <f aca="false">ROUND(MAX(0,Y52+Z52-AC52),2)</f>
        <v>0</v>
      </c>
      <c r="Z53" s="55" t="n">
        <f aca="false">ROUND(Y53*$E$9/12,2)</f>
        <v>0</v>
      </c>
      <c r="AA53" s="55" t="n">
        <f aca="false">MIN($F$9,Y53+Z53)</f>
        <v>0</v>
      </c>
      <c r="AB53" s="55" t="n">
        <f aca="false">MAX(0,MIN(Y53+Z53-AA53,$D53-(H53+M53+R53+W53)))</f>
        <v>0</v>
      </c>
      <c r="AC53" s="55" t="n">
        <f aca="false">AA53+AB53</f>
        <v>0</v>
      </c>
      <c r="AD53" s="55" t="n">
        <f aca="false">ROUND(MAX(0,AD52+AE52-AH52),2)</f>
        <v>0</v>
      </c>
      <c r="AE53" s="55" t="n">
        <f aca="false">ROUND(AD53*$E$10/12,2)</f>
        <v>0</v>
      </c>
      <c r="AF53" s="55" t="n">
        <f aca="false">MIN($F$10,AD53+AE53)</f>
        <v>0</v>
      </c>
      <c r="AG53" s="55" t="n">
        <f aca="false">MAX(0,MIN(AD53+AE53-AF53,$D53-(H53+M53+R53+W53+AB53)))</f>
        <v>0</v>
      </c>
      <c r="AH53" s="55" t="n">
        <f aca="false">AF53+AG53</f>
        <v>0</v>
      </c>
      <c r="AI53" s="55" t="n">
        <f aca="false">ROUND(MAX(0,AI52+AJ52-AM52),2)</f>
        <v>0</v>
      </c>
      <c r="AJ53" s="55" t="n">
        <f aca="false">ROUND(AI53*$E$11/12,2)</f>
        <v>0</v>
      </c>
      <c r="AK53" s="55" t="n">
        <f aca="false">MIN($F$11,AI53+AJ53)</f>
        <v>0</v>
      </c>
      <c r="AL53" s="55" t="n">
        <f aca="false">MAX(0,MIN(AI53+AJ53-AK53,$D53-(H53+M53+R53+W53+AB53+AG53)))</f>
        <v>0</v>
      </c>
      <c r="AM53" s="55" t="n">
        <f aca="false">AK53+AL53</f>
        <v>0</v>
      </c>
      <c r="AN53" s="55" t="n">
        <f aca="false">ROUND(MAX(0,AN52+AO52-AR52),2)</f>
        <v>0</v>
      </c>
      <c r="AO53" s="55" t="n">
        <f aca="false">ROUND(AN53*$E$12/12,2)</f>
        <v>0</v>
      </c>
      <c r="AP53" s="55" t="n">
        <f aca="false">MIN($F$12,AN53+AO53)</f>
        <v>0</v>
      </c>
      <c r="AQ53" s="55" t="n">
        <f aca="false">MAX(0,MIN(AN53+AO53-AP53,$D53-(H53+M53+R53+W53+AB53+AG53+AL53)))</f>
        <v>0</v>
      </c>
      <c r="AR53" s="55" t="n">
        <f aca="false">AP53+AQ53</f>
        <v>0</v>
      </c>
      <c r="AS53" s="55" t="n">
        <f aca="false">ROUND(MAX(0,AS52+AT52-AW52),2)</f>
        <v>0</v>
      </c>
      <c r="AT53" s="55" t="n">
        <f aca="false">ROUND(AS53*$E$13/12,2)</f>
        <v>0</v>
      </c>
      <c r="AU53" s="55" t="n">
        <f aca="false">MIN($F$13,AS53+AT53)</f>
        <v>0</v>
      </c>
      <c r="AV53" s="55" t="n">
        <f aca="false">MAX(0,MIN(AS53+AT53-AU53,$D53-(H53+M53+R53+W53+AB53+AG53+AL53+AQ53)))</f>
        <v>0</v>
      </c>
      <c r="AW53" s="55" t="n">
        <f aca="false">AU53+AV53</f>
        <v>0</v>
      </c>
      <c r="AX53" s="55" t="n">
        <f aca="false">ROUND(MAX(0,AX52+AY52-BB52),2)</f>
        <v>0</v>
      </c>
      <c r="AY53" s="55" t="n">
        <f aca="false">ROUND(AX53*$E$14/12,2)</f>
        <v>0</v>
      </c>
      <c r="AZ53" s="55" t="n">
        <f aca="false">MIN($F$14,AX53+AY53)</f>
        <v>0</v>
      </c>
      <c r="BA53" s="55" t="n">
        <f aca="false">MAX(0,MIN(AX53+AY53-AZ53,$D53-(H53+M53+R53+W53+AB53+AG53+AL53+AQ53+AV53)))</f>
        <v>0</v>
      </c>
      <c r="BB53" s="55" t="n">
        <f aca="false">AZ53+BA53</f>
        <v>0</v>
      </c>
      <c r="BC53" s="55" t="n">
        <f aca="false">I53+N53+S53+X53+AC53+AH53+AM53+AR53+AW53+BB53</f>
        <v>0</v>
      </c>
      <c r="BD53" s="55" t="n">
        <f aca="false">ROUND((E53+F53-I53)+(J53+K53-N53)+(O53+P53-S53)+(T53+U53-X53)+(Y53+Z53-AC53)+(AD53+AE53-AH53)+(AI53+AJ53-AM53)+(AN53+AO53-AR53)+(AS53+AT53-AW53)+(AX53+AY53-BB53),2)</f>
        <v>0</v>
      </c>
      <c r="BE53" s="25" t="str">
        <f aca="false">IF(H53&gt;0.005,$C$5,IF(M53&gt;0.005,$C$6,IF(R53&gt;0.005,$C$7,IF(W53&gt;0.005,$C$8,IF(AB53&gt;0.005,$C$9,IF(AG53&gt;0.005,$C$10,IF(AL53&gt;0.005,$C$11,IF(AQ53&gt;0.005,$C$12,IF(AV53&gt;0.005,$C$13,IF(BA53&gt;0.005,$C$14,""))))))))))</f>
        <v/>
      </c>
    </row>
    <row r="54" customFormat="false" ht="15" hidden="false" customHeight="false" outlineLevel="0" collapsed="false">
      <c r="A54" s="24" t="n">
        <v>31</v>
      </c>
      <c r="B54" s="54" t="n">
        <f aca="false">EDATE($C$17,A54-1)</f>
        <v>47239</v>
      </c>
      <c r="C54" s="55" t="n">
        <f aca="false">G54+L54+Q54+V54+AA54+AF54+AK54+AP54+AU54+AZ54</f>
        <v>0</v>
      </c>
      <c r="D54" s="55" t="n">
        <f aca="false">MAX(0,$C$16-C54)</f>
        <v>5822</v>
      </c>
      <c r="E54" s="55" t="n">
        <f aca="false">ROUND(MAX(0,E53+F53-I53),2)</f>
        <v>0</v>
      </c>
      <c r="F54" s="55" t="n">
        <f aca="false">ROUND(E54*$E$5/12,2)</f>
        <v>0</v>
      </c>
      <c r="G54" s="55" t="n">
        <f aca="false">MIN($F$5,E54+F54)</f>
        <v>0</v>
      </c>
      <c r="H54" s="55" t="n">
        <f aca="false">MAX(0,MIN(E54+F54-G54,$D54))</f>
        <v>0</v>
      </c>
      <c r="I54" s="55" t="n">
        <f aca="false">G54+H54</f>
        <v>0</v>
      </c>
      <c r="J54" s="55" t="n">
        <f aca="false">ROUND(MAX(0,J53+K53-N53),2)</f>
        <v>0</v>
      </c>
      <c r="K54" s="55" t="n">
        <f aca="false">ROUND(J54*$E$6/12,2)</f>
        <v>0</v>
      </c>
      <c r="L54" s="55" t="n">
        <f aca="false">MIN($F$6,J54+K54)</f>
        <v>0</v>
      </c>
      <c r="M54" s="55" t="n">
        <f aca="false">MAX(0,MIN(J54+K54-L54,$D54-(H54)))</f>
        <v>0</v>
      </c>
      <c r="N54" s="55" t="n">
        <f aca="false">L54+M54</f>
        <v>0</v>
      </c>
      <c r="O54" s="55" t="n">
        <f aca="false">ROUND(MAX(0,O53+P53-S53),2)</f>
        <v>0</v>
      </c>
      <c r="P54" s="55" t="n">
        <f aca="false">ROUND(O54*$E$7/12,2)</f>
        <v>0</v>
      </c>
      <c r="Q54" s="55" t="n">
        <f aca="false">MIN($F$7,O54+P54)</f>
        <v>0</v>
      </c>
      <c r="R54" s="55" t="n">
        <f aca="false">MAX(0,MIN(O54+P54-Q54,$D54-(H54+M54)))</f>
        <v>0</v>
      </c>
      <c r="S54" s="55" t="n">
        <f aca="false">Q54+R54</f>
        <v>0</v>
      </c>
      <c r="T54" s="55" t="n">
        <f aca="false">ROUND(MAX(0,T53+U53-X53),2)</f>
        <v>0</v>
      </c>
      <c r="U54" s="55" t="n">
        <f aca="false">ROUND(T54*$E$8/12,2)</f>
        <v>0</v>
      </c>
      <c r="V54" s="55" t="n">
        <f aca="false">MIN($F$8,T54+U54)</f>
        <v>0</v>
      </c>
      <c r="W54" s="55" t="n">
        <f aca="false">MAX(0,MIN(T54+U54-V54,$D54-(H54+M54+R54)))</f>
        <v>0</v>
      </c>
      <c r="X54" s="55" t="n">
        <f aca="false">V54+W54</f>
        <v>0</v>
      </c>
      <c r="Y54" s="55" t="n">
        <f aca="false">ROUND(MAX(0,Y53+Z53-AC53),2)</f>
        <v>0</v>
      </c>
      <c r="Z54" s="55" t="n">
        <f aca="false">ROUND(Y54*$E$9/12,2)</f>
        <v>0</v>
      </c>
      <c r="AA54" s="55" t="n">
        <f aca="false">MIN($F$9,Y54+Z54)</f>
        <v>0</v>
      </c>
      <c r="AB54" s="55" t="n">
        <f aca="false">MAX(0,MIN(Y54+Z54-AA54,$D54-(H54+M54+R54+W54)))</f>
        <v>0</v>
      </c>
      <c r="AC54" s="55" t="n">
        <f aca="false">AA54+AB54</f>
        <v>0</v>
      </c>
      <c r="AD54" s="55" t="n">
        <f aca="false">ROUND(MAX(0,AD53+AE53-AH53),2)</f>
        <v>0</v>
      </c>
      <c r="AE54" s="55" t="n">
        <f aca="false">ROUND(AD54*$E$10/12,2)</f>
        <v>0</v>
      </c>
      <c r="AF54" s="55" t="n">
        <f aca="false">MIN($F$10,AD54+AE54)</f>
        <v>0</v>
      </c>
      <c r="AG54" s="55" t="n">
        <f aca="false">MAX(0,MIN(AD54+AE54-AF54,$D54-(H54+M54+R54+W54+AB54)))</f>
        <v>0</v>
      </c>
      <c r="AH54" s="55" t="n">
        <f aca="false">AF54+AG54</f>
        <v>0</v>
      </c>
      <c r="AI54" s="55" t="n">
        <f aca="false">ROUND(MAX(0,AI53+AJ53-AM53),2)</f>
        <v>0</v>
      </c>
      <c r="AJ54" s="55" t="n">
        <f aca="false">ROUND(AI54*$E$11/12,2)</f>
        <v>0</v>
      </c>
      <c r="AK54" s="55" t="n">
        <f aca="false">MIN($F$11,AI54+AJ54)</f>
        <v>0</v>
      </c>
      <c r="AL54" s="55" t="n">
        <f aca="false">MAX(0,MIN(AI54+AJ54-AK54,$D54-(H54+M54+R54+W54+AB54+AG54)))</f>
        <v>0</v>
      </c>
      <c r="AM54" s="55" t="n">
        <f aca="false">AK54+AL54</f>
        <v>0</v>
      </c>
      <c r="AN54" s="55" t="n">
        <f aca="false">ROUND(MAX(0,AN53+AO53-AR53),2)</f>
        <v>0</v>
      </c>
      <c r="AO54" s="55" t="n">
        <f aca="false">ROUND(AN54*$E$12/12,2)</f>
        <v>0</v>
      </c>
      <c r="AP54" s="55" t="n">
        <f aca="false">MIN($F$12,AN54+AO54)</f>
        <v>0</v>
      </c>
      <c r="AQ54" s="55" t="n">
        <f aca="false">MAX(0,MIN(AN54+AO54-AP54,$D54-(H54+M54+R54+W54+AB54+AG54+AL54)))</f>
        <v>0</v>
      </c>
      <c r="AR54" s="55" t="n">
        <f aca="false">AP54+AQ54</f>
        <v>0</v>
      </c>
      <c r="AS54" s="55" t="n">
        <f aca="false">ROUND(MAX(0,AS53+AT53-AW53),2)</f>
        <v>0</v>
      </c>
      <c r="AT54" s="55" t="n">
        <f aca="false">ROUND(AS54*$E$13/12,2)</f>
        <v>0</v>
      </c>
      <c r="AU54" s="55" t="n">
        <f aca="false">MIN($F$13,AS54+AT54)</f>
        <v>0</v>
      </c>
      <c r="AV54" s="55" t="n">
        <f aca="false">MAX(0,MIN(AS54+AT54-AU54,$D54-(H54+M54+R54+W54+AB54+AG54+AL54+AQ54)))</f>
        <v>0</v>
      </c>
      <c r="AW54" s="55" t="n">
        <f aca="false">AU54+AV54</f>
        <v>0</v>
      </c>
      <c r="AX54" s="55" t="n">
        <f aca="false">ROUND(MAX(0,AX53+AY53-BB53),2)</f>
        <v>0</v>
      </c>
      <c r="AY54" s="55" t="n">
        <f aca="false">ROUND(AX54*$E$14/12,2)</f>
        <v>0</v>
      </c>
      <c r="AZ54" s="55" t="n">
        <f aca="false">MIN($F$14,AX54+AY54)</f>
        <v>0</v>
      </c>
      <c r="BA54" s="55" t="n">
        <f aca="false">MAX(0,MIN(AX54+AY54-AZ54,$D54-(H54+M54+R54+W54+AB54+AG54+AL54+AQ54+AV54)))</f>
        <v>0</v>
      </c>
      <c r="BB54" s="55" t="n">
        <f aca="false">AZ54+BA54</f>
        <v>0</v>
      </c>
      <c r="BC54" s="55" t="n">
        <f aca="false">I54+N54+S54+X54+AC54+AH54+AM54+AR54+AW54+BB54</f>
        <v>0</v>
      </c>
      <c r="BD54" s="55" t="n">
        <f aca="false">ROUND((E54+F54-I54)+(J54+K54-N54)+(O54+P54-S54)+(T54+U54-X54)+(Y54+Z54-AC54)+(AD54+AE54-AH54)+(AI54+AJ54-AM54)+(AN54+AO54-AR54)+(AS54+AT54-AW54)+(AX54+AY54-BB54),2)</f>
        <v>0</v>
      </c>
      <c r="BE54" s="25" t="str">
        <f aca="false">IF(H54&gt;0.005,$C$5,IF(M54&gt;0.005,$C$6,IF(R54&gt;0.005,$C$7,IF(W54&gt;0.005,$C$8,IF(AB54&gt;0.005,$C$9,IF(AG54&gt;0.005,$C$10,IF(AL54&gt;0.005,$C$11,IF(AQ54&gt;0.005,$C$12,IF(AV54&gt;0.005,$C$13,IF(BA54&gt;0.005,$C$14,""))))))))))</f>
        <v/>
      </c>
    </row>
    <row r="55" customFormat="false" ht="15" hidden="false" customHeight="false" outlineLevel="0" collapsed="false">
      <c r="A55" s="24" t="n">
        <v>32</v>
      </c>
      <c r="B55" s="54" t="n">
        <f aca="false">EDATE($C$17,A55-1)</f>
        <v>47270</v>
      </c>
      <c r="C55" s="55" t="n">
        <f aca="false">G55+L55+Q55+V55+AA55+AF55+AK55+AP55+AU55+AZ55</f>
        <v>0</v>
      </c>
      <c r="D55" s="55" t="n">
        <f aca="false">MAX(0,$C$16-C55)</f>
        <v>5822</v>
      </c>
      <c r="E55" s="55" t="n">
        <f aca="false">ROUND(MAX(0,E54+F54-I54),2)</f>
        <v>0</v>
      </c>
      <c r="F55" s="55" t="n">
        <f aca="false">ROUND(E55*$E$5/12,2)</f>
        <v>0</v>
      </c>
      <c r="G55" s="55" t="n">
        <f aca="false">MIN($F$5,E55+F55)</f>
        <v>0</v>
      </c>
      <c r="H55" s="55" t="n">
        <f aca="false">MAX(0,MIN(E55+F55-G55,$D55))</f>
        <v>0</v>
      </c>
      <c r="I55" s="55" t="n">
        <f aca="false">G55+H55</f>
        <v>0</v>
      </c>
      <c r="J55" s="55" t="n">
        <f aca="false">ROUND(MAX(0,J54+K54-N54),2)</f>
        <v>0</v>
      </c>
      <c r="K55" s="55" t="n">
        <f aca="false">ROUND(J55*$E$6/12,2)</f>
        <v>0</v>
      </c>
      <c r="L55" s="55" t="n">
        <f aca="false">MIN($F$6,J55+K55)</f>
        <v>0</v>
      </c>
      <c r="M55" s="55" t="n">
        <f aca="false">MAX(0,MIN(J55+K55-L55,$D55-(H55)))</f>
        <v>0</v>
      </c>
      <c r="N55" s="55" t="n">
        <f aca="false">L55+M55</f>
        <v>0</v>
      </c>
      <c r="O55" s="55" t="n">
        <f aca="false">ROUND(MAX(0,O54+P54-S54),2)</f>
        <v>0</v>
      </c>
      <c r="P55" s="55" t="n">
        <f aca="false">ROUND(O55*$E$7/12,2)</f>
        <v>0</v>
      </c>
      <c r="Q55" s="55" t="n">
        <f aca="false">MIN($F$7,O55+P55)</f>
        <v>0</v>
      </c>
      <c r="R55" s="55" t="n">
        <f aca="false">MAX(0,MIN(O55+P55-Q55,$D55-(H55+M55)))</f>
        <v>0</v>
      </c>
      <c r="S55" s="55" t="n">
        <f aca="false">Q55+R55</f>
        <v>0</v>
      </c>
      <c r="T55" s="55" t="n">
        <f aca="false">ROUND(MAX(0,T54+U54-X54),2)</f>
        <v>0</v>
      </c>
      <c r="U55" s="55" t="n">
        <f aca="false">ROUND(T55*$E$8/12,2)</f>
        <v>0</v>
      </c>
      <c r="V55" s="55" t="n">
        <f aca="false">MIN($F$8,T55+U55)</f>
        <v>0</v>
      </c>
      <c r="W55" s="55" t="n">
        <f aca="false">MAX(0,MIN(T55+U55-V55,$D55-(H55+M55+R55)))</f>
        <v>0</v>
      </c>
      <c r="X55" s="55" t="n">
        <f aca="false">V55+W55</f>
        <v>0</v>
      </c>
      <c r="Y55" s="55" t="n">
        <f aca="false">ROUND(MAX(0,Y54+Z54-AC54),2)</f>
        <v>0</v>
      </c>
      <c r="Z55" s="55" t="n">
        <f aca="false">ROUND(Y55*$E$9/12,2)</f>
        <v>0</v>
      </c>
      <c r="AA55" s="55" t="n">
        <f aca="false">MIN($F$9,Y55+Z55)</f>
        <v>0</v>
      </c>
      <c r="AB55" s="55" t="n">
        <f aca="false">MAX(0,MIN(Y55+Z55-AA55,$D55-(H55+M55+R55+W55)))</f>
        <v>0</v>
      </c>
      <c r="AC55" s="55" t="n">
        <f aca="false">AA55+AB55</f>
        <v>0</v>
      </c>
      <c r="AD55" s="55" t="n">
        <f aca="false">ROUND(MAX(0,AD54+AE54-AH54),2)</f>
        <v>0</v>
      </c>
      <c r="AE55" s="55" t="n">
        <f aca="false">ROUND(AD55*$E$10/12,2)</f>
        <v>0</v>
      </c>
      <c r="AF55" s="55" t="n">
        <f aca="false">MIN($F$10,AD55+AE55)</f>
        <v>0</v>
      </c>
      <c r="AG55" s="55" t="n">
        <f aca="false">MAX(0,MIN(AD55+AE55-AF55,$D55-(H55+M55+R55+W55+AB55)))</f>
        <v>0</v>
      </c>
      <c r="AH55" s="55" t="n">
        <f aca="false">AF55+AG55</f>
        <v>0</v>
      </c>
      <c r="AI55" s="55" t="n">
        <f aca="false">ROUND(MAX(0,AI54+AJ54-AM54),2)</f>
        <v>0</v>
      </c>
      <c r="AJ55" s="55" t="n">
        <f aca="false">ROUND(AI55*$E$11/12,2)</f>
        <v>0</v>
      </c>
      <c r="AK55" s="55" t="n">
        <f aca="false">MIN($F$11,AI55+AJ55)</f>
        <v>0</v>
      </c>
      <c r="AL55" s="55" t="n">
        <f aca="false">MAX(0,MIN(AI55+AJ55-AK55,$D55-(H55+M55+R55+W55+AB55+AG55)))</f>
        <v>0</v>
      </c>
      <c r="AM55" s="55" t="n">
        <f aca="false">AK55+AL55</f>
        <v>0</v>
      </c>
      <c r="AN55" s="55" t="n">
        <f aca="false">ROUND(MAX(0,AN54+AO54-AR54),2)</f>
        <v>0</v>
      </c>
      <c r="AO55" s="55" t="n">
        <f aca="false">ROUND(AN55*$E$12/12,2)</f>
        <v>0</v>
      </c>
      <c r="AP55" s="55" t="n">
        <f aca="false">MIN($F$12,AN55+AO55)</f>
        <v>0</v>
      </c>
      <c r="AQ55" s="55" t="n">
        <f aca="false">MAX(0,MIN(AN55+AO55-AP55,$D55-(H55+M55+R55+W55+AB55+AG55+AL55)))</f>
        <v>0</v>
      </c>
      <c r="AR55" s="55" t="n">
        <f aca="false">AP55+AQ55</f>
        <v>0</v>
      </c>
      <c r="AS55" s="55" t="n">
        <f aca="false">ROUND(MAX(0,AS54+AT54-AW54),2)</f>
        <v>0</v>
      </c>
      <c r="AT55" s="55" t="n">
        <f aca="false">ROUND(AS55*$E$13/12,2)</f>
        <v>0</v>
      </c>
      <c r="AU55" s="55" t="n">
        <f aca="false">MIN($F$13,AS55+AT55)</f>
        <v>0</v>
      </c>
      <c r="AV55" s="55" t="n">
        <f aca="false">MAX(0,MIN(AS55+AT55-AU55,$D55-(H55+M55+R55+W55+AB55+AG55+AL55+AQ55)))</f>
        <v>0</v>
      </c>
      <c r="AW55" s="55" t="n">
        <f aca="false">AU55+AV55</f>
        <v>0</v>
      </c>
      <c r="AX55" s="55" t="n">
        <f aca="false">ROUND(MAX(0,AX54+AY54-BB54),2)</f>
        <v>0</v>
      </c>
      <c r="AY55" s="55" t="n">
        <f aca="false">ROUND(AX55*$E$14/12,2)</f>
        <v>0</v>
      </c>
      <c r="AZ55" s="55" t="n">
        <f aca="false">MIN($F$14,AX55+AY55)</f>
        <v>0</v>
      </c>
      <c r="BA55" s="55" t="n">
        <f aca="false">MAX(0,MIN(AX55+AY55-AZ55,$D55-(H55+M55+R55+W55+AB55+AG55+AL55+AQ55+AV55)))</f>
        <v>0</v>
      </c>
      <c r="BB55" s="55" t="n">
        <f aca="false">AZ55+BA55</f>
        <v>0</v>
      </c>
      <c r="BC55" s="55" t="n">
        <f aca="false">I55+N55+S55+X55+AC55+AH55+AM55+AR55+AW55+BB55</f>
        <v>0</v>
      </c>
      <c r="BD55" s="55" t="n">
        <f aca="false">ROUND((E55+F55-I55)+(J55+K55-N55)+(O55+P55-S55)+(T55+U55-X55)+(Y55+Z55-AC55)+(AD55+AE55-AH55)+(AI55+AJ55-AM55)+(AN55+AO55-AR55)+(AS55+AT55-AW55)+(AX55+AY55-BB55),2)</f>
        <v>0</v>
      </c>
      <c r="BE55" s="25" t="str">
        <f aca="false">IF(H55&gt;0.005,$C$5,IF(M55&gt;0.005,$C$6,IF(R55&gt;0.005,$C$7,IF(W55&gt;0.005,$C$8,IF(AB55&gt;0.005,$C$9,IF(AG55&gt;0.005,$C$10,IF(AL55&gt;0.005,$C$11,IF(AQ55&gt;0.005,$C$12,IF(AV55&gt;0.005,$C$13,IF(BA55&gt;0.005,$C$14,""))))))))))</f>
        <v/>
      </c>
    </row>
    <row r="56" customFormat="false" ht="15" hidden="false" customHeight="false" outlineLevel="0" collapsed="false">
      <c r="A56" s="24" t="n">
        <v>33</v>
      </c>
      <c r="B56" s="54" t="n">
        <f aca="false">EDATE($C$17,A56-1)</f>
        <v>47300</v>
      </c>
      <c r="C56" s="55" t="n">
        <f aca="false">G56+L56+Q56+V56+AA56+AF56+AK56+AP56+AU56+AZ56</f>
        <v>0</v>
      </c>
      <c r="D56" s="55" t="n">
        <f aca="false">MAX(0,$C$16-C56)</f>
        <v>5822</v>
      </c>
      <c r="E56" s="55" t="n">
        <f aca="false">ROUND(MAX(0,E55+F55-I55),2)</f>
        <v>0</v>
      </c>
      <c r="F56" s="55" t="n">
        <f aca="false">ROUND(E56*$E$5/12,2)</f>
        <v>0</v>
      </c>
      <c r="G56" s="55" t="n">
        <f aca="false">MIN($F$5,E56+F56)</f>
        <v>0</v>
      </c>
      <c r="H56" s="55" t="n">
        <f aca="false">MAX(0,MIN(E56+F56-G56,$D56))</f>
        <v>0</v>
      </c>
      <c r="I56" s="55" t="n">
        <f aca="false">G56+H56</f>
        <v>0</v>
      </c>
      <c r="J56" s="55" t="n">
        <f aca="false">ROUND(MAX(0,J55+K55-N55),2)</f>
        <v>0</v>
      </c>
      <c r="K56" s="55" t="n">
        <f aca="false">ROUND(J56*$E$6/12,2)</f>
        <v>0</v>
      </c>
      <c r="L56" s="55" t="n">
        <f aca="false">MIN($F$6,J56+K56)</f>
        <v>0</v>
      </c>
      <c r="M56" s="55" t="n">
        <f aca="false">MAX(0,MIN(J56+K56-L56,$D56-(H56)))</f>
        <v>0</v>
      </c>
      <c r="N56" s="55" t="n">
        <f aca="false">L56+M56</f>
        <v>0</v>
      </c>
      <c r="O56" s="55" t="n">
        <f aca="false">ROUND(MAX(0,O55+P55-S55),2)</f>
        <v>0</v>
      </c>
      <c r="P56" s="55" t="n">
        <f aca="false">ROUND(O56*$E$7/12,2)</f>
        <v>0</v>
      </c>
      <c r="Q56" s="55" t="n">
        <f aca="false">MIN($F$7,O56+P56)</f>
        <v>0</v>
      </c>
      <c r="R56" s="55" t="n">
        <f aca="false">MAX(0,MIN(O56+P56-Q56,$D56-(H56+M56)))</f>
        <v>0</v>
      </c>
      <c r="S56" s="55" t="n">
        <f aca="false">Q56+R56</f>
        <v>0</v>
      </c>
      <c r="T56" s="55" t="n">
        <f aca="false">ROUND(MAX(0,T55+U55-X55),2)</f>
        <v>0</v>
      </c>
      <c r="U56" s="55" t="n">
        <f aca="false">ROUND(T56*$E$8/12,2)</f>
        <v>0</v>
      </c>
      <c r="V56" s="55" t="n">
        <f aca="false">MIN($F$8,T56+U56)</f>
        <v>0</v>
      </c>
      <c r="W56" s="55" t="n">
        <f aca="false">MAX(0,MIN(T56+U56-V56,$D56-(H56+M56+R56)))</f>
        <v>0</v>
      </c>
      <c r="X56" s="55" t="n">
        <f aca="false">V56+W56</f>
        <v>0</v>
      </c>
      <c r="Y56" s="55" t="n">
        <f aca="false">ROUND(MAX(0,Y55+Z55-AC55),2)</f>
        <v>0</v>
      </c>
      <c r="Z56" s="55" t="n">
        <f aca="false">ROUND(Y56*$E$9/12,2)</f>
        <v>0</v>
      </c>
      <c r="AA56" s="55" t="n">
        <f aca="false">MIN($F$9,Y56+Z56)</f>
        <v>0</v>
      </c>
      <c r="AB56" s="55" t="n">
        <f aca="false">MAX(0,MIN(Y56+Z56-AA56,$D56-(H56+M56+R56+W56)))</f>
        <v>0</v>
      </c>
      <c r="AC56" s="55" t="n">
        <f aca="false">AA56+AB56</f>
        <v>0</v>
      </c>
      <c r="AD56" s="55" t="n">
        <f aca="false">ROUND(MAX(0,AD55+AE55-AH55),2)</f>
        <v>0</v>
      </c>
      <c r="AE56" s="55" t="n">
        <f aca="false">ROUND(AD56*$E$10/12,2)</f>
        <v>0</v>
      </c>
      <c r="AF56" s="55" t="n">
        <f aca="false">MIN($F$10,AD56+AE56)</f>
        <v>0</v>
      </c>
      <c r="AG56" s="55" t="n">
        <f aca="false">MAX(0,MIN(AD56+AE56-AF56,$D56-(H56+M56+R56+W56+AB56)))</f>
        <v>0</v>
      </c>
      <c r="AH56" s="55" t="n">
        <f aca="false">AF56+AG56</f>
        <v>0</v>
      </c>
      <c r="AI56" s="55" t="n">
        <f aca="false">ROUND(MAX(0,AI55+AJ55-AM55),2)</f>
        <v>0</v>
      </c>
      <c r="AJ56" s="55" t="n">
        <f aca="false">ROUND(AI56*$E$11/12,2)</f>
        <v>0</v>
      </c>
      <c r="AK56" s="55" t="n">
        <f aca="false">MIN($F$11,AI56+AJ56)</f>
        <v>0</v>
      </c>
      <c r="AL56" s="55" t="n">
        <f aca="false">MAX(0,MIN(AI56+AJ56-AK56,$D56-(H56+M56+R56+W56+AB56+AG56)))</f>
        <v>0</v>
      </c>
      <c r="AM56" s="55" t="n">
        <f aca="false">AK56+AL56</f>
        <v>0</v>
      </c>
      <c r="AN56" s="55" t="n">
        <f aca="false">ROUND(MAX(0,AN55+AO55-AR55),2)</f>
        <v>0</v>
      </c>
      <c r="AO56" s="55" t="n">
        <f aca="false">ROUND(AN56*$E$12/12,2)</f>
        <v>0</v>
      </c>
      <c r="AP56" s="55" t="n">
        <f aca="false">MIN($F$12,AN56+AO56)</f>
        <v>0</v>
      </c>
      <c r="AQ56" s="55" t="n">
        <f aca="false">MAX(0,MIN(AN56+AO56-AP56,$D56-(H56+M56+R56+W56+AB56+AG56+AL56)))</f>
        <v>0</v>
      </c>
      <c r="AR56" s="55" t="n">
        <f aca="false">AP56+AQ56</f>
        <v>0</v>
      </c>
      <c r="AS56" s="55" t="n">
        <f aca="false">ROUND(MAX(0,AS55+AT55-AW55),2)</f>
        <v>0</v>
      </c>
      <c r="AT56" s="55" t="n">
        <f aca="false">ROUND(AS56*$E$13/12,2)</f>
        <v>0</v>
      </c>
      <c r="AU56" s="55" t="n">
        <f aca="false">MIN($F$13,AS56+AT56)</f>
        <v>0</v>
      </c>
      <c r="AV56" s="55" t="n">
        <f aca="false">MAX(0,MIN(AS56+AT56-AU56,$D56-(H56+M56+R56+W56+AB56+AG56+AL56+AQ56)))</f>
        <v>0</v>
      </c>
      <c r="AW56" s="55" t="n">
        <f aca="false">AU56+AV56</f>
        <v>0</v>
      </c>
      <c r="AX56" s="55" t="n">
        <f aca="false">ROUND(MAX(0,AX55+AY55-BB55),2)</f>
        <v>0</v>
      </c>
      <c r="AY56" s="55" t="n">
        <f aca="false">ROUND(AX56*$E$14/12,2)</f>
        <v>0</v>
      </c>
      <c r="AZ56" s="55" t="n">
        <f aca="false">MIN($F$14,AX56+AY56)</f>
        <v>0</v>
      </c>
      <c r="BA56" s="55" t="n">
        <f aca="false">MAX(0,MIN(AX56+AY56-AZ56,$D56-(H56+M56+R56+W56+AB56+AG56+AL56+AQ56+AV56)))</f>
        <v>0</v>
      </c>
      <c r="BB56" s="55" t="n">
        <f aca="false">AZ56+BA56</f>
        <v>0</v>
      </c>
      <c r="BC56" s="55" t="n">
        <f aca="false">I56+N56+S56+X56+AC56+AH56+AM56+AR56+AW56+BB56</f>
        <v>0</v>
      </c>
      <c r="BD56" s="55" t="n">
        <f aca="false">ROUND((E56+F56-I56)+(J56+K56-N56)+(O56+P56-S56)+(T56+U56-X56)+(Y56+Z56-AC56)+(AD56+AE56-AH56)+(AI56+AJ56-AM56)+(AN56+AO56-AR56)+(AS56+AT56-AW56)+(AX56+AY56-BB56),2)</f>
        <v>0</v>
      </c>
      <c r="BE56" s="25" t="str">
        <f aca="false">IF(H56&gt;0.005,$C$5,IF(M56&gt;0.005,$C$6,IF(R56&gt;0.005,$C$7,IF(W56&gt;0.005,$C$8,IF(AB56&gt;0.005,$C$9,IF(AG56&gt;0.005,$C$10,IF(AL56&gt;0.005,$C$11,IF(AQ56&gt;0.005,$C$12,IF(AV56&gt;0.005,$C$13,IF(BA56&gt;0.005,$C$14,""))))))))))</f>
        <v/>
      </c>
    </row>
    <row r="57" customFormat="false" ht="15" hidden="false" customHeight="false" outlineLevel="0" collapsed="false">
      <c r="A57" s="24" t="n">
        <v>34</v>
      </c>
      <c r="B57" s="54" t="n">
        <f aca="false">EDATE($C$17,A57-1)</f>
        <v>47331</v>
      </c>
      <c r="C57" s="55" t="n">
        <f aca="false">G57+L57+Q57+V57+AA57+AF57+AK57+AP57+AU57+AZ57</f>
        <v>0</v>
      </c>
      <c r="D57" s="55" t="n">
        <f aca="false">MAX(0,$C$16-C57)</f>
        <v>5822</v>
      </c>
      <c r="E57" s="55" t="n">
        <f aca="false">ROUND(MAX(0,E56+F56-I56),2)</f>
        <v>0</v>
      </c>
      <c r="F57" s="55" t="n">
        <f aca="false">ROUND(E57*$E$5/12,2)</f>
        <v>0</v>
      </c>
      <c r="G57" s="55" t="n">
        <f aca="false">MIN($F$5,E57+F57)</f>
        <v>0</v>
      </c>
      <c r="H57" s="55" t="n">
        <f aca="false">MAX(0,MIN(E57+F57-G57,$D57))</f>
        <v>0</v>
      </c>
      <c r="I57" s="55" t="n">
        <f aca="false">G57+H57</f>
        <v>0</v>
      </c>
      <c r="J57" s="55" t="n">
        <f aca="false">ROUND(MAX(0,J56+K56-N56),2)</f>
        <v>0</v>
      </c>
      <c r="K57" s="55" t="n">
        <f aca="false">ROUND(J57*$E$6/12,2)</f>
        <v>0</v>
      </c>
      <c r="L57" s="55" t="n">
        <f aca="false">MIN($F$6,J57+K57)</f>
        <v>0</v>
      </c>
      <c r="M57" s="55" t="n">
        <f aca="false">MAX(0,MIN(J57+K57-L57,$D57-(H57)))</f>
        <v>0</v>
      </c>
      <c r="N57" s="55" t="n">
        <f aca="false">L57+M57</f>
        <v>0</v>
      </c>
      <c r="O57" s="55" t="n">
        <f aca="false">ROUND(MAX(0,O56+P56-S56),2)</f>
        <v>0</v>
      </c>
      <c r="P57" s="55" t="n">
        <f aca="false">ROUND(O57*$E$7/12,2)</f>
        <v>0</v>
      </c>
      <c r="Q57" s="55" t="n">
        <f aca="false">MIN($F$7,O57+P57)</f>
        <v>0</v>
      </c>
      <c r="R57" s="55" t="n">
        <f aca="false">MAX(0,MIN(O57+P57-Q57,$D57-(H57+M57)))</f>
        <v>0</v>
      </c>
      <c r="S57" s="55" t="n">
        <f aca="false">Q57+R57</f>
        <v>0</v>
      </c>
      <c r="T57" s="55" t="n">
        <f aca="false">ROUND(MAX(0,T56+U56-X56),2)</f>
        <v>0</v>
      </c>
      <c r="U57" s="55" t="n">
        <f aca="false">ROUND(T57*$E$8/12,2)</f>
        <v>0</v>
      </c>
      <c r="V57" s="55" t="n">
        <f aca="false">MIN($F$8,T57+U57)</f>
        <v>0</v>
      </c>
      <c r="W57" s="55" t="n">
        <f aca="false">MAX(0,MIN(T57+U57-V57,$D57-(H57+M57+R57)))</f>
        <v>0</v>
      </c>
      <c r="X57" s="55" t="n">
        <f aca="false">V57+W57</f>
        <v>0</v>
      </c>
      <c r="Y57" s="55" t="n">
        <f aca="false">ROUND(MAX(0,Y56+Z56-AC56),2)</f>
        <v>0</v>
      </c>
      <c r="Z57" s="55" t="n">
        <f aca="false">ROUND(Y57*$E$9/12,2)</f>
        <v>0</v>
      </c>
      <c r="AA57" s="55" t="n">
        <f aca="false">MIN($F$9,Y57+Z57)</f>
        <v>0</v>
      </c>
      <c r="AB57" s="55" t="n">
        <f aca="false">MAX(0,MIN(Y57+Z57-AA57,$D57-(H57+M57+R57+W57)))</f>
        <v>0</v>
      </c>
      <c r="AC57" s="55" t="n">
        <f aca="false">AA57+AB57</f>
        <v>0</v>
      </c>
      <c r="AD57" s="55" t="n">
        <f aca="false">ROUND(MAX(0,AD56+AE56-AH56),2)</f>
        <v>0</v>
      </c>
      <c r="AE57" s="55" t="n">
        <f aca="false">ROUND(AD57*$E$10/12,2)</f>
        <v>0</v>
      </c>
      <c r="AF57" s="55" t="n">
        <f aca="false">MIN($F$10,AD57+AE57)</f>
        <v>0</v>
      </c>
      <c r="AG57" s="55" t="n">
        <f aca="false">MAX(0,MIN(AD57+AE57-AF57,$D57-(H57+M57+R57+W57+AB57)))</f>
        <v>0</v>
      </c>
      <c r="AH57" s="55" t="n">
        <f aca="false">AF57+AG57</f>
        <v>0</v>
      </c>
      <c r="AI57" s="55" t="n">
        <f aca="false">ROUND(MAX(0,AI56+AJ56-AM56),2)</f>
        <v>0</v>
      </c>
      <c r="AJ57" s="55" t="n">
        <f aca="false">ROUND(AI57*$E$11/12,2)</f>
        <v>0</v>
      </c>
      <c r="AK57" s="55" t="n">
        <f aca="false">MIN($F$11,AI57+AJ57)</f>
        <v>0</v>
      </c>
      <c r="AL57" s="55" t="n">
        <f aca="false">MAX(0,MIN(AI57+AJ57-AK57,$D57-(H57+M57+R57+W57+AB57+AG57)))</f>
        <v>0</v>
      </c>
      <c r="AM57" s="55" t="n">
        <f aca="false">AK57+AL57</f>
        <v>0</v>
      </c>
      <c r="AN57" s="55" t="n">
        <f aca="false">ROUND(MAX(0,AN56+AO56-AR56),2)</f>
        <v>0</v>
      </c>
      <c r="AO57" s="55" t="n">
        <f aca="false">ROUND(AN57*$E$12/12,2)</f>
        <v>0</v>
      </c>
      <c r="AP57" s="55" t="n">
        <f aca="false">MIN($F$12,AN57+AO57)</f>
        <v>0</v>
      </c>
      <c r="AQ57" s="55" t="n">
        <f aca="false">MAX(0,MIN(AN57+AO57-AP57,$D57-(H57+M57+R57+W57+AB57+AG57+AL57)))</f>
        <v>0</v>
      </c>
      <c r="AR57" s="55" t="n">
        <f aca="false">AP57+AQ57</f>
        <v>0</v>
      </c>
      <c r="AS57" s="55" t="n">
        <f aca="false">ROUND(MAX(0,AS56+AT56-AW56),2)</f>
        <v>0</v>
      </c>
      <c r="AT57" s="55" t="n">
        <f aca="false">ROUND(AS57*$E$13/12,2)</f>
        <v>0</v>
      </c>
      <c r="AU57" s="55" t="n">
        <f aca="false">MIN($F$13,AS57+AT57)</f>
        <v>0</v>
      </c>
      <c r="AV57" s="55" t="n">
        <f aca="false">MAX(0,MIN(AS57+AT57-AU57,$D57-(H57+M57+R57+W57+AB57+AG57+AL57+AQ57)))</f>
        <v>0</v>
      </c>
      <c r="AW57" s="55" t="n">
        <f aca="false">AU57+AV57</f>
        <v>0</v>
      </c>
      <c r="AX57" s="55" t="n">
        <f aca="false">ROUND(MAX(0,AX56+AY56-BB56),2)</f>
        <v>0</v>
      </c>
      <c r="AY57" s="55" t="n">
        <f aca="false">ROUND(AX57*$E$14/12,2)</f>
        <v>0</v>
      </c>
      <c r="AZ57" s="55" t="n">
        <f aca="false">MIN($F$14,AX57+AY57)</f>
        <v>0</v>
      </c>
      <c r="BA57" s="55" t="n">
        <f aca="false">MAX(0,MIN(AX57+AY57-AZ57,$D57-(H57+M57+R57+W57+AB57+AG57+AL57+AQ57+AV57)))</f>
        <v>0</v>
      </c>
      <c r="BB57" s="55" t="n">
        <f aca="false">AZ57+BA57</f>
        <v>0</v>
      </c>
      <c r="BC57" s="55" t="n">
        <f aca="false">I57+N57+S57+X57+AC57+AH57+AM57+AR57+AW57+BB57</f>
        <v>0</v>
      </c>
      <c r="BD57" s="55" t="n">
        <f aca="false">ROUND((E57+F57-I57)+(J57+K57-N57)+(O57+P57-S57)+(T57+U57-X57)+(Y57+Z57-AC57)+(AD57+AE57-AH57)+(AI57+AJ57-AM57)+(AN57+AO57-AR57)+(AS57+AT57-AW57)+(AX57+AY57-BB57),2)</f>
        <v>0</v>
      </c>
      <c r="BE57" s="25" t="str">
        <f aca="false">IF(H57&gt;0.005,$C$5,IF(M57&gt;0.005,$C$6,IF(R57&gt;0.005,$C$7,IF(W57&gt;0.005,$C$8,IF(AB57&gt;0.005,$C$9,IF(AG57&gt;0.005,$C$10,IF(AL57&gt;0.005,$C$11,IF(AQ57&gt;0.005,$C$12,IF(AV57&gt;0.005,$C$13,IF(BA57&gt;0.005,$C$14,""))))))))))</f>
        <v/>
      </c>
    </row>
    <row r="58" customFormat="false" ht="15" hidden="false" customHeight="false" outlineLevel="0" collapsed="false">
      <c r="A58" s="24" t="n">
        <v>35</v>
      </c>
      <c r="B58" s="54" t="n">
        <f aca="false">EDATE($C$17,A58-1)</f>
        <v>47362</v>
      </c>
      <c r="C58" s="55" t="n">
        <f aca="false">G58+L58+Q58+V58+AA58+AF58+AK58+AP58+AU58+AZ58</f>
        <v>0</v>
      </c>
      <c r="D58" s="55" t="n">
        <f aca="false">MAX(0,$C$16-C58)</f>
        <v>5822</v>
      </c>
      <c r="E58" s="55" t="n">
        <f aca="false">ROUND(MAX(0,E57+F57-I57),2)</f>
        <v>0</v>
      </c>
      <c r="F58" s="55" t="n">
        <f aca="false">ROUND(E58*$E$5/12,2)</f>
        <v>0</v>
      </c>
      <c r="G58" s="55" t="n">
        <f aca="false">MIN($F$5,E58+F58)</f>
        <v>0</v>
      </c>
      <c r="H58" s="55" t="n">
        <f aca="false">MAX(0,MIN(E58+F58-G58,$D58))</f>
        <v>0</v>
      </c>
      <c r="I58" s="55" t="n">
        <f aca="false">G58+H58</f>
        <v>0</v>
      </c>
      <c r="J58" s="55" t="n">
        <f aca="false">ROUND(MAX(0,J57+K57-N57),2)</f>
        <v>0</v>
      </c>
      <c r="K58" s="55" t="n">
        <f aca="false">ROUND(J58*$E$6/12,2)</f>
        <v>0</v>
      </c>
      <c r="L58" s="55" t="n">
        <f aca="false">MIN($F$6,J58+K58)</f>
        <v>0</v>
      </c>
      <c r="M58" s="55" t="n">
        <f aca="false">MAX(0,MIN(J58+K58-L58,$D58-(H58)))</f>
        <v>0</v>
      </c>
      <c r="N58" s="55" t="n">
        <f aca="false">L58+M58</f>
        <v>0</v>
      </c>
      <c r="O58" s="55" t="n">
        <f aca="false">ROUND(MAX(0,O57+P57-S57),2)</f>
        <v>0</v>
      </c>
      <c r="P58" s="55" t="n">
        <f aca="false">ROUND(O58*$E$7/12,2)</f>
        <v>0</v>
      </c>
      <c r="Q58" s="55" t="n">
        <f aca="false">MIN($F$7,O58+P58)</f>
        <v>0</v>
      </c>
      <c r="R58" s="55" t="n">
        <f aca="false">MAX(0,MIN(O58+P58-Q58,$D58-(H58+M58)))</f>
        <v>0</v>
      </c>
      <c r="S58" s="55" t="n">
        <f aca="false">Q58+R58</f>
        <v>0</v>
      </c>
      <c r="T58" s="55" t="n">
        <f aca="false">ROUND(MAX(0,T57+U57-X57),2)</f>
        <v>0</v>
      </c>
      <c r="U58" s="55" t="n">
        <f aca="false">ROUND(T58*$E$8/12,2)</f>
        <v>0</v>
      </c>
      <c r="V58" s="55" t="n">
        <f aca="false">MIN($F$8,T58+U58)</f>
        <v>0</v>
      </c>
      <c r="W58" s="55" t="n">
        <f aca="false">MAX(0,MIN(T58+U58-V58,$D58-(H58+M58+R58)))</f>
        <v>0</v>
      </c>
      <c r="X58" s="55" t="n">
        <f aca="false">V58+W58</f>
        <v>0</v>
      </c>
      <c r="Y58" s="55" t="n">
        <f aca="false">ROUND(MAX(0,Y57+Z57-AC57),2)</f>
        <v>0</v>
      </c>
      <c r="Z58" s="55" t="n">
        <f aca="false">ROUND(Y58*$E$9/12,2)</f>
        <v>0</v>
      </c>
      <c r="AA58" s="55" t="n">
        <f aca="false">MIN($F$9,Y58+Z58)</f>
        <v>0</v>
      </c>
      <c r="AB58" s="55" t="n">
        <f aca="false">MAX(0,MIN(Y58+Z58-AA58,$D58-(H58+M58+R58+W58)))</f>
        <v>0</v>
      </c>
      <c r="AC58" s="55" t="n">
        <f aca="false">AA58+AB58</f>
        <v>0</v>
      </c>
      <c r="AD58" s="55" t="n">
        <f aca="false">ROUND(MAX(0,AD57+AE57-AH57),2)</f>
        <v>0</v>
      </c>
      <c r="AE58" s="55" t="n">
        <f aca="false">ROUND(AD58*$E$10/12,2)</f>
        <v>0</v>
      </c>
      <c r="AF58" s="55" t="n">
        <f aca="false">MIN($F$10,AD58+AE58)</f>
        <v>0</v>
      </c>
      <c r="AG58" s="55" t="n">
        <f aca="false">MAX(0,MIN(AD58+AE58-AF58,$D58-(H58+M58+R58+W58+AB58)))</f>
        <v>0</v>
      </c>
      <c r="AH58" s="55" t="n">
        <f aca="false">AF58+AG58</f>
        <v>0</v>
      </c>
      <c r="AI58" s="55" t="n">
        <f aca="false">ROUND(MAX(0,AI57+AJ57-AM57),2)</f>
        <v>0</v>
      </c>
      <c r="AJ58" s="55" t="n">
        <f aca="false">ROUND(AI58*$E$11/12,2)</f>
        <v>0</v>
      </c>
      <c r="AK58" s="55" t="n">
        <f aca="false">MIN($F$11,AI58+AJ58)</f>
        <v>0</v>
      </c>
      <c r="AL58" s="55" t="n">
        <f aca="false">MAX(0,MIN(AI58+AJ58-AK58,$D58-(H58+M58+R58+W58+AB58+AG58)))</f>
        <v>0</v>
      </c>
      <c r="AM58" s="55" t="n">
        <f aca="false">AK58+AL58</f>
        <v>0</v>
      </c>
      <c r="AN58" s="55" t="n">
        <f aca="false">ROUND(MAX(0,AN57+AO57-AR57),2)</f>
        <v>0</v>
      </c>
      <c r="AO58" s="55" t="n">
        <f aca="false">ROUND(AN58*$E$12/12,2)</f>
        <v>0</v>
      </c>
      <c r="AP58" s="55" t="n">
        <f aca="false">MIN($F$12,AN58+AO58)</f>
        <v>0</v>
      </c>
      <c r="AQ58" s="55" t="n">
        <f aca="false">MAX(0,MIN(AN58+AO58-AP58,$D58-(H58+M58+R58+W58+AB58+AG58+AL58)))</f>
        <v>0</v>
      </c>
      <c r="AR58" s="55" t="n">
        <f aca="false">AP58+AQ58</f>
        <v>0</v>
      </c>
      <c r="AS58" s="55" t="n">
        <f aca="false">ROUND(MAX(0,AS57+AT57-AW57),2)</f>
        <v>0</v>
      </c>
      <c r="AT58" s="55" t="n">
        <f aca="false">ROUND(AS58*$E$13/12,2)</f>
        <v>0</v>
      </c>
      <c r="AU58" s="55" t="n">
        <f aca="false">MIN($F$13,AS58+AT58)</f>
        <v>0</v>
      </c>
      <c r="AV58" s="55" t="n">
        <f aca="false">MAX(0,MIN(AS58+AT58-AU58,$D58-(H58+M58+R58+W58+AB58+AG58+AL58+AQ58)))</f>
        <v>0</v>
      </c>
      <c r="AW58" s="55" t="n">
        <f aca="false">AU58+AV58</f>
        <v>0</v>
      </c>
      <c r="AX58" s="55" t="n">
        <f aca="false">ROUND(MAX(0,AX57+AY57-BB57),2)</f>
        <v>0</v>
      </c>
      <c r="AY58" s="55" t="n">
        <f aca="false">ROUND(AX58*$E$14/12,2)</f>
        <v>0</v>
      </c>
      <c r="AZ58" s="55" t="n">
        <f aca="false">MIN($F$14,AX58+AY58)</f>
        <v>0</v>
      </c>
      <c r="BA58" s="55" t="n">
        <f aca="false">MAX(0,MIN(AX58+AY58-AZ58,$D58-(H58+M58+R58+W58+AB58+AG58+AL58+AQ58+AV58)))</f>
        <v>0</v>
      </c>
      <c r="BB58" s="55" t="n">
        <f aca="false">AZ58+BA58</f>
        <v>0</v>
      </c>
      <c r="BC58" s="55" t="n">
        <f aca="false">I58+N58+S58+X58+AC58+AH58+AM58+AR58+AW58+BB58</f>
        <v>0</v>
      </c>
      <c r="BD58" s="55" t="n">
        <f aca="false">ROUND((E58+F58-I58)+(J58+K58-N58)+(O58+P58-S58)+(T58+U58-X58)+(Y58+Z58-AC58)+(AD58+AE58-AH58)+(AI58+AJ58-AM58)+(AN58+AO58-AR58)+(AS58+AT58-AW58)+(AX58+AY58-BB58),2)</f>
        <v>0</v>
      </c>
      <c r="BE58" s="25" t="str">
        <f aca="false">IF(H58&gt;0.005,$C$5,IF(M58&gt;0.005,$C$6,IF(R58&gt;0.005,$C$7,IF(W58&gt;0.005,$C$8,IF(AB58&gt;0.005,$C$9,IF(AG58&gt;0.005,$C$10,IF(AL58&gt;0.005,$C$11,IF(AQ58&gt;0.005,$C$12,IF(AV58&gt;0.005,$C$13,IF(BA58&gt;0.005,$C$14,""))))))))))</f>
        <v/>
      </c>
    </row>
    <row r="59" customFormat="false" ht="15" hidden="false" customHeight="false" outlineLevel="0" collapsed="false">
      <c r="A59" s="24" t="n">
        <v>36</v>
      </c>
      <c r="B59" s="54" t="n">
        <f aca="false">EDATE($C$17,A59-1)</f>
        <v>47392</v>
      </c>
      <c r="C59" s="55" t="n">
        <f aca="false">G59+L59+Q59+V59+AA59+AF59+AK59+AP59+AU59+AZ59</f>
        <v>0</v>
      </c>
      <c r="D59" s="55" t="n">
        <f aca="false">MAX(0,$C$16-C59)</f>
        <v>5822</v>
      </c>
      <c r="E59" s="55" t="n">
        <f aca="false">ROUND(MAX(0,E58+F58-I58),2)</f>
        <v>0</v>
      </c>
      <c r="F59" s="55" t="n">
        <f aca="false">ROUND(E59*$E$5/12,2)</f>
        <v>0</v>
      </c>
      <c r="G59" s="55" t="n">
        <f aca="false">MIN($F$5,E59+F59)</f>
        <v>0</v>
      </c>
      <c r="H59" s="55" t="n">
        <f aca="false">MAX(0,MIN(E59+F59-G59,$D59))</f>
        <v>0</v>
      </c>
      <c r="I59" s="55" t="n">
        <f aca="false">G59+H59</f>
        <v>0</v>
      </c>
      <c r="J59" s="55" t="n">
        <f aca="false">ROUND(MAX(0,J58+K58-N58),2)</f>
        <v>0</v>
      </c>
      <c r="K59" s="55" t="n">
        <f aca="false">ROUND(J59*$E$6/12,2)</f>
        <v>0</v>
      </c>
      <c r="L59" s="55" t="n">
        <f aca="false">MIN($F$6,J59+K59)</f>
        <v>0</v>
      </c>
      <c r="M59" s="55" t="n">
        <f aca="false">MAX(0,MIN(J59+K59-L59,$D59-(H59)))</f>
        <v>0</v>
      </c>
      <c r="N59" s="55" t="n">
        <f aca="false">L59+M59</f>
        <v>0</v>
      </c>
      <c r="O59" s="55" t="n">
        <f aca="false">ROUND(MAX(0,O58+P58-S58),2)</f>
        <v>0</v>
      </c>
      <c r="P59" s="55" t="n">
        <f aca="false">ROUND(O59*$E$7/12,2)</f>
        <v>0</v>
      </c>
      <c r="Q59" s="55" t="n">
        <f aca="false">MIN($F$7,O59+P59)</f>
        <v>0</v>
      </c>
      <c r="R59" s="55" t="n">
        <f aca="false">MAX(0,MIN(O59+P59-Q59,$D59-(H59+M59)))</f>
        <v>0</v>
      </c>
      <c r="S59" s="55" t="n">
        <f aca="false">Q59+R59</f>
        <v>0</v>
      </c>
      <c r="T59" s="55" t="n">
        <f aca="false">ROUND(MAX(0,T58+U58-X58),2)</f>
        <v>0</v>
      </c>
      <c r="U59" s="55" t="n">
        <f aca="false">ROUND(T59*$E$8/12,2)</f>
        <v>0</v>
      </c>
      <c r="V59" s="55" t="n">
        <f aca="false">MIN($F$8,T59+U59)</f>
        <v>0</v>
      </c>
      <c r="W59" s="55" t="n">
        <f aca="false">MAX(0,MIN(T59+U59-V59,$D59-(H59+M59+R59)))</f>
        <v>0</v>
      </c>
      <c r="X59" s="55" t="n">
        <f aca="false">V59+W59</f>
        <v>0</v>
      </c>
      <c r="Y59" s="55" t="n">
        <f aca="false">ROUND(MAX(0,Y58+Z58-AC58),2)</f>
        <v>0</v>
      </c>
      <c r="Z59" s="55" t="n">
        <f aca="false">ROUND(Y59*$E$9/12,2)</f>
        <v>0</v>
      </c>
      <c r="AA59" s="55" t="n">
        <f aca="false">MIN($F$9,Y59+Z59)</f>
        <v>0</v>
      </c>
      <c r="AB59" s="55" t="n">
        <f aca="false">MAX(0,MIN(Y59+Z59-AA59,$D59-(H59+M59+R59+W59)))</f>
        <v>0</v>
      </c>
      <c r="AC59" s="55" t="n">
        <f aca="false">AA59+AB59</f>
        <v>0</v>
      </c>
      <c r="AD59" s="55" t="n">
        <f aca="false">ROUND(MAX(0,AD58+AE58-AH58),2)</f>
        <v>0</v>
      </c>
      <c r="AE59" s="55" t="n">
        <f aca="false">ROUND(AD59*$E$10/12,2)</f>
        <v>0</v>
      </c>
      <c r="AF59" s="55" t="n">
        <f aca="false">MIN($F$10,AD59+AE59)</f>
        <v>0</v>
      </c>
      <c r="AG59" s="55" t="n">
        <f aca="false">MAX(0,MIN(AD59+AE59-AF59,$D59-(H59+M59+R59+W59+AB59)))</f>
        <v>0</v>
      </c>
      <c r="AH59" s="55" t="n">
        <f aca="false">AF59+AG59</f>
        <v>0</v>
      </c>
      <c r="AI59" s="55" t="n">
        <f aca="false">ROUND(MAX(0,AI58+AJ58-AM58),2)</f>
        <v>0</v>
      </c>
      <c r="AJ59" s="55" t="n">
        <f aca="false">ROUND(AI59*$E$11/12,2)</f>
        <v>0</v>
      </c>
      <c r="AK59" s="55" t="n">
        <f aca="false">MIN($F$11,AI59+AJ59)</f>
        <v>0</v>
      </c>
      <c r="AL59" s="55" t="n">
        <f aca="false">MAX(0,MIN(AI59+AJ59-AK59,$D59-(H59+M59+R59+W59+AB59+AG59)))</f>
        <v>0</v>
      </c>
      <c r="AM59" s="55" t="n">
        <f aca="false">AK59+AL59</f>
        <v>0</v>
      </c>
      <c r="AN59" s="55" t="n">
        <f aca="false">ROUND(MAX(0,AN58+AO58-AR58),2)</f>
        <v>0</v>
      </c>
      <c r="AO59" s="55" t="n">
        <f aca="false">ROUND(AN59*$E$12/12,2)</f>
        <v>0</v>
      </c>
      <c r="AP59" s="55" t="n">
        <f aca="false">MIN($F$12,AN59+AO59)</f>
        <v>0</v>
      </c>
      <c r="AQ59" s="55" t="n">
        <f aca="false">MAX(0,MIN(AN59+AO59-AP59,$D59-(H59+M59+R59+W59+AB59+AG59+AL59)))</f>
        <v>0</v>
      </c>
      <c r="AR59" s="55" t="n">
        <f aca="false">AP59+AQ59</f>
        <v>0</v>
      </c>
      <c r="AS59" s="55" t="n">
        <f aca="false">ROUND(MAX(0,AS58+AT58-AW58),2)</f>
        <v>0</v>
      </c>
      <c r="AT59" s="55" t="n">
        <f aca="false">ROUND(AS59*$E$13/12,2)</f>
        <v>0</v>
      </c>
      <c r="AU59" s="55" t="n">
        <f aca="false">MIN($F$13,AS59+AT59)</f>
        <v>0</v>
      </c>
      <c r="AV59" s="55" t="n">
        <f aca="false">MAX(0,MIN(AS59+AT59-AU59,$D59-(H59+M59+R59+W59+AB59+AG59+AL59+AQ59)))</f>
        <v>0</v>
      </c>
      <c r="AW59" s="55" t="n">
        <f aca="false">AU59+AV59</f>
        <v>0</v>
      </c>
      <c r="AX59" s="55" t="n">
        <f aca="false">ROUND(MAX(0,AX58+AY58-BB58),2)</f>
        <v>0</v>
      </c>
      <c r="AY59" s="55" t="n">
        <f aca="false">ROUND(AX59*$E$14/12,2)</f>
        <v>0</v>
      </c>
      <c r="AZ59" s="55" t="n">
        <f aca="false">MIN($F$14,AX59+AY59)</f>
        <v>0</v>
      </c>
      <c r="BA59" s="55" t="n">
        <f aca="false">MAX(0,MIN(AX59+AY59-AZ59,$D59-(H59+M59+R59+W59+AB59+AG59+AL59+AQ59+AV59)))</f>
        <v>0</v>
      </c>
      <c r="BB59" s="55" t="n">
        <f aca="false">AZ59+BA59</f>
        <v>0</v>
      </c>
      <c r="BC59" s="55" t="n">
        <f aca="false">I59+N59+S59+X59+AC59+AH59+AM59+AR59+AW59+BB59</f>
        <v>0</v>
      </c>
      <c r="BD59" s="55" t="n">
        <f aca="false">ROUND((E59+F59-I59)+(J59+K59-N59)+(O59+P59-S59)+(T59+U59-X59)+(Y59+Z59-AC59)+(AD59+AE59-AH59)+(AI59+AJ59-AM59)+(AN59+AO59-AR59)+(AS59+AT59-AW59)+(AX59+AY59-BB59),2)</f>
        <v>0</v>
      </c>
      <c r="BE59" s="25" t="str">
        <f aca="false">IF(H59&gt;0.005,$C$5,IF(M59&gt;0.005,$C$6,IF(R59&gt;0.005,$C$7,IF(W59&gt;0.005,$C$8,IF(AB59&gt;0.005,$C$9,IF(AG59&gt;0.005,$C$10,IF(AL59&gt;0.005,$C$11,IF(AQ59&gt;0.005,$C$12,IF(AV59&gt;0.005,$C$13,IF(BA59&gt;0.005,$C$14,""))))))))))</f>
        <v/>
      </c>
    </row>
    <row r="60" customFormat="false" ht="15" hidden="false" customHeight="false" outlineLevel="0" collapsed="false">
      <c r="A60" s="24" t="n">
        <v>37</v>
      </c>
      <c r="B60" s="54" t="n">
        <f aca="false">EDATE($C$17,A60-1)</f>
        <v>47423</v>
      </c>
      <c r="C60" s="55" t="n">
        <f aca="false">G60+L60+Q60+V60+AA60+AF60+AK60+AP60+AU60+AZ60</f>
        <v>0</v>
      </c>
      <c r="D60" s="55" t="n">
        <f aca="false">MAX(0,$C$16-C60)</f>
        <v>5822</v>
      </c>
      <c r="E60" s="55" t="n">
        <f aca="false">ROUND(MAX(0,E59+F59-I59),2)</f>
        <v>0</v>
      </c>
      <c r="F60" s="55" t="n">
        <f aca="false">ROUND(E60*$E$5/12,2)</f>
        <v>0</v>
      </c>
      <c r="G60" s="55" t="n">
        <f aca="false">MIN($F$5,E60+F60)</f>
        <v>0</v>
      </c>
      <c r="H60" s="55" t="n">
        <f aca="false">MAX(0,MIN(E60+F60-G60,$D60))</f>
        <v>0</v>
      </c>
      <c r="I60" s="55" t="n">
        <f aca="false">G60+H60</f>
        <v>0</v>
      </c>
      <c r="J60" s="55" t="n">
        <f aca="false">ROUND(MAX(0,J59+K59-N59),2)</f>
        <v>0</v>
      </c>
      <c r="K60" s="55" t="n">
        <f aca="false">ROUND(J60*$E$6/12,2)</f>
        <v>0</v>
      </c>
      <c r="L60" s="55" t="n">
        <f aca="false">MIN($F$6,J60+K60)</f>
        <v>0</v>
      </c>
      <c r="M60" s="55" t="n">
        <f aca="false">MAX(0,MIN(J60+K60-L60,$D60-(H60)))</f>
        <v>0</v>
      </c>
      <c r="N60" s="55" t="n">
        <f aca="false">L60+M60</f>
        <v>0</v>
      </c>
      <c r="O60" s="55" t="n">
        <f aca="false">ROUND(MAX(0,O59+P59-S59),2)</f>
        <v>0</v>
      </c>
      <c r="P60" s="55" t="n">
        <f aca="false">ROUND(O60*$E$7/12,2)</f>
        <v>0</v>
      </c>
      <c r="Q60" s="55" t="n">
        <f aca="false">MIN($F$7,O60+P60)</f>
        <v>0</v>
      </c>
      <c r="R60" s="55" t="n">
        <f aca="false">MAX(0,MIN(O60+P60-Q60,$D60-(H60+M60)))</f>
        <v>0</v>
      </c>
      <c r="S60" s="55" t="n">
        <f aca="false">Q60+R60</f>
        <v>0</v>
      </c>
      <c r="T60" s="55" t="n">
        <f aca="false">ROUND(MAX(0,T59+U59-X59),2)</f>
        <v>0</v>
      </c>
      <c r="U60" s="55" t="n">
        <f aca="false">ROUND(T60*$E$8/12,2)</f>
        <v>0</v>
      </c>
      <c r="V60" s="55" t="n">
        <f aca="false">MIN($F$8,T60+U60)</f>
        <v>0</v>
      </c>
      <c r="W60" s="55" t="n">
        <f aca="false">MAX(0,MIN(T60+U60-V60,$D60-(H60+M60+R60)))</f>
        <v>0</v>
      </c>
      <c r="X60" s="55" t="n">
        <f aca="false">V60+W60</f>
        <v>0</v>
      </c>
      <c r="Y60" s="55" t="n">
        <f aca="false">ROUND(MAX(0,Y59+Z59-AC59),2)</f>
        <v>0</v>
      </c>
      <c r="Z60" s="55" t="n">
        <f aca="false">ROUND(Y60*$E$9/12,2)</f>
        <v>0</v>
      </c>
      <c r="AA60" s="55" t="n">
        <f aca="false">MIN($F$9,Y60+Z60)</f>
        <v>0</v>
      </c>
      <c r="AB60" s="55" t="n">
        <f aca="false">MAX(0,MIN(Y60+Z60-AA60,$D60-(H60+M60+R60+W60)))</f>
        <v>0</v>
      </c>
      <c r="AC60" s="55" t="n">
        <f aca="false">AA60+AB60</f>
        <v>0</v>
      </c>
      <c r="AD60" s="55" t="n">
        <f aca="false">ROUND(MAX(0,AD59+AE59-AH59),2)</f>
        <v>0</v>
      </c>
      <c r="AE60" s="55" t="n">
        <f aca="false">ROUND(AD60*$E$10/12,2)</f>
        <v>0</v>
      </c>
      <c r="AF60" s="55" t="n">
        <f aca="false">MIN($F$10,AD60+AE60)</f>
        <v>0</v>
      </c>
      <c r="AG60" s="55" t="n">
        <f aca="false">MAX(0,MIN(AD60+AE60-AF60,$D60-(H60+M60+R60+W60+AB60)))</f>
        <v>0</v>
      </c>
      <c r="AH60" s="55" t="n">
        <f aca="false">AF60+AG60</f>
        <v>0</v>
      </c>
      <c r="AI60" s="55" t="n">
        <f aca="false">ROUND(MAX(0,AI59+AJ59-AM59),2)</f>
        <v>0</v>
      </c>
      <c r="AJ60" s="55" t="n">
        <f aca="false">ROUND(AI60*$E$11/12,2)</f>
        <v>0</v>
      </c>
      <c r="AK60" s="55" t="n">
        <f aca="false">MIN($F$11,AI60+AJ60)</f>
        <v>0</v>
      </c>
      <c r="AL60" s="55" t="n">
        <f aca="false">MAX(0,MIN(AI60+AJ60-AK60,$D60-(H60+M60+R60+W60+AB60+AG60)))</f>
        <v>0</v>
      </c>
      <c r="AM60" s="55" t="n">
        <f aca="false">AK60+AL60</f>
        <v>0</v>
      </c>
      <c r="AN60" s="55" t="n">
        <f aca="false">ROUND(MAX(0,AN59+AO59-AR59),2)</f>
        <v>0</v>
      </c>
      <c r="AO60" s="55" t="n">
        <f aca="false">ROUND(AN60*$E$12/12,2)</f>
        <v>0</v>
      </c>
      <c r="AP60" s="55" t="n">
        <f aca="false">MIN($F$12,AN60+AO60)</f>
        <v>0</v>
      </c>
      <c r="AQ60" s="55" t="n">
        <f aca="false">MAX(0,MIN(AN60+AO60-AP60,$D60-(H60+M60+R60+W60+AB60+AG60+AL60)))</f>
        <v>0</v>
      </c>
      <c r="AR60" s="55" t="n">
        <f aca="false">AP60+AQ60</f>
        <v>0</v>
      </c>
      <c r="AS60" s="55" t="n">
        <f aca="false">ROUND(MAX(0,AS59+AT59-AW59),2)</f>
        <v>0</v>
      </c>
      <c r="AT60" s="55" t="n">
        <f aca="false">ROUND(AS60*$E$13/12,2)</f>
        <v>0</v>
      </c>
      <c r="AU60" s="55" t="n">
        <f aca="false">MIN($F$13,AS60+AT60)</f>
        <v>0</v>
      </c>
      <c r="AV60" s="55" t="n">
        <f aca="false">MAX(0,MIN(AS60+AT60-AU60,$D60-(H60+M60+R60+W60+AB60+AG60+AL60+AQ60)))</f>
        <v>0</v>
      </c>
      <c r="AW60" s="55" t="n">
        <f aca="false">AU60+AV60</f>
        <v>0</v>
      </c>
      <c r="AX60" s="55" t="n">
        <f aca="false">ROUND(MAX(0,AX59+AY59-BB59),2)</f>
        <v>0</v>
      </c>
      <c r="AY60" s="55" t="n">
        <f aca="false">ROUND(AX60*$E$14/12,2)</f>
        <v>0</v>
      </c>
      <c r="AZ60" s="55" t="n">
        <f aca="false">MIN($F$14,AX60+AY60)</f>
        <v>0</v>
      </c>
      <c r="BA60" s="55" t="n">
        <f aca="false">MAX(0,MIN(AX60+AY60-AZ60,$D60-(H60+M60+R60+W60+AB60+AG60+AL60+AQ60+AV60)))</f>
        <v>0</v>
      </c>
      <c r="BB60" s="55" t="n">
        <f aca="false">AZ60+BA60</f>
        <v>0</v>
      </c>
      <c r="BC60" s="55" t="n">
        <f aca="false">I60+N60+S60+X60+AC60+AH60+AM60+AR60+AW60+BB60</f>
        <v>0</v>
      </c>
      <c r="BD60" s="55" t="n">
        <f aca="false">ROUND((E60+F60-I60)+(J60+K60-N60)+(O60+P60-S60)+(T60+U60-X60)+(Y60+Z60-AC60)+(AD60+AE60-AH60)+(AI60+AJ60-AM60)+(AN60+AO60-AR60)+(AS60+AT60-AW60)+(AX60+AY60-BB60),2)</f>
        <v>0</v>
      </c>
      <c r="BE60" s="25" t="str">
        <f aca="false">IF(H60&gt;0.005,$C$5,IF(M60&gt;0.005,$C$6,IF(R60&gt;0.005,$C$7,IF(W60&gt;0.005,$C$8,IF(AB60&gt;0.005,$C$9,IF(AG60&gt;0.005,$C$10,IF(AL60&gt;0.005,$C$11,IF(AQ60&gt;0.005,$C$12,IF(AV60&gt;0.005,$C$13,IF(BA60&gt;0.005,$C$14,""))))))))))</f>
        <v/>
      </c>
    </row>
    <row r="61" customFormat="false" ht="15" hidden="false" customHeight="false" outlineLevel="0" collapsed="false">
      <c r="A61" s="24" t="n">
        <v>38</v>
      </c>
      <c r="B61" s="54" t="n">
        <f aca="false">EDATE($C$17,A61-1)</f>
        <v>47453</v>
      </c>
      <c r="C61" s="55" t="n">
        <f aca="false">G61+L61+Q61+V61+AA61+AF61+AK61+AP61+AU61+AZ61</f>
        <v>0</v>
      </c>
      <c r="D61" s="55" t="n">
        <f aca="false">MAX(0,$C$16-C61)</f>
        <v>5822</v>
      </c>
      <c r="E61" s="55" t="n">
        <f aca="false">ROUND(MAX(0,E60+F60-I60),2)</f>
        <v>0</v>
      </c>
      <c r="F61" s="55" t="n">
        <f aca="false">ROUND(E61*$E$5/12,2)</f>
        <v>0</v>
      </c>
      <c r="G61" s="55" t="n">
        <f aca="false">MIN($F$5,E61+F61)</f>
        <v>0</v>
      </c>
      <c r="H61" s="55" t="n">
        <f aca="false">MAX(0,MIN(E61+F61-G61,$D61))</f>
        <v>0</v>
      </c>
      <c r="I61" s="55" t="n">
        <f aca="false">G61+H61</f>
        <v>0</v>
      </c>
      <c r="J61" s="55" t="n">
        <f aca="false">ROUND(MAX(0,J60+K60-N60),2)</f>
        <v>0</v>
      </c>
      <c r="K61" s="55" t="n">
        <f aca="false">ROUND(J61*$E$6/12,2)</f>
        <v>0</v>
      </c>
      <c r="L61" s="55" t="n">
        <f aca="false">MIN($F$6,J61+K61)</f>
        <v>0</v>
      </c>
      <c r="M61" s="55" t="n">
        <f aca="false">MAX(0,MIN(J61+K61-L61,$D61-(H61)))</f>
        <v>0</v>
      </c>
      <c r="N61" s="55" t="n">
        <f aca="false">L61+M61</f>
        <v>0</v>
      </c>
      <c r="O61" s="55" t="n">
        <f aca="false">ROUND(MAX(0,O60+P60-S60),2)</f>
        <v>0</v>
      </c>
      <c r="P61" s="55" t="n">
        <f aca="false">ROUND(O61*$E$7/12,2)</f>
        <v>0</v>
      </c>
      <c r="Q61" s="55" t="n">
        <f aca="false">MIN($F$7,O61+P61)</f>
        <v>0</v>
      </c>
      <c r="R61" s="55" t="n">
        <f aca="false">MAX(0,MIN(O61+P61-Q61,$D61-(H61+M61)))</f>
        <v>0</v>
      </c>
      <c r="S61" s="55" t="n">
        <f aca="false">Q61+R61</f>
        <v>0</v>
      </c>
      <c r="T61" s="55" t="n">
        <f aca="false">ROUND(MAX(0,T60+U60-X60),2)</f>
        <v>0</v>
      </c>
      <c r="U61" s="55" t="n">
        <f aca="false">ROUND(T61*$E$8/12,2)</f>
        <v>0</v>
      </c>
      <c r="V61" s="55" t="n">
        <f aca="false">MIN($F$8,T61+U61)</f>
        <v>0</v>
      </c>
      <c r="W61" s="55" t="n">
        <f aca="false">MAX(0,MIN(T61+U61-V61,$D61-(H61+M61+R61)))</f>
        <v>0</v>
      </c>
      <c r="X61" s="55" t="n">
        <f aca="false">V61+W61</f>
        <v>0</v>
      </c>
      <c r="Y61" s="55" t="n">
        <f aca="false">ROUND(MAX(0,Y60+Z60-AC60),2)</f>
        <v>0</v>
      </c>
      <c r="Z61" s="55" t="n">
        <f aca="false">ROUND(Y61*$E$9/12,2)</f>
        <v>0</v>
      </c>
      <c r="AA61" s="55" t="n">
        <f aca="false">MIN($F$9,Y61+Z61)</f>
        <v>0</v>
      </c>
      <c r="AB61" s="55" t="n">
        <f aca="false">MAX(0,MIN(Y61+Z61-AA61,$D61-(H61+M61+R61+W61)))</f>
        <v>0</v>
      </c>
      <c r="AC61" s="55" t="n">
        <f aca="false">AA61+AB61</f>
        <v>0</v>
      </c>
      <c r="AD61" s="55" t="n">
        <f aca="false">ROUND(MAX(0,AD60+AE60-AH60),2)</f>
        <v>0</v>
      </c>
      <c r="AE61" s="55" t="n">
        <f aca="false">ROUND(AD61*$E$10/12,2)</f>
        <v>0</v>
      </c>
      <c r="AF61" s="55" t="n">
        <f aca="false">MIN($F$10,AD61+AE61)</f>
        <v>0</v>
      </c>
      <c r="AG61" s="55" t="n">
        <f aca="false">MAX(0,MIN(AD61+AE61-AF61,$D61-(H61+M61+R61+W61+AB61)))</f>
        <v>0</v>
      </c>
      <c r="AH61" s="55" t="n">
        <f aca="false">AF61+AG61</f>
        <v>0</v>
      </c>
      <c r="AI61" s="55" t="n">
        <f aca="false">ROUND(MAX(0,AI60+AJ60-AM60),2)</f>
        <v>0</v>
      </c>
      <c r="AJ61" s="55" t="n">
        <f aca="false">ROUND(AI61*$E$11/12,2)</f>
        <v>0</v>
      </c>
      <c r="AK61" s="55" t="n">
        <f aca="false">MIN($F$11,AI61+AJ61)</f>
        <v>0</v>
      </c>
      <c r="AL61" s="55" t="n">
        <f aca="false">MAX(0,MIN(AI61+AJ61-AK61,$D61-(H61+M61+R61+W61+AB61+AG61)))</f>
        <v>0</v>
      </c>
      <c r="AM61" s="55" t="n">
        <f aca="false">AK61+AL61</f>
        <v>0</v>
      </c>
      <c r="AN61" s="55" t="n">
        <f aca="false">ROUND(MAX(0,AN60+AO60-AR60),2)</f>
        <v>0</v>
      </c>
      <c r="AO61" s="55" t="n">
        <f aca="false">ROUND(AN61*$E$12/12,2)</f>
        <v>0</v>
      </c>
      <c r="AP61" s="55" t="n">
        <f aca="false">MIN($F$12,AN61+AO61)</f>
        <v>0</v>
      </c>
      <c r="AQ61" s="55" t="n">
        <f aca="false">MAX(0,MIN(AN61+AO61-AP61,$D61-(H61+M61+R61+W61+AB61+AG61+AL61)))</f>
        <v>0</v>
      </c>
      <c r="AR61" s="55" t="n">
        <f aca="false">AP61+AQ61</f>
        <v>0</v>
      </c>
      <c r="AS61" s="55" t="n">
        <f aca="false">ROUND(MAX(0,AS60+AT60-AW60),2)</f>
        <v>0</v>
      </c>
      <c r="AT61" s="55" t="n">
        <f aca="false">ROUND(AS61*$E$13/12,2)</f>
        <v>0</v>
      </c>
      <c r="AU61" s="55" t="n">
        <f aca="false">MIN($F$13,AS61+AT61)</f>
        <v>0</v>
      </c>
      <c r="AV61" s="55" t="n">
        <f aca="false">MAX(0,MIN(AS61+AT61-AU61,$D61-(H61+M61+R61+W61+AB61+AG61+AL61+AQ61)))</f>
        <v>0</v>
      </c>
      <c r="AW61" s="55" t="n">
        <f aca="false">AU61+AV61</f>
        <v>0</v>
      </c>
      <c r="AX61" s="55" t="n">
        <f aca="false">ROUND(MAX(0,AX60+AY60-BB60),2)</f>
        <v>0</v>
      </c>
      <c r="AY61" s="55" t="n">
        <f aca="false">ROUND(AX61*$E$14/12,2)</f>
        <v>0</v>
      </c>
      <c r="AZ61" s="55" t="n">
        <f aca="false">MIN($F$14,AX61+AY61)</f>
        <v>0</v>
      </c>
      <c r="BA61" s="55" t="n">
        <f aca="false">MAX(0,MIN(AX61+AY61-AZ61,$D61-(H61+M61+R61+W61+AB61+AG61+AL61+AQ61+AV61)))</f>
        <v>0</v>
      </c>
      <c r="BB61" s="55" t="n">
        <f aca="false">AZ61+BA61</f>
        <v>0</v>
      </c>
      <c r="BC61" s="55" t="n">
        <f aca="false">I61+N61+S61+X61+AC61+AH61+AM61+AR61+AW61+BB61</f>
        <v>0</v>
      </c>
      <c r="BD61" s="55" t="n">
        <f aca="false">ROUND((E61+F61-I61)+(J61+K61-N61)+(O61+P61-S61)+(T61+U61-X61)+(Y61+Z61-AC61)+(AD61+AE61-AH61)+(AI61+AJ61-AM61)+(AN61+AO61-AR61)+(AS61+AT61-AW61)+(AX61+AY61-BB61),2)</f>
        <v>0</v>
      </c>
      <c r="BE61" s="25" t="str">
        <f aca="false">IF(H61&gt;0.005,$C$5,IF(M61&gt;0.005,$C$6,IF(R61&gt;0.005,$C$7,IF(W61&gt;0.005,$C$8,IF(AB61&gt;0.005,$C$9,IF(AG61&gt;0.005,$C$10,IF(AL61&gt;0.005,$C$11,IF(AQ61&gt;0.005,$C$12,IF(AV61&gt;0.005,$C$13,IF(BA61&gt;0.005,$C$14,""))))))))))</f>
        <v/>
      </c>
    </row>
    <row r="62" customFormat="false" ht="15" hidden="false" customHeight="false" outlineLevel="0" collapsed="false">
      <c r="A62" s="24" t="n">
        <v>39</v>
      </c>
      <c r="B62" s="54" t="n">
        <f aca="false">EDATE($C$17,A62-1)</f>
        <v>47484</v>
      </c>
      <c r="C62" s="55" t="n">
        <f aca="false">G62+L62+Q62+V62+AA62+AF62+AK62+AP62+AU62+AZ62</f>
        <v>0</v>
      </c>
      <c r="D62" s="55" t="n">
        <f aca="false">MAX(0,$C$16-C62)</f>
        <v>5822</v>
      </c>
      <c r="E62" s="55" t="n">
        <f aca="false">ROUND(MAX(0,E61+F61-I61),2)</f>
        <v>0</v>
      </c>
      <c r="F62" s="55" t="n">
        <f aca="false">ROUND(E62*$E$5/12,2)</f>
        <v>0</v>
      </c>
      <c r="G62" s="55" t="n">
        <f aca="false">MIN($F$5,E62+F62)</f>
        <v>0</v>
      </c>
      <c r="H62" s="55" t="n">
        <f aca="false">MAX(0,MIN(E62+F62-G62,$D62))</f>
        <v>0</v>
      </c>
      <c r="I62" s="55" t="n">
        <f aca="false">G62+H62</f>
        <v>0</v>
      </c>
      <c r="J62" s="55" t="n">
        <f aca="false">ROUND(MAX(0,J61+K61-N61),2)</f>
        <v>0</v>
      </c>
      <c r="K62" s="55" t="n">
        <f aca="false">ROUND(J62*$E$6/12,2)</f>
        <v>0</v>
      </c>
      <c r="L62" s="55" t="n">
        <f aca="false">MIN($F$6,J62+K62)</f>
        <v>0</v>
      </c>
      <c r="M62" s="55" t="n">
        <f aca="false">MAX(0,MIN(J62+K62-L62,$D62-(H62)))</f>
        <v>0</v>
      </c>
      <c r="N62" s="55" t="n">
        <f aca="false">L62+M62</f>
        <v>0</v>
      </c>
      <c r="O62" s="55" t="n">
        <f aca="false">ROUND(MAX(0,O61+P61-S61),2)</f>
        <v>0</v>
      </c>
      <c r="P62" s="55" t="n">
        <f aca="false">ROUND(O62*$E$7/12,2)</f>
        <v>0</v>
      </c>
      <c r="Q62" s="55" t="n">
        <f aca="false">MIN($F$7,O62+P62)</f>
        <v>0</v>
      </c>
      <c r="R62" s="55" t="n">
        <f aca="false">MAX(0,MIN(O62+P62-Q62,$D62-(H62+M62)))</f>
        <v>0</v>
      </c>
      <c r="S62" s="55" t="n">
        <f aca="false">Q62+R62</f>
        <v>0</v>
      </c>
      <c r="T62" s="55" t="n">
        <f aca="false">ROUND(MAX(0,T61+U61-X61),2)</f>
        <v>0</v>
      </c>
      <c r="U62" s="55" t="n">
        <f aca="false">ROUND(T62*$E$8/12,2)</f>
        <v>0</v>
      </c>
      <c r="V62" s="55" t="n">
        <f aca="false">MIN($F$8,T62+U62)</f>
        <v>0</v>
      </c>
      <c r="W62" s="55" t="n">
        <f aca="false">MAX(0,MIN(T62+U62-V62,$D62-(H62+M62+R62)))</f>
        <v>0</v>
      </c>
      <c r="X62" s="55" t="n">
        <f aca="false">V62+W62</f>
        <v>0</v>
      </c>
      <c r="Y62" s="55" t="n">
        <f aca="false">ROUND(MAX(0,Y61+Z61-AC61),2)</f>
        <v>0</v>
      </c>
      <c r="Z62" s="55" t="n">
        <f aca="false">ROUND(Y62*$E$9/12,2)</f>
        <v>0</v>
      </c>
      <c r="AA62" s="55" t="n">
        <f aca="false">MIN($F$9,Y62+Z62)</f>
        <v>0</v>
      </c>
      <c r="AB62" s="55" t="n">
        <f aca="false">MAX(0,MIN(Y62+Z62-AA62,$D62-(H62+M62+R62+W62)))</f>
        <v>0</v>
      </c>
      <c r="AC62" s="55" t="n">
        <f aca="false">AA62+AB62</f>
        <v>0</v>
      </c>
      <c r="AD62" s="55" t="n">
        <f aca="false">ROUND(MAX(0,AD61+AE61-AH61),2)</f>
        <v>0</v>
      </c>
      <c r="AE62" s="55" t="n">
        <f aca="false">ROUND(AD62*$E$10/12,2)</f>
        <v>0</v>
      </c>
      <c r="AF62" s="55" t="n">
        <f aca="false">MIN($F$10,AD62+AE62)</f>
        <v>0</v>
      </c>
      <c r="AG62" s="55" t="n">
        <f aca="false">MAX(0,MIN(AD62+AE62-AF62,$D62-(H62+M62+R62+W62+AB62)))</f>
        <v>0</v>
      </c>
      <c r="AH62" s="55" t="n">
        <f aca="false">AF62+AG62</f>
        <v>0</v>
      </c>
      <c r="AI62" s="55" t="n">
        <f aca="false">ROUND(MAX(0,AI61+AJ61-AM61),2)</f>
        <v>0</v>
      </c>
      <c r="AJ62" s="55" t="n">
        <f aca="false">ROUND(AI62*$E$11/12,2)</f>
        <v>0</v>
      </c>
      <c r="AK62" s="55" t="n">
        <f aca="false">MIN($F$11,AI62+AJ62)</f>
        <v>0</v>
      </c>
      <c r="AL62" s="55" t="n">
        <f aca="false">MAX(0,MIN(AI62+AJ62-AK62,$D62-(H62+M62+R62+W62+AB62+AG62)))</f>
        <v>0</v>
      </c>
      <c r="AM62" s="55" t="n">
        <f aca="false">AK62+AL62</f>
        <v>0</v>
      </c>
      <c r="AN62" s="55" t="n">
        <f aca="false">ROUND(MAX(0,AN61+AO61-AR61),2)</f>
        <v>0</v>
      </c>
      <c r="AO62" s="55" t="n">
        <f aca="false">ROUND(AN62*$E$12/12,2)</f>
        <v>0</v>
      </c>
      <c r="AP62" s="55" t="n">
        <f aca="false">MIN($F$12,AN62+AO62)</f>
        <v>0</v>
      </c>
      <c r="AQ62" s="55" t="n">
        <f aca="false">MAX(0,MIN(AN62+AO62-AP62,$D62-(H62+M62+R62+W62+AB62+AG62+AL62)))</f>
        <v>0</v>
      </c>
      <c r="AR62" s="55" t="n">
        <f aca="false">AP62+AQ62</f>
        <v>0</v>
      </c>
      <c r="AS62" s="55" t="n">
        <f aca="false">ROUND(MAX(0,AS61+AT61-AW61),2)</f>
        <v>0</v>
      </c>
      <c r="AT62" s="55" t="n">
        <f aca="false">ROUND(AS62*$E$13/12,2)</f>
        <v>0</v>
      </c>
      <c r="AU62" s="55" t="n">
        <f aca="false">MIN($F$13,AS62+AT62)</f>
        <v>0</v>
      </c>
      <c r="AV62" s="55" t="n">
        <f aca="false">MAX(0,MIN(AS62+AT62-AU62,$D62-(H62+M62+R62+W62+AB62+AG62+AL62+AQ62)))</f>
        <v>0</v>
      </c>
      <c r="AW62" s="55" t="n">
        <f aca="false">AU62+AV62</f>
        <v>0</v>
      </c>
      <c r="AX62" s="55" t="n">
        <f aca="false">ROUND(MAX(0,AX61+AY61-BB61),2)</f>
        <v>0</v>
      </c>
      <c r="AY62" s="55" t="n">
        <f aca="false">ROUND(AX62*$E$14/12,2)</f>
        <v>0</v>
      </c>
      <c r="AZ62" s="55" t="n">
        <f aca="false">MIN($F$14,AX62+AY62)</f>
        <v>0</v>
      </c>
      <c r="BA62" s="55" t="n">
        <f aca="false">MAX(0,MIN(AX62+AY62-AZ62,$D62-(H62+M62+R62+W62+AB62+AG62+AL62+AQ62+AV62)))</f>
        <v>0</v>
      </c>
      <c r="BB62" s="55" t="n">
        <f aca="false">AZ62+BA62</f>
        <v>0</v>
      </c>
      <c r="BC62" s="55" t="n">
        <f aca="false">I62+N62+S62+X62+AC62+AH62+AM62+AR62+AW62+BB62</f>
        <v>0</v>
      </c>
      <c r="BD62" s="55" t="n">
        <f aca="false">ROUND((E62+F62-I62)+(J62+K62-N62)+(O62+P62-S62)+(T62+U62-X62)+(Y62+Z62-AC62)+(AD62+AE62-AH62)+(AI62+AJ62-AM62)+(AN62+AO62-AR62)+(AS62+AT62-AW62)+(AX62+AY62-BB62),2)</f>
        <v>0</v>
      </c>
      <c r="BE62" s="25" t="str">
        <f aca="false">IF(H62&gt;0.005,$C$5,IF(M62&gt;0.005,$C$6,IF(R62&gt;0.005,$C$7,IF(W62&gt;0.005,$C$8,IF(AB62&gt;0.005,$C$9,IF(AG62&gt;0.005,$C$10,IF(AL62&gt;0.005,$C$11,IF(AQ62&gt;0.005,$C$12,IF(AV62&gt;0.005,$C$13,IF(BA62&gt;0.005,$C$14,""))))))))))</f>
        <v/>
      </c>
    </row>
    <row r="63" customFormat="false" ht="15" hidden="false" customHeight="false" outlineLevel="0" collapsed="false">
      <c r="A63" s="24" t="n">
        <v>40</v>
      </c>
      <c r="B63" s="54" t="n">
        <f aca="false">EDATE($C$17,A63-1)</f>
        <v>47515</v>
      </c>
      <c r="C63" s="55" t="n">
        <f aca="false">G63+L63+Q63+V63+AA63+AF63+AK63+AP63+AU63+AZ63</f>
        <v>0</v>
      </c>
      <c r="D63" s="55" t="n">
        <f aca="false">MAX(0,$C$16-C63)</f>
        <v>5822</v>
      </c>
      <c r="E63" s="55" t="n">
        <f aca="false">ROUND(MAX(0,E62+F62-I62),2)</f>
        <v>0</v>
      </c>
      <c r="F63" s="55" t="n">
        <f aca="false">ROUND(E63*$E$5/12,2)</f>
        <v>0</v>
      </c>
      <c r="G63" s="55" t="n">
        <f aca="false">MIN($F$5,E63+F63)</f>
        <v>0</v>
      </c>
      <c r="H63" s="55" t="n">
        <f aca="false">MAX(0,MIN(E63+F63-G63,$D63))</f>
        <v>0</v>
      </c>
      <c r="I63" s="55" t="n">
        <f aca="false">G63+H63</f>
        <v>0</v>
      </c>
      <c r="J63" s="55" t="n">
        <f aca="false">ROUND(MAX(0,J62+K62-N62),2)</f>
        <v>0</v>
      </c>
      <c r="K63" s="55" t="n">
        <f aca="false">ROUND(J63*$E$6/12,2)</f>
        <v>0</v>
      </c>
      <c r="L63" s="55" t="n">
        <f aca="false">MIN($F$6,J63+K63)</f>
        <v>0</v>
      </c>
      <c r="M63" s="55" t="n">
        <f aca="false">MAX(0,MIN(J63+K63-L63,$D63-(H63)))</f>
        <v>0</v>
      </c>
      <c r="N63" s="55" t="n">
        <f aca="false">L63+M63</f>
        <v>0</v>
      </c>
      <c r="O63" s="55" t="n">
        <f aca="false">ROUND(MAX(0,O62+P62-S62),2)</f>
        <v>0</v>
      </c>
      <c r="P63" s="55" t="n">
        <f aca="false">ROUND(O63*$E$7/12,2)</f>
        <v>0</v>
      </c>
      <c r="Q63" s="55" t="n">
        <f aca="false">MIN($F$7,O63+P63)</f>
        <v>0</v>
      </c>
      <c r="R63" s="55" t="n">
        <f aca="false">MAX(0,MIN(O63+P63-Q63,$D63-(H63+M63)))</f>
        <v>0</v>
      </c>
      <c r="S63" s="55" t="n">
        <f aca="false">Q63+R63</f>
        <v>0</v>
      </c>
      <c r="T63" s="55" t="n">
        <f aca="false">ROUND(MAX(0,T62+U62-X62),2)</f>
        <v>0</v>
      </c>
      <c r="U63" s="55" t="n">
        <f aca="false">ROUND(T63*$E$8/12,2)</f>
        <v>0</v>
      </c>
      <c r="V63" s="55" t="n">
        <f aca="false">MIN($F$8,T63+U63)</f>
        <v>0</v>
      </c>
      <c r="W63" s="55" t="n">
        <f aca="false">MAX(0,MIN(T63+U63-V63,$D63-(H63+M63+R63)))</f>
        <v>0</v>
      </c>
      <c r="X63" s="55" t="n">
        <f aca="false">V63+W63</f>
        <v>0</v>
      </c>
      <c r="Y63" s="55" t="n">
        <f aca="false">ROUND(MAX(0,Y62+Z62-AC62),2)</f>
        <v>0</v>
      </c>
      <c r="Z63" s="55" t="n">
        <f aca="false">ROUND(Y63*$E$9/12,2)</f>
        <v>0</v>
      </c>
      <c r="AA63" s="55" t="n">
        <f aca="false">MIN($F$9,Y63+Z63)</f>
        <v>0</v>
      </c>
      <c r="AB63" s="55" t="n">
        <f aca="false">MAX(0,MIN(Y63+Z63-AA63,$D63-(H63+M63+R63+W63)))</f>
        <v>0</v>
      </c>
      <c r="AC63" s="55" t="n">
        <f aca="false">AA63+AB63</f>
        <v>0</v>
      </c>
      <c r="AD63" s="55" t="n">
        <f aca="false">ROUND(MAX(0,AD62+AE62-AH62),2)</f>
        <v>0</v>
      </c>
      <c r="AE63" s="55" t="n">
        <f aca="false">ROUND(AD63*$E$10/12,2)</f>
        <v>0</v>
      </c>
      <c r="AF63" s="55" t="n">
        <f aca="false">MIN($F$10,AD63+AE63)</f>
        <v>0</v>
      </c>
      <c r="AG63" s="55" t="n">
        <f aca="false">MAX(0,MIN(AD63+AE63-AF63,$D63-(H63+M63+R63+W63+AB63)))</f>
        <v>0</v>
      </c>
      <c r="AH63" s="55" t="n">
        <f aca="false">AF63+AG63</f>
        <v>0</v>
      </c>
      <c r="AI63" s="55" t="n">
        <f aca="false">ROUND(MAX(0,AI62+AJ62-AM62),2)</f>
        <v>0</v>
      </c>
      <c r="AJ63" s="55" t="n">
        <f aca="false">ROUND(AI63*$E$11/12,2)</f>
        <v>0</v>
      </c>
      <c r="AK63" s="55" t="n">
        <f aca="false">MIN($F$11,AI63+AJ63)</f>
        <v>0</v>
      </c>
      <c r="AL63" s="55" t="n">
        <f aca="false">MAX(0,MIN(AI63+AJ63-AK63,$D63-(H63+M63+R63+W63+AB63+AG63)))</f>
        <v>0</v>
      </c>
      <c r="AM63" s="55" t="n">
        <f aca="false">AK63+AL63</f>
        <v>0</v>
      </c>
      <c r="AN63" s="55" t="n">
        <f aca="false">ROUND(MAX(0,AN62+AO62-AR62),2)</f>
        <v>0</v>
      </c>
      <c r="AO63" s="55" t="n">
        <f aca="false">ROUND(AN63*$E$12/12,2)</f>
        <v>0</v>
      </c>
      <c r="AP63" s="55" t="n">
        <f aca="false">MIN($F$12,AN63+AO63)</f>
        <v>0</v>
      </c>
      <c r="AQ63" s="55" t="n">
        <f aca="false">MAX(0,MIN(AN63+AO63-AP63,$D63-(H63+M63+R63+W63+AB63+AG63+AL63)))</f>
        <v>0</v>
      </c>
      <c r="AR63" s="55" t="n">
        <f aca="false">AP63+AQ63</f>
        <v>0</v>
      </c>
      <c r="AS63" s="55" t="n">
        <f aca="false">ROUND(MAX(0,AS62+AT62-AW62),2)</f>
        <v>0</v>
      </c>
      <c r="AT63" s="55" t="n">
        <f aca="false">ROUND(AS63*$E$13/12,2)</f>
        <v>0</v>
      </c>
      <c r="AU63" s="55" t="n">
        <f aca="false">MIN($F$13,AS63+AT63)</f>
        <v>0</v>
      </c>
      <c r="AV63" s="55" t="n">
        <f aca="false">MAX(0,MIN(AS63+AT63-AU63,$D63-(H63+M63+R63+W63+AB63+AG63+AL63+AQ63)))</f>
        <v>0</v>
      </c>
      <c r="AW63" s="55" t="n">
        <f aca="false">AU63+AV63</f>
        <v>0</v>
      </c>
      <c r="AX63" s="55" t="n">
        <f aca="false">ROUND(MAX(0,AX62+AY62-BB62),2)</f>
        <v>0</v>
      </c>
      <c r="AY63" s="55" t="n">
        <f aca="false">ROUND(AX63*$E$14/12,2)</f>
        <v>0</v>
      </c>
      <c r="AZ63" s="55" t="n">
        <f aca="false">MIN($F$14,AX63+AY63)</f>
        <v>0</v>
      </c>
      <c r="BA63" s="55" t="n">
        <f aca="false">MAX(0,MIN(AX63+AY63-AZ63,$D63-(H63+M63+R63+W63+AB63+AG63+AL63+AQ63+AV63)))</f>
        <v>0</v>
      </c>
      <c r="BB63" s="55" t="n">
        <f aca="false">AZ63+BA63</f>
        <v>0</v>
      </c>
      <c r="BC63" s="55" t="n">
        <f aca="false">I63+N63+S63+X63+AC63+AH63+AM63+AR63+AW63+BB63</f>
        <v>0</v>
      </c>
      <c r="BD63" s="55" t="n">
        <f aca="false">ROUND((E63+F63-I63)+(J63+K63-N63)+(O63+P63-S63)+(T63+U63-X63)+(Y63+Z63-AC63)+(AD63+AE63-AH63)+(AI63+AJ63-AM63)+(AN63+AO63-AR63)+(AS63+AT63-AW63)+(AX63+AY63-BB63),2)</f>
        <v>0</v>
      </c>
      <c r="BE63" s="25" t="str">
        <f aca="false">IF(H63&gt;0.005,$C$5,IF(M63&gt;0.005,$C$6,IF(R63&gt;0.005,$C$7,IF(W63&gt;0.005,$C$8,IF(AB63&gt;0.005,$C$9,IF(AG63&gt;0.005,$C$10,IF(AL63&gt;0.005,$C$11,IF(AQ63&gt;0.005,$C$12,IF(AV63&gt;0.005,$C$13,IF(BA63&gt;0.005,$C$14,""))))))))))</f>
        <v/>
      </c>
    </row>
    <row r="64" customFormat="false" ht="15" hidden="false" customHeight="false" outlineLevel="0" collapsed="false">
      <c r="A64" s="24" t="n">
        <v>41</v>
      </c>
      <c r="B64" s="54" t="n">
        <f aca="false">EDATE($C$17,A64-1)</f>
        <v>47543</v>
      </c>
      <c r="C64" s="55" t="n">
        <f aca="false">G64+L64+Q64+V64+AA64+AF64+AK64+AP64+AU64+AZ64</f>
        <v>0</v>
      </c>
      <c r="D64" s="55" t="n">
        <f aca="false">MAX(0,$C$16-C64)</f>
        <v>5822</v>
      </c>
      <c r="E64" s="55" t="n">
        <f aca="false">ROUND(MAX(0,E63+F63-I63),2)</f>
        <v>0</v>
      </c>
      <c r="F64" s="55" t="n">
        <f aca="false">ROUND(E64*$E$5/12,2)</f>
        <v>0</v>
      </c>
      <c r="G64" s="55" t="n">
        <f aca="false">MIN($F$5,E64+F64)</f>
        <v>0</v>
      </c>
      <c r="H64" s="55" t="n">
        <f aca="false">MAX(0,MIN(E64+F64-G64,$D64))</f>
        <v>0</v>
      </c>
      <c r="I64" s="55" t="n">
        <f aca="false">G64+H64</f>
        <v>0</v>
      </c>
      <c r="J64" s="55" t="n">
        <f aca="false">ROUND(MAX(0,J63+K63-N63),2)</f>
        <v>0</v>
      </c>
      <c r="K64" s="55" t="n">
        <f aca="false">ROUND(J64*$E$6/12,2)</f>
        <v>0</v>
      </c>
      <c r="L64" s="55" t="n">
        <f aca="false">MIN($F$6,J64+K64)</f>
        <v>0</v>
      </c>
      <c r="M64" s="55" t="n">
        <f aca="false">MAX(0,MIN(J64+K64-L64,$D64-(H64)))</f>
        <v>0</v>
      </c>
      <c r="N64" s="55" t="n">
        <f aca="false">L64+M64</f>
        <v>0</v>
      </c>
      <c r="O64" s="55" t="n">
        <f aca="false">ROUND(MAX(0,O63+P63-S63),2)</f>
        <v>0</v>
      </c>
      <c r="P64" s="55" t="n">
        <f aca="false">ROUND(O64*$E$7/12,2)</f>
        <v>0</v>
      </c>
      <c r="Q64" s="55" t="n">
        <f aca="false">MIN($F$7,O64+P64)</f>
        <v>0</v>
      </c>
      <c r="R64" s="55" t="n">
        <f aca="false">MAX(0,MIN(O64+P64-Q64,$D64-(H64+M64)))</f>
        <v>0</v>
      </c>
      <c r="S64" s="55" t="n">
        <f aca="false">Q64+R64</f>
        <v>0</v>
      </c>
      <c r="T64" s="55" t="n">
        <f aca="false">ROUND(MAX(0,T63+U63-X63),2)</f>
        <v>0</v>
      </c>
      <c r="U64" s="55" t="n">
        <f aca="false">ROUND(T64*$E$8/12,2)</f>
        <v>0</v>
      </c>
      <c r="V64" s="55" t="n">
        <f aca="false">MIN($F$8,T64+U64)</f>
        <v>0</v>
      </c>
      <c r="W64" s="55" t="n">
        <f aca="false">MAX(0,MIN(T64+U64-V64,$D64-(H64+M64+R64)))</f>
        <v>0</v>
      </c>
      <c r="X64" s="55" t="n">
        <f aca="false">V64+W64</f>
        <v>0</v>
      </c>
      <c r="Y64" s="55" t="n">
        <f aca="false">ROUND(MAX(0,Y63+Z63-AC63),2)</f>
        <v>0</v>
      </c>
      <c r="Z64" s="55" t="n">
        <f aca="false">ROUND(Y64*$E$9/12,2)</f>
        <v>0</v>
      </c>
      <c r="AA64" s="55" t="n">
        <f aca="false">MIN($F$9,Y64+Z64)</f>
        <v>0</v>
      </c>
      <c r="AB64" s="55" t="n">
        <f aca="false">MAX(0,MIN(Y64+Z64-AA64,$D64-(H64+M64+R64+W64)))</f>
        <v>0</v>
      </c>
      <c r="AC64" s="55" t="n">
        <f aca="false">AA64+AB64</f>
        <v>0</v>
      </c>
      <c r="AD64" s="55" t="n">
        <f aca="false">ROUND(MAX(0,AD63+AE63-AH63),2)</f>
        <v>0</v>
      </c>
      <c r="AE64" s="55" t="n">
        <f aca="false">ROUND(AD64*$E$10/12,2)</f>
        <v>0</v>
      </c>
      <c r="AF64" s="55" t="n">
        <f aca="false">MIN($F$10,AD64+AE64)</f>
        <v>0</v>
      </c>
      <c r="AG64" s="55" t="n">
        <f aca="false">MAX(0,MIN(AD64+AE64-AF64,$D64-(H64+M64+R64+W64+AB64)))</f>
        <v>0</v>
      </c>
      <c r="AH64" s="55" t="n">
        <f aca="false">AF64+AG64</f>
        <v>0</v>
      </c>
      <c r="AI64" s="55" t="n">
        <f aca="false">ROUND(MAX(0,AI63+AJ63-AM63),2)</f>
        <v>0</v>
      </c>
      <c r="AJ64" s="55" t="n">
        <f aca="false">ROUND(AI64*$E$11/12,2)</f>
        <v>0</v>
      </c>
      <c r="AK64" s="55" t="n">
        <f aca="false">MIN($F$11,AI64+AJ64)</f>
        <v>0</v>
      </c>
      <c r="AL64" s="55" t="n">
        <f aca="false">MAX(0,MIN(AI64+AJ64-AK64,$D64-(H64+M64+R64+W64+AB64+AG64)))</f>
        <v>0</v>
      </c>
      <c r="AM64" s="55" t="n">
        <f aca="false">AK64+AL64</f>
        <v>0</v>
      </c>
      <c r="AN64" s="55" t="n">
        <f aca="false">ROUND(MAX(0,AN63+AO63-AR63),2)</f>
        <v>0</v>
      </c>
      <c r="AO64" s="55" t="n">
        <f aca="false">ROUND(AN64*$E$12/12,2)</f>
        <v>0</v>
      </c>
      <c r="AP64" s="55" t="n">
        <f aca="false">MIN($F$12,AN64+AO64)</f>
        <v>0</v>
      </c>
      <c r="AQ64" s="55" t="n">
        <f aca="false">MAX(0,MIN(AN64+AO64-AP64,$D64-(H64+M64+R64+W64+AB64+AG64+AL64)))</f>
        <v>0</v>
      </c>
      <c r="AR64" s="55" t="n">
        <f aca="false">AP64+AQ64</f>
        <v>0</v>
      </c>
      <c r="AS64" s="55" t="n">
        <f aca="false">ROUND(MAX(0,AS63+AT63-AW63),2)</f>
        <v>0</v>
      </c>
      <c r="AT64" s="55" t="n">
        <f aca="false">ROUND(AS64*$E$13/12,2)</f>
        <v>0</v>
      </c>
      <c r="AU64" s="55" t="n">
        <f aca="false">MIN($F$13,AS64+AT64)</f>
        <v>0</v>
      </c>
      <c r="AV64" s="55" t="n">
        <f aca="false">MAX(0,MIN(AS64+AT64-AU64,$D64-(H64+M64+R64+W64+AB64+AG64+AL64+AQ64)))</f>
        <v>0</v>
      </c>
      <c r="AW64" s="55" t="n">
        <f aca="false">AU64+AV64</f>
        <v>0</v>
      </c>
      <c r="AX64" s="55" t="n">
        <f aca="false">ROUND(MAX(0,AX63+AY63-BB63),2)</f>
        <v>0</v>
      </c>
      <c r="AY64" s="55" t="n">
        <f aca="false">ROUND(AX64*$E$14/12,2)</f>
        <v>0</v>
      </c>
      <c r="AZ64" s="55" t="n">
        <f aca="false">MIN($F$14,AX64+AY64)</f>
        <v>0</v>
      </c>
      <c r="BA64" s="55" t="n">
        <f aca="false">MAX(0,MIN(AX64+AY64-AZ64,$D64-(H64+M64+R64+W64+AB64+AG64+AL64+AQ64+AV64)))</f>
        <v>0</v>
      </c>
      <c r="BB64" s="55" t="n">
        <f aca="false">AZ64+BA64</f>
        <v>0</v>
      </c>
      <c r="BC64" s="55" t="n">
        <f aca="false">I64+N64+S64+X64+AC64+AH64+AM64+AR64+AW64+BB64</f>
        <v>0</v>
      </c>
      <c r="BD64" s="55" t="n">
        <f aca="false">ROUND((E64+F64-I64)+(J64+K64-N64)+(O64+P64-S64)+(T64+U64-X64)+(Y64+Z64-AC64)+(AD64+AE64-AH64)+(AI64+AJ64-AM64)+(AN64+AO64-AR64)+(AS64+AT64-AW64)+(AX64+AY64-BB64),2)</f>
        <v>0</v>
      </c>
      <c r="BE64" s="25" t="str">
        <f aca="false">IF(H64&gt;0.005,$C$5,IF(M64&gt;0.005,$C$6,IF(R64&gt;0.005,$C$7,IF(W64&gt;0.005,$C$8,IF(AB64&gt;0.005,$C$9,IF(AG64&gt;0.005,$C$10,IF(AL64&gt;0.005,$C$11,IF(AQ64&gt;0.005,$C$12,IF(AV64&gt;0.005,$C$13,IF(BA64&gt;0.005,$C$14,""))))))))))</f>
        <v/>
      </c>
    </row>
    <row r="65" customFormat="false" ht="15" hidden="false" customHeight="false" outlineLevel="0" collapsed="false">
      <c r="A65" s="24" t="n">
        <v>42</v>
      </c>
      <c r="B65" s="54" t="n">
        <f aca="false">EDATE($C$17,A65-1)</f>
        <v>47574</v>
      </c>
      <c r="C65" s="55" t="n">
        <f aca="false">G65+L65+Q65+V65+AA65+AF65+AK65+AP65+AU65+AZ65</f>
        <v>0</v>
      </c>
      <c r="D65" s="55" t="n">
        <f aca="false">MAX(0,$C$16-C65)</f>
        <v>5822</v>
      </c>
      <c r="E65" s="55" t="n">
        <f aca="false">ROUND(MAX(0,E64+F64-I64),2)</f>
        <v>0</v>
      </c>
      <c r="F65" s="55" t="n">
        <f aca="false">ROUND(E65*$E$5/12,2)</f>
        <v>0</v>
      </c>
      <c r="G65" s="55" t="n">
        <f aca="false">MIN($F$5,E65+F65)</f>
        <v>0</v>
      </c>
      <c r="H65" s="55" t="n">
        <f aca="false">MAX(0,MIN(E65+F65-G65,$D65))</f>
        <v>0</v>
      </c>
      <c r="I65" s="55" t="n">
        <f aca="false">G65+H65</f>
        <v>0</v>
      </c>
      <c r="J65" s="55" t="n">
        <f aca="false">ROUND(MAX(0,J64+K64-N64),2)</f>
        <v>0</v>
      </c>
      <c r="K65" s="55" t="n">
        <f aca="false">ROUND(J65*$E$6/12,2)</f>
        <v>0</v>
      </c>
      <c r="L65" s="55" t="n">
        <f aca="false">MIN($F$6,J65+K65)</f>
        <v>0</v>
      </c>
      <c r="M65" s="55" t="n">
        <f aca="false">MAX(0,MIN(J65+K65-L65,$D65-(H65)))</f>
        <v>0</v>
      </c>
      <c r="N65" s="55" t="n">
        <f aca="false">L65+M65</f>
        <v>0</v>
      </c>
      <c r="O65" s="55" t="n">
        <f aca="false">ROUND(MAX(0,O64+P64-S64),2)</f>
        <v>0</v>
      </c>
      <c r="P65" s="55" t="n">
        <f aca="false">ROUND(O65*$E$7/12,2)</f>
        <v>0</v>
      </c>
      <c r="Q65" s="55" t="n">
        <f aca="false">MIN($F$7,O65+P65)</f>
        <v>0</v>
      </c>
      <c r="R65" s="55" t="n">
        <f aca="false">MAX(0,MIN(O65+P65-Q65,$D65-(H65+M65)))</f>
        <v>0</v>
      </c>
      <c r="S65" s="55" t="n">
        <f aca="false">Q65+R65</f>
        <v>0</v>
      </c>
      <c r="T65" s="55" t="n">
        <f aca="false">ROUND(MAX(0,T64+U64-X64),2)</f>
        <v>0</v>
      </c>
      <c r="U65" s="55" t="n">
        <f aca="false">ROUND(T65*$E$8/12,2)</f>
        <v>0</v>
      </c>
      <c r="V65" s="55" t="n">
        <f aca="false">MIN($F$8,T65+U65)</f>
        <v>0</v>
      </c>
      <c r="W65" s="55" t="n">
        <f aca="false">MAX(0,MIN(T65+U65-V65,$D65-(H65+M65+R65)))</f>
        <v>0</v>
      </c>
      <c r="X65" s="55" t="n">
        <f aca="false">V65+W65</f>
        <v>0</v>
      </c>
      <c r="Y65" s="55" t="n">
        <f aca="false">ROUND(MAX(0,Y64+Z64-AC64),2)</f>
        <v>0</v>
      </c>
      <c r="Z65" s="55" t="n">
        <f aca="false">ROUND(Y65*$E$9/12,2)</f>
        <v>0</v>
      </c>
      <c r="AA65" s="55" t="n">
        <f aca="false">MIN($F$9,Y65+Z65)</f>
        <v>0</v>
      </c>
      <c r="AB65" s="55" t="n">
        <f aca="false">MAX(0,MIN(Y65+Z65-AA65,$D65-(H65+M65+R65+W65)))</f>
        <v>0</v>
      </c>
      <c r="AC65" s="55" t="n">
        <f aca="false">AA65+AB65</f>
        <v>0</v>
      </c>
      <c r="AD65" s="55" t="n">
        <f aca="false">ROUND(MAX(0,AD64+AE64-AH64),2)</f>
        <v>0</v>
      </c>
      <c r="AE65" s="55" t="n">
        <f aca="false">ROUND(AD65*$E$10/12,2)</f>
        <v>0</v>
      </c>
      <c r="AF65" s="55" t="n">
        <f aca="false">MIN($F$10,AD65+AE65)</f>
        <v>0</v>
      </c>
      <c r="AG65" s="55" t="n">
        <f aca="false">MAX(0,MIN(AD65+AE65-AF65,$D65-(H65+M65+R65+W65+AB65)))</f>
        <v>0</v>
      </c>
      <c r="AH65" s="55" t="n">
        <f aca="false">AF65+AG65</f>
        <v>0</v>
      </c>
      <c r="AI65" s="55" t="n">
        <f aca="false">ROUND(MAX(0,AI64+AJ64-AM64),2)</f>
        <v>0</v>
      </c>
      <c r="AJ65" s="55" t="n">
        <f aca="false">ROUND(AI65*$E$11/12,2)</f>
        <v>0</v>
      </c>
      <c r="AK65" s="55" t="n">
        <f aca="false">MIN($F$11,AI65+AJ65)</f>
        <v>0</v>
      </c>
      <c r="AL65" s="55" t="n">
        <f aca="false">MAX(0,MIN(AI65+AJ65-AK65,$D65-(H65+M65+R65+W65+AB65+AG65)))</f>
        <v>0</v>
      </c>
      <c r="AM65" s="55" t="n">
        <f aca="false">AK65+AL65</f>
        <v>0</v>
      </c>
      <c r="AN65" s="55" t="n">
        <f aca="false">ROUND(MAX(0,AN64+AO64-AR64),2)</f>
        <v>0</v>
      </c>
      <c r="AO65" s="55" t="n">
        <f aca="false">ROUND(AN65*$E$12/12,2)</f>
        <v>0</v>
      </c>
      <c r="AP65" s="55" t="n">
        <f aca="false">MIN($F$12,AN65+AO65)</f>
        <v>0</v>
      </c>
      <c r="AQ65" s="55" t="n">
        <f aca="false">MAX(0,MIN(AN65+AO65-AP65,$D65-(H65+M65+R65+W65+AB65+AG65+AL65)))</f>
        <v>0</v>
      </c>
      <c r="AR65" s="55" t="n">
        <f aca="false">AP65+AQ65</f>
        <v>0</v>
      </c>
      <c r="AS65" s="55" t="n">
        <f aca="false">ROUND(MAX(0,AS64+AT64-AW64),2)</f>
        <v>0</v>
      </c>
      <c r="AT65" s="55" t="n">
        <f aca="false">ROUND(AS65*$E$13/12,2)</f>
        <v>0</v>
      </c>
      <c r="AU65" s="55" t="n">
        <f aca="false">MIN($F$13,AS65+AT65)</f>
        <v>0</v>
      </c>
      <c r="AV65" s="55" t="n">
        <f aca="false">MAX(0,MIN(AS65+AT65-AU65,$D65-(H65+M65+R65+W65+AB65+AG65+AL65+AQ65)))</f>
        <v>0</v>
      </c>
      <c r="AW65" s="55" t="n">
        <f aca="false">AU65+AV65</f>
        <v>0</v>
      </c>
      <c r="AX65" s="55" t="n">
        <f aca="false">ROUND(MAX(0,AX64+AY64-BB64),2)</f>
        <v>0</v>
      </c>
      <c r="AY65" s="55" t="n">
        <f aca="false">ROUND(AX65*$E$14/12,2)</f>
        <v>0</v>
      </c>
      <c r="AZ65" s="55" t="n">
        <f aca="false">MIN($F$14,AX65+AY65)</f>
        <v>0</v>
      </c>
      <c r="BA65" s="55" t="n">
        <f aca="false">MAX(0,MIN(AX65+AY65-AZ65,$D65-(H65+M65+R65+W65+AB65+AG65+AL65+AQ65+AV65)))</f>
        <v>0</v>
      </c>
      <c r="BB65" s="55" t="n">
        <f aca="false">AZ65+BA65</f>
        <v>0</v>
      </c>
      <c r="BC65" s="55" t="n">
        <f aca="false">I65+N65+S65+X65+AC65+AH65+AM65+AR65+AW65+BB65</f>
        <v>0</v>
      </c>
      <c r="BD65" s="55" t="n">
        <f aca="false">ROUND((E65+F65-I65)+(J65+K65-N65)+(O65+P65-S65)+(T65+U65-X65)+(Y65+Z65-AC65)+(AD65+AE65-AH65)+(AI65+AJ65-AM65)+(AN65+AO65-AR65)+(AS65+AT65-AW65)+(AX65+AY65-BB65),2)</f>
        <v>0</v>
      </c>
      <c r="BE65" s="25" t="str">
        <f aca="false">IF(H65&gt;0.005,$C$5,IF(M65&gt;0.005,$C$6,IF(R65&gt;0.005,$C$7,IF(W65&gt;0.005,$C$8,IF(AB65&gt;0.005,$C$9,IF(AG65&gt;0.005,$C$10,IF(AL65&gt;0.005,$C$11,IF(AQ65&gt;0.005,$C$12,IF(AV65&gt;0.005,$C$13,IF(BA65&gt;0.005,$C$14,""))))))))))</f>
        <v/>
      </c>
    </row>
    <row r="66" customFormat="false" ht="15" hidden="false" customHeight="false" outlineLevel="0" collapsed="false">
      <c r="A66" s="24" t="n">
        <v>43</v>
      </c>
      <c r="B66" s="54" t="n">
        <f aca="false">EDATE($C$17,A66-1)</f>
        <v>47604</v>
      </c>
      <c r="C66" s="55" t="n">
        <f aca="false">G66+L66+Q66+V66+AA66+AF66+AK66+AP66+AU66+AZ66</f>
        <v>0</v>
      </c>
      <c r="D66" s="55" t="n">
        <f aca="false">MAX(0,$C$16-C66)</f>
        <v>5822</v>
      </c>
      <c r="E66" s="55" t="n">
        <f aca="false">ROUND(MAX(0,E65+F65-I65),2)</f>
        <v>0</v>
      </c>
      <c r="F66" s="55" t="n">
        <f aca="false">ROUND(E66*$E$5/12,2)</f>
        <v>0</v>
      </c>
      <c r="G66" s="55" t="n">
        <f aca="false">MIN($F$5,E66+F66)</f>
        <v>0</v>
      </c>
      <c r="H66" s="55" t="n">
        <f aca="false">MAX(0,MIN(E66+F66-G66,$D66))</f>
        <v>0</v>
      </c>
      <c r="I66" s="55" t="n">
        <f aca="false">G66+H66</f>
        <v>0</v>
      </c>
      <c r="J66" s="55" t="n">
        <f aca="false">ROUND(MAX(0,J65+K65-N65),2)</f>
        <v>0</v>
      </c>
      <c r="K66" s="55" t="n">
        <f aca="false">ROUND(J66*$E$6/12,2)</f>
        <v>0</v>
      </c>
      <c r="L66" s="55" t="n">
        <f aca="false">MIN($F$6,J66+K66)</f>
        <v>0</v>
      </c>
      <c r="M66" s="55" t="n">
        <f aca="false">MAX(0,MIN(J66+K66-L66,$D66-(H66)))</f>
        <v>0</v>
      </c>
      <c r="N66" s="55" t="n">
        <f aca="false">L66+M66</f>
        <v>0</v>
      </c>
      <c r="O66" s="55" t="n">
        <f aca="false">ROUND(MAX(0,O65+P65-S65),2)</f>
        <v>0</v>
      </c>
      <c r="P66" s="55" t="n">
        <f aca="false">ROUND(O66*$E$7/12,2)</f>
        <v>0</v>
      </c>
      <c r="Q66" s="55" t="n">
        <f aca="false">MIN($F$7,O66+P66)</f>
        <v>0</v>
      </c>
      <c r="R66" s="55" t="n">
        <f aca="false">MAX(0,MIN(O66+P66-Q66,$D66-(H66+M66)))</f>
        <v>0</v>
      </c>
      <c r="S66" s="55" t="n">
        <f aca="false">Q66+R66</f>
        <v>0</v>
      </c>
      <c r="T66" s="55" t="n">
        <f aca="false">ROUND(MAX(0,T65+U65-X65),2)</f>
        <v>0</v>
      </c>
      <c r="U66" s="55" t="n">
        <f aca="false">ROUND(T66*$E$8/12,2)</f>
        <v>0</v>
      </c>
      <c r="V66" s="55" t="n">
        <f aca="false">MIN($F$8,T66+U66)</f>
        <v>0</v>
      </c>
      <c r="W66" s="55" t="n">
        <f aca="false">MAX(0,MIN(T66+U66-V66,$D66-(H66+M66+R66)))</f>
        <v>0</v>
      </c>
      <c r="X66" s="55" t="n">
        <f aca="false">V66+W66</f>
        <v>0</v>
      </c>
      <c r="Y66" s="55" t="n">
        <f aca="false">ROUND(MAX(0,Y65+Z65-AC65),2)</f>
        <v>0</v>
      </c>
      <c r="Z66" s="55" t="n">
        <f aca="false">ROUND(Y66*$E$9/12,2)</f>
        <v>0</v>
      </c>
      <c r="AA66" s="55" t="n">
        <f aca="false">MIN($F$9,Y66+Z66)</f>
        <v>0</v>
      </c>
      <c r="AB66" s="55" t="n">
        <f aca="false">MAX(0,MIN(Y66+Z66-AA66,$D66-(H66+M66+R66+W66)))</f>
        <v>0</v>
      </c>
      <c r="AC66" s="55" t="n">
        <f aca="false">AA66+AB66</f>
        <v>0</v>
      </c>
      <c r="AD66" s="55" t="n">
        <f aca="false">ROUND(MAX(0,AD65+AE65-AH65),2)</f>
        <v>0</v>
      </c>
      <c r="AE66" s="55" t="n">
        <f aca="false">ROUND(AD66*$E$10/12,2)</f>
        <v>0</v>
      </c>
      <c r="AF66" s="55" t="n">
        <f aca="false">MIN($F$10,AD66+AE66)</f>
        <v>0</v>
      </c>
      <c r="AG66" s="55" t="n">
        <f aca="false">MAX(0,MIN(AD66+AE66-AF66,$D66-(H66+M66+R66+W66+AB66)))</f>
        <v>0</v>
      </c>
      <c r="AH66" s="55" t="n">
        <f aca="false">AF66+AG66</f>
        <v>0</v>
      </c>
      <c r="AI66" s="55" t="n">
        <f aca="false">ROUND(MAX(0,AI65+AJ65-AM65),2)</f>
        <v>0</v>
      </c>
      <c r="AJ66" s="55" t="n">
        <f aca="false">ROUND(AI66*$E$11/12,2)</f>
        <v>0</v>
      </c>
      <c r="AK66" s="55" t="n">
        <f aca="false">MIN($F$11,AI66+AJ66)</f>
        <v>0</v>
      </c>
      <c r="AL66" s="55" t="n">
        <f aca="false">MAX(0,MIN(AI66+AJ66-AK66,$D66-(H66+M66+R66+W66+AB66+AG66)))</f>
        <v>0</v>
      </c>
      <c r="AM66" s="55" t="n">
        <f aca="false">AK66+AL66</f>
        <v>0</v>
      </c>
      <c r="AN66" s="55" t="n">
        <f aca="false">ROUND(MAX(0,AN65+AO65-AR65),2)</f>
        <v>0</v>
      </c>
      <c r="AO66" s="55" t="n">
        <f aca="false">ROUND(AN66*$E$12/12,2)</f>
        <v>0</v>
      </c>
      <c r="AP66" s="55" t="n">
        <f aca="false">MIN($F$12,AN66+AO66)</f>
        <v>0</v>
      </c>
      <c r="AQ66" s="55" t="n">
        <f aca="false">MAX(0,MIN(AN66+AO66-AP66,$D66-(H66+M66+R66+W66+AB66+AG66+AL66)))</f>
        <v>0</v>
      </c>
      <c r="AR66" s="55" t="n">
        <f aca="false">AP66+AQ66</f>
        <v>0</v>
      </c>
      <c r="AS66" s="55" t="n">
        <f aca="false">ROUND(MAX(0,AS65+AT65-AW65),2)</f>
        <v>0</v>
      </c>
      <c r="AT66" s="55" t="n">
        <f aca="false">ROUND(AS66*$E$13/12,2)</f>
        <v>0</v>
      </c>
      <c r="AU66" s="55" t="n">
        <f aca="false">MIN($F$13,AS66+AT66)</f>
        <v>0</v>
      </c>
      <c r="AV66" s="55" t="n">
        <f aca="false">MAX(0,MIN(AS66+AT66-AU66,$D66-(H66+M66+R66+W66+AB66+AG66+AL66+AQ66)))</f>
        <v>0</v>
      </c>
      <c r="AW66" s="55" t="n">
        <f aca="false">AU66+AV66</f>
        <v>0</v>
      </c>
      <c r="AX66" s="55" t="n">
        <f aca="false">ROUND(MAX(0,AX65+AY65-BB65),2)</f>
        <v>0</v>
      </c>
      <c r="AY66" s="55" t="n">
        <f aca="false">ROUND(AX66*$E$14/12,2)</f>
        <v>0</v>
      </c>
      <c r="AZ66" s="55" t="n">
        <f aca="false">MIN($F$14,AX66+AY66)</f>
        <v>0</v>
      </c>
      <c r="BA66" s="55" t="n">
        <f aca="false">MAX(0,MIN(AX66+AY66-AZ66,$D66-(H66+M66+R66+W66+AB66+AG66+AL66+AQ66+AV66)))</f>
        <v>0</v>
      </c>
      <c r="BB66" s="55" t="n">
        <f aca="false">AZ66+BA66</f>
        <v>0</v>
      </c>
      <c r="BC66" s="55" t="n">
        <f aca="false">I66+N66+S66+X66+AC66+AH66+AM66+AR66+AW66+BB66</f>
        <v>0</v>
      </c>
      <c r="BD66" s="55" t="n">
        <f aca="false">ROUND((E66+F66-I66)+(J66+K66-N66)+(O66+P66-S66)+(T66+U66-X66)+(Y66+Z66-AC66)+(AD66+AE66-AH66)+(AI66+AJ66-AM66)+(AN66+AO66-AR66)+(AS66+AT66-AW66)+(AX66+AY66-BB66),2)</f>
        <v>0</v>
      </c>
      <c r="BE66" s="25" t="str">
        <f aca="false">IF(H66&gt;0.005,$C$5,IF(M66&gt;0.005,$C$6,IF(R66&gt;0.005,$C$7,IF(W66&gt;0.005,$C$8,IF(AB66&gt;0.005,$C$9,IF(AG66&gt;0.005,$C$10,IF(AL66&gt;0.005,$C$11,IF(AQ66&gt;0.005,$C$12,IF(AV66&gt;0.005,$C$13,IF(BA66&gt;0.005,$C$14,""))))))))))</f>
        <v/>
      </c>
    </row>
    <row r="67" customFormat="false" ht="15" hidden="false" customHeight="false" outlineLevel="0" collapsed="false">
      <c r="A67" s="24" t="n">
        <v>44</v>
      </c>
      <c r="B67" s="54" t="n">
        <f aca="false">EDATE($C$17,A67-1)</f>
        <v>47635</v>
      </c>
      <c r="C67" s="55" t="n">
        <f aca="false">G67+L67+Q67+V67+AA67+AF67+AK67+AP67+AU67+AZ67</f>
        <v>0</v>
      </c>
      <c r="D67" s="55" t="n">
        <f aca="false">MAX(0,$C$16-C67)</f>
        <v>5822</v>
      </c>
      <c r="E67" s="55" t="n">
        <f aca="false">ROUND(MAX(0,E66+F66-I66),2)</f>
        <v>0</v>
      </c>
      <c r="F67" s="55" t="n">
        <f aca="false">ROUND(E67*$E$5/12,2)</f>
        <v>0</v>
      </c>
      <c r="G67" s="55" t="n">
        <f aca="false">MIN($F$5,E67+F67)</f>
        <v>0</v>
      </c>
      <c r="H67" s="55" t="n">
        <f aca="false">MAX(0,MIN(E67+F67-G67,$D67))</f>
        <v>0</v>
      </c>
      <c r="I67" s="55" t="n">
        <f aca="false">G67+H67</f>
        <v>0</v>
      </c>
      <c r="J67" s="55" t="n">
        <f aca="false">ROUND(MAX(0,J66+K66-N66),2)</f>
        <v>0</v>
      </c>
      <c r="K67" s="55" t="n">
        <f aca="false">ROUND(J67*$E$6/12,2)</f>
        <v>0</v>
      </c>
      <c r="L67" s="55" t="n">
        <f aca="false">MIN($F$6,J67+K67)</f>
        <v>0</v>
      </c>
      <c r="M67" s="55" t="n">
        <f aca="false">MAX(0,MIN(J67+K67-L67,$D67-(H67)))</f>
        <v>0</v>
      </c>
      <c r="N67" s="55" t="n">
        <f aca="false">L67+M67</f>
        <v>0</v>
      </c>
      <c r="O67" s="55" t="n">
        <f aca="false">ROUND(MAX(0,O66+P66-S66),2)</f>
        <v>0</v>
      </c>
      <c r="P67" s="55" t="n">
        <f aca="false">ROUND(O67*$E$7/12,2)</f>
        <v>0</v>
      </c>
      <c r="Q67" s="55" t="n">
        <f aca="false">MIN($F$7,O67+P67)</f>
        <v>0</v>
      </c>
      <c r="R67" s="55" t="n">
        <f aca="false">MAX(0,MIN(O67+P67-Q67,$D67-(H67+M67)))</f>
        <v>0</v>
      </c>
      <c r="S67" s="55" t="n">
        <f aca="false">Q67+R67</f>
        <v>0</v>
      </c>
      <c r="T67" s="55" t="n">
        <f aca="false">ROUND(MAX(0,T66+U66-X66),2)</f>
        <v>0</v>
      </c>
      <c r="U67" s="55" t="n">
        <f aca="false">ROUND(T67*$E$8/12,2)</f>
        <v>0</v>
      </c>
      <c r="V67" s="55" t="n">
        <f aca="false">MIN($F$8,T67+U67)</f>
        <v>0</v>
      </c>
      <c r="W67" s="55" t="n">
        <f aca="false">MAX(0,MIN(T67+U67-V67,$D67-(H67+M67+R67)))</f>
        <v>0</v>
      </c>
      <c r="X67" s="55" t="n">
        <f aca="false">V67+W67</f>
        <v>0</v>
      </c>
      <c r="Y67" s="55" t="n">
        <f aca="false">ROUND(MAX(0,Y66+Z66-AC66),2)</f>
        <v>0</v>
      </c>
      <c r="Z67" s="55" t="n">
        <f aca="false">ROUND(Y67*$E$9/12,2)</f>
        <v>0</v>
      </c>
      <c r="AA67" s="55" t="n">
        <f aca="false">MIN($F$9,Y67+Z67)</f>
        <v>0</v>
      </c>
      <c r="AB67" s="55" t="n">
        <f aca="false">MAX(0,MIN(Y67+Z67-AA67,$D67-(H67+M67+R67+W67)))</f>
        <v>0</v>
      </c>
      <c r="AC67" s="55" t="n">
        <f aca="false">AA67+AB67</f>
        <v>0</v>
      </c>
      <c r="AD67" s="55" t="n">
        <f aca="false">ROUND(MAX(0,AD66+AE66-AH66),2)</f>
        <v>0</v>
      </c>
      <c r="AE67" s="55" t="n">
        <f aca="false">ROUND(AD67*$E$10/12,2)</f>
        <v>0</v>
      </c>
      <c r="AF67" s="55" t="n">
        <f aca="false">MIN($F$10,AD67+AE67)</f>
        <v>0</v>
      </c>
      <c r="AG67" s="55" t="n">
        <f aca="false">MAX(0,MIN(AD67+AE67-AF67,$D67-(H67+M67+R67+W67+AB67)))</f>
        <v>0</v>
      </c>
      <c r="AH67" s="55" t="n">
        <f aca="false">AF67+AG67</f>
        <v>0</v>
      </c>
      <c r="AI67" s="55" t="n">
        <f aca="false">ROUND(MAX(0,AI66+AJ66-AM66),2)</f>
        <v>0</v>
      </c>
      <c r="AJ67" s="55" t="n">
        <f aca="false">ROUND(AI67*$E$11/12,2)</f>
        <v>0</v>
      </c>
      <c r="AK67" s="55" t="n">
        <f aca="false">MIN($F$11,AI67+AJ67)</f>
        <v>0</v>
      </c>
      <c r="AL67" s="55" t="n">
        <f aca="false">MAX(0,MIN(AI67+AJ67-AK67,$D67-(H67+M67+R67+W67+AB67+AG67)))</f>
        <v>0</v>
      </c>
      <c r="AM67" s="55" t="n">
        <f aca="false">AK67+AL67</f>
        <v>0</v>
      </c>
      <c r="AN67" s="55" t="n">
        <f aca="false">ROUND(MAX(0,AN66+AO66-AR66),2)</f>
        <v>0</v>
      </c>
      <c r="AO67" s="55" t="n">
        <f aca="false">ROUND(AN67*$E$12/12,2)</f>
        <v>0</v>
      </c>
      <c r="AP67" s="55" t="n">
        <f aca="false">MIN($F$12,AN67+AO67)</f>
        <v>0</v>
      </c>
      <c r="AQ67" s="55" t="n">
        <f aca="false">MAX(0,MIN(AN67+AO67-AP67,$D67-(H67+M67+R67+W67+AB67+AG67+AL67)))</f>
        <v>0</v>
      </c>
      <c r="AR67" s="55" t="n">
        <f aca="false">AP67+AQ67</f>
        <v>0</v>
      </c>
      <c r="AS67" s="55" t="n">
        <f aca="false">ROUND(MAX(0,AS66+AT66-AW66),2)</f>
        <v>0</v>
      </c>
      <c r="AT67" s="55" t="n">
        <f aca="false">ROUND(AS67*$E$13/12,2)</f>
        <v>0</v>
      </c>
      <c r="AU67" s="55" t="n">
        <f aca="false">MIN($F$13,AS67+AT67)</f>
        <v>0</v>
      </c>
      <c r="AV67" s="55" t="n">
        <f aca="false">MAX(0,MIN(AS67+AT67-AU67,$D67-(H67+M67+R67+W67+AB67+AG67+AL67+AQ67)))</f>
        <v>0</v>
      </c>
      <c r="AW67" s="55" t="n">
        <f aca="false">AU67+AV67</f>
        <v>0</v>
      </c>
      <c r="AX67" s="55" t="n">
        <f aca="false">ROUND(MAX(0,AX66+AY66-BB66),2)</f>
        <v>0</v>
      </c>
      <c r="AY67" s="55" t="n">
        <f aca="false">ROUND(AX67*$E$14/12,2)</f>
        <v>0</v>
      </c>
      <c r="AZ67" s="55" t="n">
        <f aca="false">MIN($F$14,AX67+AY67)</f>
        <v>0</v>
      </c>
      <c r="BA67" s="55" t="n">
        <f aca="false">MAX(0,MIN(AX67+AY67-AZ67,$D67-(H67+M67+R67+W67+AB67+AG67+AL67+AQ67+AV67)))</f>
        <v>0</v>
      </c>
      <c r="BB67" s="55" t="n">
        <f aca="false">AZ67+BA67</f>
        <v>0</v>
      </c>
      <c r="BC67" s="55" t="n">
        <f aca="false">I67+N67+S67+X67+AC67+AH67+AM67+AR67+AW67+BB67</f>
        <v>0</v>
      </c>
      <c r="BD67" s="55" t="n">
        <f aca="false">ROUND((E67+F67-I67)+(J67+K67-N67)+(O67+P67-S67)+(T67+U67-X67)+(Y67+Z67-AC67)+(AD67+AE67-AH67)+(AI67+AJ67-AM67)+(AN67+AO67-AR67)+(AS67+AT67-AW67)+(AX67+AY67-BB67),2)</f>
        <v>0</v>
      </c>
      <c r="BE67" s="25" t="str">
        <f aca="false">IF(H67&gt;0.005,$C$5,IF(M67&gt;0.005,$C$6,IF(R67&gt;0.005,$C$7,IF(W67&gt;0.005,$C$8,IF(AB67&gt;0.005,$C$9,IF(AG67&gt;0.005,$C$10,IF(AL67&gt;0.005,$C$11,IF(AQ67&gt;0.005,$C$12,IF(AV67&gt;0.005,$C$13,IF(BA67&gt;0.005,$C$14,""))))))))))</f>
        <v/>
      </c>
    </row>
    <row r="68" customFormat="false" ht="15" hidden="false" customHeight="false" outlineLevel="0" collapsed="false">
      <c r="A68" s="24" t="n">
        <v>45</v>
      </c>
      <c r="B68" s="54" t="n">
        <f aca="false">EDATE($C$17,A68-1)</f>
        <v>47665</v>
      </c>
      <c r="C68" s="55" t="n">
        <f aca="false">G68+L68+Q68+V68+AA68+AF68+AK68+AP68+AU68+AZ68</f>
        <v>0</v>
      </c>
      <c r="D68" s="55" t="n">
        <f aca="false">MAX(0,$C$16-C68)</f>
        <v>5822</v>
      </c>
      <c r="E68" s="55" t="n">
        <f aca="false">ROUND(MAX(0,E67+F67-I67),2)</f>
        <v>0</v>
      </c>
      <c r="F68" s="55" t="n">
        <f aca="false">ROUND(E68*$E$5/12,2)</f>
        <v>0</v>
      </c>
      <c r="G68" s="55" t="n">
        <f aca="false">MIN($F$5,E68+F68)</f>
        <v>0</v>
      </c>
      <c r="H68" s="55" t="n">
        <f aca="false">MAX(0,MIN(E68+F68-G68,$D68))</f>
        <v>0</v>
      </c>
      <c r="I68" s="55" t="n">
        <f aca="false">G68+H68</f>
        <v>0</v>
      </c>
      <c r="J68" s="55" t="n">
        <f aca="false">ROUND(MAX(0,J67+K67-N67),2)</f>
        <v>0</v>
      </c>
      <c r="K68" s="55" t="n">
        <f aca="false">ROUND(J68*$E$6/12,2)</f>
        <v>0</v>
      </c>
      <c r="L68" s="55" t="n">
        <f aca="false">MIN($F$6,J68+K68)</f>
        <v>0</v>
      </c>
      <c r="M68" s="55" t="n">
        <f aca="false">MAX(0,MIN(J68+K68-L68,$D68-(H68)))</f>
        <v>0</v>
      </c>
      <c r="N68" s="55" t="n">
        <f aca="false">L68+M68</f>
        <v>0</v>
      </c>
      <c r="O68" s="55" t="n">
        <f aca="false">ROUND(MAX(0,O67+P67-S67),2)</f>
        <v>0</v>
      </c>
      <c r="P68" s="55" t="n">
        <f aca="false">ROUND(O68*$E$7/12,2)</f>
        <v>0</v>
      </c>
      <c r="Q68" s="55" t="n">
        <f aca="false">MIN($F$7,O68+P68)</f>
        <v>0</v>
      </c>
      <c r="R68" s="55" t="n">
        <f aca="false">MAX(0,MIN(O68+P68-Q68,$D68-(H68+M68)))</f>
        <v>0</v>
      </c>
      <c r="S68" s="55" t="n">
        <f aca="false">Q68+R68</f>
        <v>0</v>
      </c>
      <c r="T68" s="55" t="n">
        <f aca="false">ROUND(MAX(0,T67+U67-X67),2)</f>
        <v>0</v>
      </c>
      <c r="U68" s="55" t="n">
        <f aca="false">ROUND(T68*$E$8/12,2)</f>
        <v>0</v>
      </c>
      <c r="V68" s="55" t="n">
        <f aca="false">MIN($F$8,T68+U68)</f>
        <v>0</v>
      </c>
      <c r="W68" s="55" t="n">
        <f aca="false">MAX(0,MIN(T68+U68-V68,$D68-(H68+M68+R68)))</f>
        <v>0</v>
      </c>
      <c r="X68" s="55" t="n">
        <f aca="false">V68+W68</f>
        <v>0</v>
      </c>
      <c r="Y68" s="55" t="n">
        <f aca="false">ROUND(MAX(0,Y67+Z67-AC67),2)</f>
        <v>0</v>
      </c>
      <c r="Z68" s="55" t="n">
        <f aca="false">ROUND(Y68*$E$9/12,2)</f>
        <v>0</v>
      </c>
      <c r="AA68" s="55" t="n">
        <f aca="false">MIN($F$9,Y68+Z68)</f>
        <v>0</v>
      </c>
      <c r="AB68" s="55" t="n">
        <f aca="false">MAX(0,MIN(Y68+Z68-AA68,$D68-(H68+M68+R68+W68)))</f>
        <v>0</v>
      </c>
      <c r="AC68" s="55" t="n">
        <f aca="false">AA68+AB68</f>
        <v>0</v>
      </c>
      <c r="AD68" s="55" t="n">
        <f aca="false">ROUND(MAX(0,AD67+AE67-AH67),2)</f>
        <v>0</v>
      </c>
      <c r="AE68" s="55" t="n">
        <f aca="false">ROUND(AD68*$E$10/12,2)</f>
        <v>0</v>
      </c>
      <c r="AF68" s="55" t="n">
        <f aca="false">MIN($F$10,AD68+AE68)</f>
        <v>0</v>
      </c>
      <c r="AG68" s="55" t="n">
        <f aca="false">MAX(0,MIN(AD68+AE68-AF68,$D68-(H68+M68+R68+W68+AB68)))</f>
        <v>0</v>
      </c>
      <c r="AH68" s="55" t="n">
        <f aca="false">AF68+AG68</f>
        <v>0</v>
      </c>
      <c r="AI68" s="55" t="n">
        <f aca="false">ROUND(MAX(0,AI67+AJ67-AM67),2)</f>
        <v>0</v>
      </c>
      <c r="AJ68" s="55" t="n">
        <f aca="false">ROUND(AI68*$E$11/12,2)</f>
        <v>0</v>
      </c>
      <c r="AK68" s="55" t="n">
        <f aca="false">MIN($F$11,AI68+AJ68)</f>
        <v>0</v>
      </c>
      <c r="AL68" s="55" t="n">
        <f aca="false">MAX(0,MIN(AI68+AJ68-AK68,$D68-(H68+M68+R68+W68+AB68+AG68)))</f>
        <v>0</v>
      </c>
      <c r="AM68" s="55" t="n">
        <f aca="false">AK68+AL68</f>
        <v>0</v>
      </c>
      <c r="AN68" s="55" t="n">
        <f aca="false">ROUND(MAX(0,AN67+AO67-AR67),2)</f>
        <v>0</v>
      </c>
      <c r="AO68" s="55" t="n">
        <f aca="false">ROUND(AN68*$E$12/12,2)</f>
        <v>0</v>
      </c>
      <c r="AP68" s="55" t="n">
        <f aca="false">MIN($F$12,AN68+AO68)</f>
        <v>0</v>
      </c>
      <c r="AQ68" s="55" t="n">
        <f aca="false">MAX(0,MIN(AN68+AO68-AP68,$D68-(H68+M68+R68+W68+AB68+AG68+AL68)))</f>
        <v>0</v>
      </c>
      <c r="AR68" s="55" t="n">
        <f aca="false">AP68+AQ68</f>
        <v>0</v>
      </c>
      <c r="AS68" s="55" t="n">
        <f aca="false">ROUND(MAX(0,AS67+AT67-AW67),2)</f>
        <v>0</v>
      </c>
      <c r="AT68" s="55" t="n">
        <f aca="false">ROUND(AS68*$E$13/12,2)</f>
        <v>0</v>
      </c>
      <c r="AU68" s="55" t="n">
        <f aca="false">MIN($F$13,AS68+AT68)</f>
        <v>0</v>
      </c>
      <c r="AV68" s="55" t="n">
        <f aca="false">MAX(0,MIN(AS68+AT68-AU68,$D68-(H68+M68+R68+W68+AB68+AG68+AL68+AQ68)))</f>
        <v>0</v>
      </c>
      <c r="AW68" s="55" t="n">
        <f aca="false">AU68+AV68</f>
        <v>0</v>
      </c>
      <c r="AX68" s="55" t="n">
        <f aca="false">ROUND(MAX(0,AX67+AY67-BB67),2)</f>
        <v>0</v>
      </c>
      <c r="AY68" s="55" t="n">
        <f aca="false">ROUND(AX68*$E$14/12,2)</f>
        <v>0</v>
      </c>
      <c r="AZ68" s="55" t="n">
        <f aca="false">MIN($F$14,AX68+AY68)</f>
        <v>0</v>
      </c>
      <c r="BA68" s="55" t="n">
        <f aca="false">MAX(0,MIN(AX68+AY68-AZ68,$D68-(H68+M68+R68+W68+AB68+AG68+AL68+AQ68+AV68)))</f>
        <v>0</v>
      </c>
      <c r="BB68" s="55" t="n">
        <f aca="false">AZ68+BA68</f>
        <v>0</v>
      </c>
      <c r="BC68" s="55" t="n">
        <f aca="false">I68+N68+S68+X68+AC68+AH68+AM68+AR68+AW68+BB68</f>
        <v>0</v>
      </c>
      <c r="BD68" s="55" t="n">
        <f aca="false">ROUND((E68+F68-I68)+(J68+K68-N68)+(O68+P68-S68)+(T68+U68-X68)+(Y68+Z68-AC68)+(AD68+AE68-AH68)+(AI68+AJ68-AM68)+(AN68+AO68-AR68)+(AS68+AT68-AW68)+(AX68+AY68-BB68),2)</f>
        <v>0</v>
      </c>
      <c r="BE68" s="25" t="str">
        <f aca="false">IF(H68&gt;0.005,$C$5,IF(M68&gt;0.005,$C$6,IF(R68&gt;0.005,$C$7,IF(W68&gt;0.005,$C$8,IF(AB68&gt;0.005,$C$9,IF(AG68&gt;0.005,$C$10,IF(AL68&gt;0.005,$C$11,IF(AQ68&gt;0.005,$C$12,IF(AV68&gt;0.005,$C$13,IF(BA68&gt;0.005,$C$14,""))))))))))</f>
        <v/>
      </c>
    </row>
    <row r="69" customFormat="false" ht="15" hidden="false" customHeight="false" outlineLevel="0" collapsed="false">
      <c r="A69" s="24" t="n">
        <v>46</v>
      </c>
      <c r="B69" s="54" t="n">
        <f aca="false">EDATE($C$17,A69-1)</f>
        <v>47696</v>
      </c>
      <c r="C69" s="55" t="n">
        <f aca="false">G69+L69+Q69+V69+AA69+AF69+AK69+AP69+AU69+AZ69</f>
        <v>0</v>
      </c>
      <c r="D69" s="55" t="n">
        <f aca="false">MAX(0,$C$16-C69)</f>
        <v>5822</v>
      </c>
      <c r="E69" s="55" t="n">
        <f aca="false">ROUND(MAX(0,E68+F68-I68),2)</f>
        <v>0</v>
      </c>
      <c r="F69" s="55" t="n">
        <f aca="false">ROUND(E69*$E$5/12,2)</f>
        <v>0</v>
      </c>
      <c r="G69" s="55" t="n">
        <f aca="false">MIN($F$5,E69+F69)</f>
        <v>0</v>
      </c>
      <c r="H69" s="55" t="n">
        <f aca="false">MAX(0,MIN(E69+F69-G69,$D69))</f>
        <v>0</v>
      </c>
      <c r="I69" s="55" t="n">
        <f aca="false">G69+H69</f>
        <v>0</v>
      </c>
      <c r="J69" s="55" t="n">
        <f aca="false">ROUND(MAX(0,J68+K68-N68),2)</f>
        <v>0</v>
      </c>
      <c r="K69" s="55" t="n">
        <f aca="false">ROUND(J69*$E$6/12,2)</f>
        <v>0</v>
      </c>
      <c r="L69" s="55" t="n">
        <f aca="false">MIN($F$6,J69+K69)</f>
        <v>0</v>
      </c>
      <c r="M69" s="55" t="n">
        <f aca="false">MAX(0,MIN(J69+K69-L69,$D69-(H69)))</f>
        <v>0</v>
      </c>
      <c r="N69" s="55" t="n">
        <f aca="false">L69+M69</f>
        <v>0</v>
      </c>
      <c r="O69" s="55" t="n">
        <f aca="false">ROUND(MAX(0,O68+P68-S68),2)</f>
        <v>0</v>
      </c>
      <c r="P69" s="55" t="n">
        <f aca="false">ROUND(O69*$E$7/12,2)</f>
        <v>0</v>
      </c>
      <c r="Q69" s="55" t="n">
        <f aca="false">MIN($F$7,O69+P69)</f>
        <v>0</v>
      </c>
      <c r="R69" s="55" t="n">
        <f aca="false">MAX(0,MIN(O69+P69-Q69,$D69-(H69+M69)))</f>
        <v>0</v>
      </c>
      <c r="S69" s="55" t="n">
        <f aca="false">Q69+R69</f>
        <v>0</v>
      </c>
      <c r="T69" s="55" t="n">
        <f aca="false">ROUND(MAX(0,T68+U68-X68),2)</f>
        <v>0</v>
      </c>
      <c r="U69" s="55" t="n">
        <f aca="false">ROUND(T69*$E$8/12,2)</f>
        <v>0</v>
      </c>
      <c r="V69" s="55" t="n">
        <f aca="false">MIN($F$8,T69+U69)</f>
        <v>0</v>
      </c>
      <c r="W69" s="55" t="n">
        <f aca="false">MAX(0,MIN(T69+U69-V69,$D69-(H69+M69+R69)))</f>
        <v>0</v>
      </c>
      <c r="X69" s="55" t="n">
        <f aca="false">V69+W69</f>
        <v>0</v>
      </c>
      <c r="Y69" s="55" t="n">
        <f aca="false">ROUND(MAX(0,Y68+Z68-AC68),2)</f>
        <v>0</v>
      </c>
      <c r="Z69" s="55" t="n">
        <f aca="false">ROUND(Y69*$E$9/12,2)</f>
        <v>0</v>
      </c>
      <c r="AA69" s="55" t="n">
        <f aca="false">MIN($F$9,Y69+Z69)</f>
        <v>0</v>
      </c>
      <c r="AB69" s="55" t="n">
        <f aca="false">MAX(0,MIN(Y69+Z69-AA69,$D69-(H69+M69+R69+W69)))</f>
        <v>0</v>
      </c>
      <c r="AC69" s="55" t="n">
        <f aca="false">AA69+AB69</f>
        <v>0</v>
      </c>
      <c r="AD69" s="55" t="n">
        <f aca="false">ROUND(MAX(0,AD68+AE68-AH68),2)</f>
        <v>0</v>
      </c>
      <c r="AE69" s="55" t="n">
        <f aca="false">ROUND(AD69*$E$10/12,2)</f>
        <v>0</v>
      </c>
      <c r="AF69" s="55" t="n">
        <f aca="false">MIN($F$10,AD69+AE69)</f>
        <v>0</v>
      </c>
      <c r="AG69" s="55" t="n">
        <f aca="false">MAX(0,MIN(AD69+AE69-AF69,$D69-(H69+M69+R69+W69+AB69)))</f>
        <v>0</v>
      </c>
      <c r="AH69" s="55" t="n">
        <f aca="false">AF69+AG69</f>
        <v>0</v>
      </c>
      <c r="AI69" s="55" t="n">
        <f aca="false">ROUND(MAX(0,AI68+AJ68-AM68),2)</f>
        <v>0</v>
      </c>
      <c r="AJ69" s="55" t="n">
        <f aca="false">ROUND(AI69*$E$11/12,2)</f>
        <v>0</v>
      </c>
      <c r="AK69" s="55" t="n">
        <f aca="false">MIN($F$11,AI69+AJ69)</f>
        <v>0</v>
      </c>
      <c r="AL69" s="55" t="n">
        <f aca="false">MAX(0,MIN(AI69+AJ69-AK69,$D69-(H69+M69+R69+W69+AB69+AG69)))</f>
        <v>0</v>
      </c>
      <c r="AM69" s="55" t="n">
        <f aca="false">AK69+AL69</f>
        <v>0</v>
      </c>
      <c r="AN69" s="55" t="n">
        <f aca="false">ROUND(MAX(0,AN68+AO68-AR68),2)</f>
        <v>0</v>
      </c>
      <c r="AO69" s="55" t="n">
        <f aca="false">ROUND(AN69*$E$12/12,2)</f>
        <v>0</v>
      </c>
      <c r="AP69" s="55" t="n">
        <f aca="false">MIN($F$12,AN69+AO69)</f>
        <v>0</v>
      </c>
      <c r="AQ69" s="55" t="n">
        <f aca="false">MAX(0,MIN(AN69+AO69-AP69,$D69-(H69+M69+R69+W69+AB69+AG69+AL69)))</f>
        <v>0</v>
      </c>
      <c r="AR69" s="55" t="n">
        <f aca="false">AP69+AQ69</f>
        <v>0</v>
      </c>
      <c r="AS69" s="55" t="n">
        <f aca="false">ROUND(MAX(0,AS68+AT68-AW68),2)</f>
        <v>0</v>
      </c>
      <c r="AT69" s="55" t="n">
        <f aca="false">ROUND(AS69*$E$13/12,2)</f>
        <v>0</v>
      </c>
      <c r="AU69" s="55" t="n">
        <f aca="false">MIN($F$13,AS69+AT69)</f>
        <v>0</v>
      </c>
      <c r="AV69" s="55" t="n">
        <f aca="false">MAX(0,MIN(AS69+AT69-AU69,$D69-(H69+M69+R69+W69+AB69+AG69+AL69+AQ69)))</f>
        <v>0</v>
      </c>
      <c r="AW69" s="55" t="n">
        <f aca="false">AU69+AV69</f>
        <v>0</v>
      </c>
      <c r="AX69" s="55" t="n">
        <f aca="false">ROUND(MAX(0,AX68+AY68-BB68),2)</f>
        <v>0</v>
      </c>
      <c r="AY69" s="55" t="n">
        <f aca="false">ROUND(AX69*$E$14/12,2)</f>
        <v>0</v>
      </c>
      <c r="AZ69" s="55" t="n">
        <f aca="false">MIN($F$14,AX69+AY69)</f>
        <v>0</v>
      </c>
      <c r="BA69" s="55" t="n">
        <f aca="false">MAX(0,MIN(AX69+AY69-AZ69,$D69-(H69+M69+R69+W69+AB69+AG69+AL69+AQ69+AV69)))</f>
        <v>0</v>
      </c>
      <c r="BB69" s="55" t="n">
        <f aca="false">AZ69+BA69</f>
        <v>0</v>
      </c>
      <c r="BC69" s="55" t="n">
        <f aca="false">I69+N69+S69+X69+AC69+AH69+AM69+AR69+AW69+BB69</f>
        <v>0</v>
      </c>
      <c r="BD69" s="55" t="n">
        <f aca="false">ROUND((E69+F69-I69)+(J69+K69-N69)+(O69+P69-S69)+(T69+U69-X69)+(Y69+Z69-AC69)+(AD69+AE69-AH69)+(AI69+AJ69-AM69)+(AN69+AO69-AR69)+(AS69+AT69-AW69)+(AX69+AY69-BB69),2)</f>
        <v>0</v>
      </c>
      <c r="BE69" s="25" t="str">
        <f aca="false">IF(H69&gt;0.005,$C$5,IF(M69&gt;0.005,$C$6,IF(R69&gt;0.005,$C$7,IF(W69&gt;0.005,$C$8,IF(AB69&gt;0.005,$C$9,IF(AG69&gt;0.005,$C$10,IF(AL69&gt;0.005,$C$11,IF(AQ69&gt;0.005,$C$12,IF(AV69&gt;0.005,$C$13,IF(BA69&gt;0.005,$C$14,""))))))))))</f>
        <v/>
      </c>
    </row>
    <row r="70" customFormat="false" ht="15" hidden="false" customHeight="false" outlineLevel="0" collapsed="false">
      <c r="A70" s="24" t="n">
        <v>47</v>
      </c>
      <c r="B70" s="54" t="n">
        <f aca="false">EDATE($C$17,A70-1)</f>
        <v>47727</v>
      </c>
      <c r="C70" s="55" t="n">
        <f aca="false">G70+L70+Q70+V70+AA70+AF70+AK70+AP70+AU70+AZ70</f>
        <v>0</v>
      </c>
      <c r="D70" s="55" t="n">
        <f aca="false">MAX(0,$C$16-C70)</f>
        <v>5822</v>
      </c>
      <c r="E70" s="55" t="n">
        <f aca="false">ROUND(MAX(0,E69+F69-I69),2)</f>
        <v>0</v>
      </c>
      <c r="F70" s="55" t="n">
        <f aca="false">ROUND(E70*$E$5/12,2)</f>
        <v>0</v>
      </c>
      <c r="G70" s="55" t="n">
        <f aca="false">MIN($F$5,E70+F70)</f>
        <v>0</v>
      </c>
      <c r="H70" s="55" t="n">
        <f aca="false">MAX(0,MIN(E70+F70-G70,$D70))</f>
        <v>0</v>
      </c>
      <c r="I70" s="55" t="n">
        <f aca="false">G70+H70</f>
        <v>0</v>
      </c>
      <c r="J70" s="55" t="n">
        <f aca="false">ROUND(MAX(0,J69+K69-N69),2)</f>
        <v>0</v>
      </c>
      <c r="K70" s="55" t="n">
        <f aca="false">ROUND(J70*$E$6/12,2)</f>
        <v>0</v>
      </c>
      <c r="L70" s="55" t="n">
        <f aca="false">MIN($F$6,J70+K70)</f>
        <v>0</v>
      </c>
      <c r="M70" s="55" t="n">
        <f aca="false">MAX(0,MIN(J70+K70-L70,$D70-(H70)))</f>
        <v>0</v>
      </c>
      <c r="N70" s="55" t="n">
        <f aca="false">L70+M70</f>
        <v>0</v>
      </c>
      <c r="O70" s="55" t="n">
        <f aca="false">ROUND(MAX(0,O69+P69-S69),2)</f>
        <v>0</v>
      </c>
      <c r="P70" s="55" t="n">
        <f aca="false">ROUND(O70*$E$7/12,2)</f>
        <v>0</v>
      </c>
      <c r="Q70" s="55" t="n">
        <f aca="false">MIN($F$7,O70+P70)</f>
        <v>0</v>
      </c>
      <c r="R70" s="55" t="n">
        <f aca="false">MAX(0,MIN(O70+P70-Q70,$D70-(H70+M70)))</f>
        <v>0</v>
      </c>
      <c r="S70" s="55" t="n">
        <f aca="false">Q70+R70</f>
        <v>0</v>
      </c>
      <c r="T70" s="55" t="n">
        <f aca="false">ROUND(MAX(0,T69+U69-X69),2)</f>
        <v>0</v>
      </c>
      <c r="U70" s="55" t="n">
        <f aca="false">ROUND(T70*$E$8/12,2)</f>
        <v>0</v>
      </c>
      <c r="V70" s="55" t="n">
        <f aca="false">MIN($F$8,T70+U70)</f>
        <v>0</v>
      </c>
      <c r="W70" s="55" t="n">
        <f aca="false">MAX(0,MIN(T70+U70-V70,$D70-(H70+M70+R70)))</f>
        <v>0</v>
      </c>
      <c r="X70" s="55" t="n">
        <f aca="false">V70+W70</f>
        <v>0</v>
      </c>
      <c r="Y70" s="55" t="n">
        <f aca="false">ROUND(MAX(0,Y69+Z69-AC69),2)</f>
        <v>0</v>
      </c>
      <c r="Z70" s="55" t="n">
        <f aca="false">ROUND(Y70*$E$9/12,2)</f>
        <v>0</v>
      </c>
      <c r="AA70" s="55" t="n">
        <f aca="false">MIN($F$9,Y70+Z70)</f>
        <v>0</v>
      </c>
      <c r="AB70" s="55" t="n">
        <f aca="false">MAX(0,MIN(Y70+Z70-AA70,$D70-(H70+M70+R70+W70)))</f>
        <v>0</v>
      </c>
      <c r="AC70" s="55" t="n">
        <f aca="false">AA70+AB70</f>
        <v>0</v>
      </c>
      <c r="AD70" s="55" t="n">
        <f aca="false">ROUND(MAX(0,AD69+AE69-AH69),2)</f>
        <v>0</v>
      </c>
      <c r="AE70" s="55" t="n">
        <f aca="false">ROUND(AD70*$E$10/12,2)</f>
        <v>0</v>
      </c>
      <c r="AF70" s="55" t="n">
        <f aca="false">MIN($F$10,AD70+AE70)</f>
        <v>0</v>
      </c>
      <c r="AG70" s="55" t="n">
        <f aca="false">MAX(0,MIN(AD70+AE70-AF70,$D70-(H70+M70+R70+W70+AB70)))</f>
        <v>0</v>
      </c>
      <c r="AH70" s="55" t="n">
        <f aca="false">AF70+AG70</f>
        <v>0</v>
      </c>
      <c r="AI70" s="55" t="n">
        <f aca="false">ROUND(MAX(0,AI69+AJ69-AM69),2)</f>
        <v>0</v>
      </c>
      <c r="AJ70" s="55" t="n">
        <f aca="false">ROUND(AI70*$E$11/12,2)</f>
        <v>0</v>
      </c>
      <c r="AK70" s="55" t="n">
        <f aca="false">MIN($F$11,AI70+AJ70)</f>
        <v>0</v>
      </c>
      <c r="AL70" s="55" t="n">
        <f aca="false">MAX(0,MIN(AI70+AJ70-AK70,$D70-(H70+M70+R70+W70+AB70+AG70)))</f>
        <v>0</v>
      </c>
      <c r="AM70" s="55" t="n">
        <f aca="false">AK70+AL70</f>
        <v>0</v>
      </c>
      <c r="AN70" s="55" t="n">
        <f aca="false">ROUND(MAX(0,AN69+AO69-AR69),2)</f>
        <v>0</v>
      </c>
      <c r="AO70" s="55" t="n">
        <f aca="false">ROUND(AN70*$E$12/12,2)</f>
        <v>0</v>
      </c>
      <c r="AP70" s="55" t="n">
        <f aca="false">MIN($F$12,AN70+AO70)</f>
        <v>0</v>
      </c>
      <c r="AQ70" s="55" t="n">
        <f aca="false">MAX(0,MIN(AN70+AO70-AP70,$D70-(H70+M70+R70+W70+AB70+AG70+AL70)))</f>
        <v>0</v>
      </c>
      <c r="AR70" s="55" t="n">
        <f aca="false">AP70+AQ70</f>
        <v>0</v>
      </c>
      <c r="AS70" s="55" t="n">
        <f aca="false">ROUND(MAX(0,AS69+AT69-AW69),2)</f>
        <v>0</v>
      </c>
      <c r="AT70" s="55" t="n">
        <f aca="false">ROUND(AS70*$E$13/12,2)</f>
        <v>0</v>
      </c>
      <c r="AU70" s="55" t="n">
        <f aca="false">MIN($F$13,AS70+AT70)</f>
        <v>0</v>
      </c>
      <c r="AV70" s="55" t="n">
        <f aca="false">MAX(0,MIN(AS70+AT70-AU70,$D70-(H70+M70+R70+W70+AB70+AG70+AL70+AQ70)))</f>
        <v>0</v>
      </c>
      <c r="AW70" s="55" t="n">
        <f aca="false">AU70+AV70</f>
        <v>0</v>
      </c>
      <c r="AX70" s="55" t="n">
        <f aca="false">ROUND(MAX(0,AX69+AY69-BB69),2)</f>
        <v>0</v>
      </c>
      <c r="AY70" s="55" t="n">
        <f aca="false">ROUND(AX70*$E$14/12,2)</f>
        <v>0</v>
      </c>
      <c r="AZ70" s="55" t="n">
        <f aca="false">MIN($F$14,AX70+AY70)</f>
        <v>0</v>
      </c>
      <c r="BA70" s="55" t="n">
        <f aca="false">MAX(0,MIN(AX70+AY70-AZ70,$D70-(H70+M70+R70+W70+AB70+AG70+AL70+AQ70+AV70)))</f>
        <v>0</v>
      </c>
      <c r="BB70" s="55" t="n">
        <f aca="false">AZ70+BA70</f>
        <v>0</v>
      </c>
      <c r="BC70" s="55" t="n">
        <f aca="false">I70+N70+S70+X70+AC70+AH70+AM70+AR70+AW70+BB70</f>
        <v>0</v>
      </c>
      <c r="BD70" s="55" t="n">
        <f aca="false">ROUND((E70+F70-I70)+(J70+K70-N70)+(O70+P70-S70)+(T70+U70-X70)+(Y70+Z70-AC70)+(AD70+AE70-AH70)+(AI70+AJ70-AM70)+(AN70+AO70-AR70)+(AS70+AT70-AW70)+(AX70+AY70-BB70),2)</f>
        <v>0</v>
      </c>
      <c r="BE70" s="25" t="str">
        <f aca="false">IF(H70&gt;0.005,$C$5,IF(M70&gt;0.005,$C$6,IF(R70&gt;0.005,$C$7,IF(W70&gt;0.005,$C$8,IF(AB70&gt;0.005,$C$9,IF(AG70&gt;0.005,$C$10,IF(AL70&gt;0.005,$C$11,IF(AQ70&gt;0.005,$C$12,IF(AV70&gt;0.005,$C$13,IF(BA70&gt;0.005,$C$14,""))))))))))</f>
        <v/>
      </c>
    </row>
    <row r="71" customFormat="false" ht="15" hidden="false" customHeight="false" outlineLevel="0" collapsed="false">
      <c r="A71" s="24" t="n">
        <v>48</v>
      </c>
      <c r="B71" s="54" t="n">
        <f aca="false">EDATE($C$17,A71-1)</f>
        <v>47757</v>
      </c>
      <c r="C71" s="55" t="n">
        <f aca="false">G71+L71+Q71+V71+AA71+AF71+AK71+AP71+AU71+AZ71</f>
        <v>0</v>
      </c>
      <c r="D71" s="55" t="n">
        <f aca="false">MAX(0,$C$16-C71)</f>
        <v>5822</v>
      </c>
      <c r="E71" s="55" t="n">
        <f aca="false">ROUND(MAX(0,E70+F70-I70),2)</f>
        <v>0</v>
      </c>
      <c r="F71" s="55" t="n">
        <f aca="false">ROUND(E71*$E$5/12,2)</f>
        <v>0</v>
      </c>
      <c r="G71" s="55" t="n">
        <f aca="false">MIN($F$5,E71+F71)</f>
        <v>0</v>
      </c>
      <c r="H71" s="55" t="n">
        <f aca="false">MAX(0,MIN(E71+F71-G71,$D71))</f>
        <v>0</v>
      </c>
      <c r="I71" s="55" t="n">
        <f aca="false">G71+H71</f>
        <v>0</v>
      </c>
      <c r="J71" s="55" t="n">
        <f aca="false">ROUND(MAX(0,J70+K70-N70),2)</f>
        <v>0</v>
      </c>
      <c r="K71" s="55" t="n">
        <f aca="false">ROUND(J71*$E$6/12,2)</f>
        <v>0</v>
      </c>
      <c r="L71" s="55" t="n">
        <f aca="false">MIN($F$6,J71+K71)</f>
        <v>0</v>
      </c>
      <c r="M71" s="55" t="n">
        <f aca="false">MAX(0,MIN(J71+K71-L71,$D71-(H71)))</f>
        <v>0</v>
      </c>
      <c r="N71" s="55" t="n">
        <f aca="false">L71+M71</f>
        <v>0</v>
      </c>
      <c r="O71" s="55" t="n">
        <f aca="false">ROUND(MAX(0,O70+P70-S70),2)</f>
        <v>0</v>
      </c>
      <c r="P71" s="55" t="n">
        <f aca="false">ROUND(O71*$E$7/12,2)</f>
        <v>0</v>
      </c>
      <c r="Q71" s="55" t="n">
        <f aca="false">MIN($F$7,O71+P71)</f>
        <v>0</v>
      </c>
      <c r="R71" s="55" t="n">
        <f aca="false">MAX(0,MIN(O71+P71-Q71,$D71-(H71+M71)))</f>
        <v>0</v>
      </c>
      <c r="S71" s="55" t="n">
        <f aca="false">Q71+R71</f>
        <v>0</v>
      </c>
      <c r="T71" s="55" t="n">
        <f aca="false">ROUND(MAX(0,T70+U70-X70),2)</f>
        <v>0</v>
      </c>
      <c r="U71" s="55" t="n">
        <f aca="false">ROUND(T71*$E$8/12,2)</f>
        <v>0</v>
      </c>
      <c r="V71" s="55" t="n">
        <f aca="false">MIN($F$8,T71+U71)</f>
        <v>0</v>
      </c>
      <c r="W71" s="55" t="n">
        <f aca="false">MAX(0,MIN(T71+U71-V71,$D71-(H71+M71+R71)))</f>
        <v>0</v>
      </c>
      <c r="X71" s="55" t="n">
        <f aca="false">V71+W71</f>
        <v>0</v>
      </c>
      <c r="Y71" s="55" t="n">
        <f aca="false">ROUND(MAX(0,Y70+Z70-AC70),2)</f>
        <v>0</v>
      </c>
      <c r="Z71" s="55" t="n">
        <f aca="false">ROUND(Y71*$E$9/12,2)</f>
        <v>0</v>
      </c>
      <c r="AA71" s="55" t="n">
        <f aca="false">MIN($F$9,Y71+Z71)</f>
        <v>0</v>
      </c>
      <c r="AB71" s="55" t="n">
        <f aca="false">MAX(0,MIN(Y71+Z71-AA71,$D71-(H71+M71+R71+W71)))</f>
        <v>0</v>
      </c>
      <c r="AC71" s="55" t="n">
        <f aca="false">AA71+AB71</f>
        <v>0</v>
      </c>
      <c r="AD71" s="55" t="n">
        <f aca="false">ROUND(MAX(0,AD70+AE70-AH70),2)</f>
        <v>0</v>
      </c>
      <c r="AE71" s="55" t="n">
        <f aca="false">ROUND(AD71*$E$10/12,2)</f>
        <v>0</v>
      </c>
      <c r="AF71" s="55" t="n">
        <f aca="false">MIN($F$10,AD71+AE71)</f>
        <v>0</v>
      </c>
      <c r="AG71" s="55" t="n">
        <f aca="false">MAX(0,MIN(AD71+AE71-AF71,$D71-(H71+M71+R71+W71+AB71)))</f>
        <v>0</v>
      </c>
      <c r="AH71" s="55" t="n">
        <f aca="false">AF71+AG71</f>
        <v>0</v>
      </c>
      <c r="AI71" s="55" t="n">
        <f aca="false">ROUND(MAX(0,AI70+AJ70-AM70),2)</f>
        <v>0</v>
      </c>
      <c r="AJ71" s="55" t="n">
        <f aca="false">ROUND(AI71*$E$11/12,2)</f>
        <v>0</v>
      </c>
      <c r="AK71" s="55" t="n">
        <f aca="false">MIN($F$11,AI71+AJ71)</f>
        <v>0</v>
      </c>
      <c r="AL71" s="55" t="n">
        <f aca="false">MAX(0,MIN(AI71+AJ71-AK71,$D71-(H71+M71+R71+W71+AB71+AG71)))</f>
        <v>0</v>
      </c>
      <c r="AM71" s="55" t="n">
        <f aca="false">AK71+AL71</f>
        <v>0</v>
      </c>
      <c r="AN71" s="55" t="n">
        <f aca="false">ROUND(MAX(0,AN70+AO70-AR70),2)</f>
        <v>0</v>
      </c>
      <c r="AO71" s="55" t="n">
        <f aca="false">ROUND(AN71*$E$12/12,2)</f>
        <v>0</v>
      </c>
      <c r="AP71" s="55" t="n">
        <f aca="false">MIN($F$12,AN71+AO71)</f>
        <v>0</v>
      </c>
      <c r="AQ71" s="55" t="n">
        <f aca="false">MAX(0,MIN(AN71+AO71-AP71,$D71-(H71+M71+R71+W71+AB71+AG71+AL71)))</f>
        <v>0</v>
      </c>
      <c r="AR71" s="55" t="n">
        <f aca="false">AP71+AQ71</f>
        <v>0</v>
      </c>
      <c r="AS71" s="55" t="n">
        <f aca="false">ROUND(MAX(0,AS70+AT70-AW70),2)</f>
        <v>0</v>
      </c>
      <c r="AT71" s="55" t="n">
        <f aca="false">ROUND(AS71*$E$13/12,2)</f>
        <v>0</v>
      </c>
      <c r="AU71" s="55" t="n">
        <f aca="false">MIN($F$13,AS71+AT71)</f>
        <v>0</v>
      </c>
      <c r="AV71" s="55" t="n">
        <f aca="false">MAX(0,MIN(AS71+AT71-AU71,$D71-(H71+M71+R71+W71+AB71+AG71+AL71+AQ71)))</f>
        <v>0</v>
      </c>
      <c r="AW71" s="55" t="n">
        <f aca="false">AU71+AV71</f>
        <v>0</v>
      </c>
      <c r="AX71" s="55" t="n">
        <f aca="false">ROUND(MAX(0,AX70+AY70-BB70),2)</f>
        <v>0</v>
      </c>
      <c r="AY71" s="55" t="n">
        <f aca="false">ROUND(AX71*$E$14/12,2)</f>
        <v>0</v>
      </c>
      <c r="AZ71" s="55" t="n">
        <f aca="false">MIN($F$14,AX71+AY71)</f>
        <v>0</v>
      </c>
      <c r="BA71" s="55" t="n">
        <f aca="false">MAX(0,MIN(AX71+AY71-AZ71,$D71-(H71+M71+R71+W71+AB71+AG71+AL71+AQ71+AV71)))</f>
        <v>0</v>
      </c>
      <c r="BB71" s="55" t="n">
        <f aca="false">AZ71+BA71</f>
        <v>0</v>
      </c>
      <c r="BC71" s="55" t="n">
        <f aca="false">I71+N71+S71+X71+AC71+AH71+AM71+AR71+AW71+BB71</f>
        <v>0</v>
      </c>
      <c r="BD71" s="55" t="n">
        <f aca="false">ROUND((E71+F71-I71)+(J71+K71-N71)+(O71+P71-S71)+(T71+U71-X71)+(Y71+Z71-AC71)+(AD71+AE71-AH71)+(AI71+AJ71-AM71)+(AN71+AO71-AR71)+(AS71+AT71-AW71)+(AX71+AY71-BB71),2)</f>
        <v>0</v>
      </c>
      <c r="BE71" s="25" t="str">
        <f aca="false">IF(H71&gt;0.005,$C$5,IF(M71&gt;0.005,$C$6,IF(R71&gt;0.005,$C$7,IF(W71&gt;0.005,$C$8,IF(AB71&gt;0.005,$C$9,IF(AG71&gt;0.005,$C$10,IF(AL71&gt;0.005,$C$11,IF(AQ71&gt;0.005,$C$12,IF(AV71&gt;0.005,$C$13,IF(BA71&gt;0.005,$C$14,""))))))))))</f>
        <v/>
      </c>
    </row>
    <row r="72" customFormat="false" ht="15" hidden="false" customHeight="false" outlineLevel="0" collapsed="false">
      <c r="A72" s="24" t="n">
        <v>49</v>
      </c>
      <c r="B72" s="54" t="n">
        <f aca="false">EDATE($C$17,A72-1)</f>
        <v>47788</v>
      </c>
      <c r="C72" s="55" t="n">
        <f aca="false">G72+L72+Q72+V72+AA72+AF72+AK72+AP72+AU72+AZ72</f>
        <v>0</v>
      </c>
      <c r="D72" s="55" t="n">
        <f aca="false">MAX(0,$C$16-C72)</f>
        <v>5822</v>
      </c>
      <c r="E72" s="55" t="n">
        <f aca="false">ROUND(MAX(0,E71+F71-I71),2)</f>
        <v>0</v>
      </c>
      <c r="F72" s="55" t="n">
        <f aca="false">ROUND(E72*$E$5/12,2)</f>
        <v>0</v>
      </c>
      <c r="G72" s="55" t="n">
        <f aca="false">MIN($F$5,E72+F72)</f>
        <v>0</v>
      </c>
      <c r="H72" s="55" t="n">
        <f aca="false">MAX(0,MIN(E72+F72-G72,$D72))</f>
        <v>0</v>
      </c>
      <c r="I72" s="55" t="n">
        <f aca="false">G72+H72</f>
        <v>0</v>
      </c>
      <c r="J72" s="55" t="n">
        <f aca="false">ROUND(MAX(0,J71+K71-N71),2)</f>
        <v>0</v>
      </c>
      <c r="K72" s="55" t="n">
        <f aca="false">ROUND(J72*$E$6/12,2)</f>
        <v>0</v>
      </c>
      <c r="L72" s="55" t="n">
        <f aca="false">MIN($F$6,J72+K72)</f>
        <v>0</v>
      </c>
      <c r="M72" s="55" t="n">
        <f aca="false">MAX(0,MIN(J72+K72-L72,$D72-(H72)))</f>
        <v>0</v>
      </c>
      <c r="N72" s="55" t="n">
        <f aca="false">L72+M72</f>
        <v>0</v>
      </c>
      <c r="O72" s="55" t="n">
        <f aca="false">ROUND(MAX(0,O71+P71-S71),2)</f>
        <v>0</v>
      </c>
      <c r="P72" s="55" t="n">
        <f aca="false">ROUND(O72*$E$7/12,2)</f>
        <v>0</v>
      </c>
      <c r="Q72" s="55" t="n">
        <f aca="false">MIN($F$7,O72+P72)</f>
        <v>0</v>
      </c>
      <c r="R72" s="55" t="n">
        <f aca="false">MAX(0,MIN(O72+P72-Q72,$D72-(H72+M72)))</f>
        <v>0</v>
      </c>
      <c r="S72" s="55" t="n">
        <f aca="false">Q72+R72</f>
        <v>0</v>
      </c>
      <c r="T72" s="55" t="n">
        <f aca="false">ROUND(MAX(0,T71+U71-X71),2)</f>
        <v>0</v>
      </c>
      <c r="U72" s="55" t="n">
        <f aca="false">ROUND(T72*$E$8/12,2)</f>
        <v>0</v>
      </c>
      <c r="V72" s="55" t="n">
        <f aca="false">MIN($F$8,T72+U72)</f>
        <v>0</v>
      </c>
      <c r="W72" s="55" t="n">
        <f aca="false">MAX(0,MIN(T72+U72-V72,$D72-(H72+M72+R72)))</f>
        <v>0</v>
      </c>
      <c r="X72" s="55" t="n">
        <f aca="false">V72+W72</f>
        <v>0</v>
      </c>
      <c r="Y72" s="55" t="n">
        <f aca="false">ROUND(MAX(0,Y71+Z71-AC71),2)</f>
        <v>0</v>
      </c>
      <c r="Z72" s="55" t="n">
        <f aca="false">ROUND(Y72*$E$9/12,2)</f>
        <v>0</v>
      </c>
      <c r="AA72" s="55" t="n">
        <f aca="false">MIN($F$9,Y72+Z72)</f>
        <v>0</v>
      </c>
      <c r="AB72" s="55" t="n">
        <f aca="false">MAX(0,MIN(Y72+Z72-AA72,$D72-(H72+M72+R72+W72)))</f>
        <v>0</v>
      </c>
      <c r="AC72" s="55" t="n">
        <f aca="false">AA72+AB72</f>
        <v>0</v>
      </c>
      <c r="AD72" s="55" t="n">
        <f aca="false">ROUND(MAX(0,AD71+AE71-AH71),2)</f>
        <v>0</v>
      </c>
      <c r="AE72" s="55" t="n">
        <f aca="false">ROUND(AD72*$E$10/12,2)</f>
        <v>0</v>
      </c>
      <c r="AF72" s="55" t="n">
        <f aca="false">MIN($F$10,AD72+AE72)</f>
        <v>0</v>
      </c>
      <c r="AG72" s="55" t="n">
        <f aca="false">MAX(0,MIN(AD72+AE72-AF72,$D72-(H72+M72+R72+W72+AB72)))</f>
        <v>0</v>
      </c>
      <c r="AH72" s="55" t="n">
        <f aca="false">AF72+AG72</f>
        <v>0</v>
      </c>
      <c r="AI72" s="55" t="n">
        <f aca="false">ROUND(MAX(0,AI71+AJ71-AM71),2)</f>
        <v>0</v>
      </c>
      <c r="AJ72" s="55" t="n">
        <f aca="false">ROUND(AI72*$E$11/12,2)</f>
        <v>0</v>
      </c>
      <c r="AK72" s="55" t="n">
        <f aca="false">MIN($F$11,AI72+AJ72)</f>
        <v>0</v>
      </c>
      <c r="AL72" s="55" t="n">
        <f aca="false">MAX(0,MIN(AI72+AJ72-AK72,$D72-(H72+M72+R72+W72+AB72+AG72)))</f>
        <v>0</v>
      </c>
      <c r="AM72" s="55" t="n">
        <f aca="false">AK72+AL72</f>
        <v>0</v>
      </c>
      <c r="AN72" s="55" t="n">
        <f aca="false">ROUND(MAX(0,AN71+AO71-AR71),2)</f>
        <v>0</v>
      </c>
      <c r="AO72" s="55" t="n">
        <f aca="false">ROUND(AN72*$E$12/12,2)</f>
        <v>0</v>
      </c>
      <c r="AP72" s="55" t="n">
        <f aca="false">MIN($F$12,AN72+AO72)</f>
        <v>0</v>
      </c>
      <c r="AQ72" s="55" t="n">
        <f aca="false">MAX(0,MIN(AN72+AO72-AP72,$D72-(H72+M72+R72+W72+AB72+AG72+AL72)))</f>
        <v>0</v>
      </c>
      <c r="AR72" s="55" t="n">
        <f aca="false">AP72+AQ72</f>
        <v>0</v>
      </c>
      <c r="AS72" s="55" t="n">
        <f aca="false">ROUND(MAX(0,AS71+AT71-AW71),2)</f>
        <v>0</v>
      </c>
      <c r="AT72" s="55" t="n">
        <f aca="false">ROUND(AS72*$E$13/12,2)</f>
        <v>0</v>
      </c>
      <c r="AU72" s="55" t="n">
        <f aca="false">MIN($F$13,AS72+AT72)</f>
        <v>0</v>
      </c>
      <c r="AV72" s="55" t="n">
        <f aca="false">MAX(0,MIN(AS72+AT72-AU72,$D72-(H72+M72+R72+W72+AB72+AG72+AL72+AQ72)))</f>
        <v>0</v>
      </c>
      <c r="AW72" s="55" t="n">
        <f aca="false">AU72+AV72</f>
        <v>0</v>
      </c>
      <c r="AX72" s="55" t="n">
        <f aca="false">ROUND(MAX(0,AX71+AY71-BB71),2)</f>
        <v>0</v>
      </c>
      <c r="AY72" s="55" t="n">
        <f aca="false">ROUND(AX72*$E$14/12,2)</f>
        <v>0</v>
      </c>
      <c r="AZ72" s="55" t="n">
        <f aca="false">MIN($F$14,AX72+AY72)</f>
        <v>0</v>
      </c>
      <c r="BA72" s="55" t="n">
        <f aca="false">MAX(0,MIN(AX72+AY72-AZ72,$D72-(H72+M72+R72+W72+AB72+AG72+AL72+AQ72+AV72)))</f>
        <v>0</v>
      </c>
      <c r="BB72" s="55" t="n">
        <f aca="false">AZ72+BA72</f>
        <v>0</v>
      </c>
      <c r="BC72" s="55" t="n">
        <f aca="false">I72+N72+S72+X72+AC72+AH72+AM72+AR72+AW72+BB72</f>
        <v>0</v>
      </c>
      <c r="BD72" s="55" t="n">
        <f aca="false">ROUND((E72+F72-I72)+(J72+K72-N72)+(O72+P72-S72)+(T72+U72-X72)+(Y72+Z72-AC72)+(AD72+AE72-AH72)+(AI72+AJ72-AM72)+(AN72+AO72-AR72)+(AS72+AT72-AW72)+(AX72+AY72-BB72),2)</f>
        <v>0</v>
      </c>
      <c r="BE72" s="25" t="str">
        <f aca="false">IF(H72&gt;0.005,$C$5,IF(M72&gt;0.005,$C$6,IF(R72&gt;0.005,$C$7,IF(W72&gt;0.005,$C$8,IF(AB72&gt;0.005,$C$9,IF(AG72&gt;0.005,$C$10,IF(AL72&gt;0.005,$C$11,IF(AQ72&gt;0.005,$C$12,IF(AV72&gt;0.005,$C$13,IF(BA72&gt;0.005,$C$14,""))))))))))</f>
        <v/>
      </c>
    </row>
    <row r="73" customFormat="false" ht="15" hidden="false" customHeight="false" outlineLevel="0" collapsed="false">
      <c r="A73" s="24" t="n">
        <v>50</v>
      </c>
      <c r="B73" s="54" t="n">
        <f aca="false">EDATE($C$17,A73-1)</f>
        <v>47818</v>
      </c>
      <c r="C73" s="55" t="n">
        <f aca="false">G73+L73+Q73+V73+AA73+AF73+AK73+AP73+AU73+AZ73</f>
        <v>0</v>
      </c>
      <c r="D73" s="55" t="n">
        <f aca="false">MAX(0,$C$16-C73)</f>
        <v>5822</v>
      </c>
      <c r="E73" s="55" t="n">
        <f aca="false">ROUND(MAX(0,E72+F72-I72),2)</f>
        <v>0</v>
      </c>
      <c r="F73" s="55" t="n">
        <f aca="false">ROUND(E73*$E$5/12,2)</f>
        <v>0</v>
      </c>
      <c r="G73" s="55" t="n">
        <f aca="false">MIN($F$5,E73+F73)</f>
        <v>0</v>
      </c>
      <c r="H73" s="55" t="n">
        <f aca="false">MAX(0,MIN(E73+F73-G73,$D73))</f>
        <v>0</v>
      </c>
      <c r="I73" s="55" t="n">
        <f aca="false">G73+H73</f>
        <v>0</v>
      </c>
      <c r="J73" s="55" t="n">
        <f aca="false">ROUND(MAX(0,J72+K72-N72),2)</f>
        <v>0</v>
      </c>
      <c r="K73" s="55" t="n">
        <f aca="false">ROUND(J73*$E$6/12,2)</f>
        <v>0</v>
      </c>
      <c r="L73" s="55" t="n">
        <f aca="false">MIN($F$6,J73+K73)</f>
        <v>0</v>
      </c>
      <c r="M73" s="55" t="n">
        <f aca="false">MAX(0,MIN(J73+K73-L73,$D73-(H73)))</f>
        <v>0</v>
      </c>
      <c r="N73" s="55" t="n">
        <f aca="false">L73+M73</f>
        <v>0</v>
      </c>
      <c r="O73" s="55" t="n">
        <f aca="false">ROUND(MAX(0,O72+P72-S72),2)</f>
        <v>0</v>
      </c>
      <c r="P73" s="55" t="n">
        <f aca="false">ROUND(O73*$E$7/12,2)</f>
        <v>0</v>
      </c>
      <c r="Q73" s="55" t="n">
        <f aca="false">MIN($F$7,O73+P73)</f>
        <v>0</v>
      </c>
      <c r="R73" s="55" t="n">
        <f aca="false">MAX(0,MIN(O73+P73-Q73,$D73-(H73+M73)))</f>
        <v>0</v>
      </c>
      <c r="S73" s="55" t="n">
        <f aca="false">Q73+R73</f>
        <v>0</v>
      </c>
      <c r="T73" s="55" t="n">
        <f aca="false">ROUND(MAX(0,T72+U72-X72),2)</f>
        <v>0</v>
      </c>
      <c r="U73" s="55" t="n">
        <f aca="false">ROUND(T73*$E$8/12,2)</f>
        <v>0</v>
      </c>
      <c r="V73" s="55" t="n">
        <f aca="false">MIN($F$8,T73+U73)</f>
        <v>0</v>
      </c>
      <c r="W73" s="55" t="n">
        <f aca="false">MAX(0,MIN(T73+U73-V73,$D73-(H73+M73+R73)))</f>
        <v>0</v>
      </c>
      <c r="X73" s="55" t="n">
        <f aca="false">V73+W73</f>
        <v>0</v>
      </c>
      <c r="Y73" s="55" t="n">
        <f aca="false">ROUND(MAX(0,Y72+Z72-AC72),2)</f>
        <v>0</v>
      </c>
      <c r="Z73" s="55" t="n">
        <f aca="false">ROUND(Y73*$E$9/12,2)</f>
        <v>0</v>
      </c>
      <c r="AA73" s="55" t="n">
        <f aca="false">MIN($F$9,Y73+Z73)</f>
        <v>0</v>
      </c>
      <c r="AB73" s="55" t="n">
        <f aca="false">MAX(0,MIN(Y73+Z73-AA73,$D73-(H73+M73+R73+W73)))</f>
        <v>0</v>
      </c>
      <c r="AC73" s="55" t="n">
        <f aca="false">AA73+AB73</f>
        <v>0</v>
      </c>
      <c r="AD73" s="55" t="n">
        <f aca="false">ROUND(MAX(0,AD72+AE72-AH72),2)</f>
        <v>0</v>
      </c>
      <c r="AE73" s="55" t="n">
        <f aca="false">ROUND(AD73*$E$10/12,2)</f>
        <v>0</v>
      </c>
      <c r="AF73" s="55" t="n">
        <f aca="false">MIN($F$10,AD73+AE73)</f>
        <v>0</v>
      </c>
      <c r="AG73" s="55" t="n">
        <f aca="false">MAX(0,MIN(AD73+AE73-AF73,$D73-(H73+M73+R73+W73+AB73)))</f>
        <v>0</v>
      </c>
      <c r="AH73" s="55" t="n">
        <f aca="false">AF73+AG73</f>
        <v>0</v>
      </c>
      <c r="AI73" s="55" t="n">
        <f aca="false">ROUND(MAX(0,AI72+AJ72-AM72),2)</f>
        <v>0</v>
      </c>
      <c r="AJ73" s="55" t="n">
        <f aca="false">ROUND(AI73*$E$11/12,2)</f>
        <v>0</v>
      </c>
      <c r="AK73" s="55" t="n">
        <f aca="false">MIN($F$11,AI73+AJ73)</f>
        <v>0</v>
      </c>
      <c r="AL73" s="55" t="n">
        <f aca="false">MAX(0,MIN(AI73+AJ73-AK73,$D73-(H73+M73+R73+W73+AB73+AG73)))</f>
        <v>0</v>
      </c>
      <c r="AM73" s="55" t="n">
        <f aca="false">AK73+AL73</f>
        <v>0</v>
      </c>
      <c r="AN73" s="55" t="n">
        <f aca="false">ROUND(MAX(0,AN72+AO72-AR72),2)</f>
        <v>0</v>
      </c>
      <c r="AO73" s="55" t="n">
        <f aca="false">ROUND(AN73*$E$12/12,2)</f>
        <v>0</v>
      </c>
      <c r="AP73" s="55" t="n">
        <f aca="false">MIN($F$12,AN73+AO73)</f>
        <v>0</v>
      </c>
      <c r="AQ73" s="55" t="n">
        <f aca="false">MAX(0,MIN(AN73+AO73-AP73,$D73-(H73+M73+R73+W73+AB73+AG73+AL73)))</f>
        <v>0</v>
      </c>
      <c r="AR73" s="55" t="n">
        <f aca="false">AP73+AQ73</f>
        <v>0</v>
      </c>
      <c r="AS73" s="55" t="n">
        <f aca="false">ROUND(MAX(0,AS72+AT72-AW72),2)</f>
        <v>0</v>
      </c>
      <c r="AT73" s="55" t="n">
        <f aca="false">ROUND(AS73*$E$13/12,2)</f>
        <v>0</v>
      </c>
      <c r="AU73" s="55" t="n">
        <f aca="false">MIN($F$13,AS73+AT73)</f>
        <v>0</v>
      </c>
      <c r="AV73" s="55" t="n">
        <f aca="false">MAX(0,MIN(AS73+AT73-AU73,$D73-(H73+M73+R73+W73+AB73+AG73+AL73+AQ73)))</f>
        <v>0</v>
      </c>
      <c r="AW73" s="55" t="n">
        <f aca="false">AU73+AV73</f>
        <v>0</v>
      </c>
      <c r="AX73" s="55" t="n">
        <f aca="false">ROUND(MAX(0,AX72+AY72-BB72),2)</f>
        <v>0</v>
      </c>
      <c r="AY73" s="55" t="n">
        <f aca="false">ROUND(AX73*$E$14/12,2)</f>
        <v>0</v>
      </c>
      <c r="AZ73" s="55" t="n">
        <f aca="false">MIN($F$14,AX73+AY73)</f>
        <v>0</v>
      </c>
      <c r="BA73" s="55" t="n">
        <f aca="false">MAX(0,MIN(AX73+AY73-AZ73,$D73-(H73+M73+R73+W73+AB73+AG73+AL73+AQ73+AV73)))</f>
        <v>0</v>
      </c>
      <c r="BB73" s="55" t="n">
        <f aca="false">AZ73+BA73</f>
        <v>0</v>
      </c>
      <c r="BC73" s="55" t="n">
        <f aca="false">I73+N73+S73+X73+AC73+AH73+AM73+AR73+AW73+BB73</f>
        <v>0</v>
      </c>
      <c r="BD73" s="55" t="n">
        <f aca="false">ROUND((E73+F73-I73)+(J73+K73-N73)+(O73+P73-S73)+(T73+U73-X73)+(Y73+Z73-AC73)+(AD73+AE73-AH73)+(AI73+AJ73-AM73)+(AN73+AO73-AR73)+(AS73+AT73-AW73)+(AX73+AY73-BB73),2)</f>
        <v>0</v>
      </c>
      <c r="BE73" s="25" t="str">
        <f aca="false">IF(H73&gt;0.005,$C$5,IF(M73&gt;0.005,$C$6,IF(R73&gt;0.005,$C$7,IF(W73&gt;0.005,$C$8,IF(AB73&gt;0.005,$C$9,IF(AG73&gt;0.005,$C$10,IF(AL73&gt;0.005,$C$11,IF(AQ73&gt;0.005,$C$12,IF(AV73&gt;0.005,$C$13,IF(BA73&gt;0.005,$C$14,""))))))))))</f>
        <v/>
      </c>
    </row>
    <row r="74" customFormat="false" ht="15" hidden="false" customHeight="false" outlineLevel="0" collapsed="false">
      <c r="A74" s="24" t="n">
        <v>51</v>
      </c>
      <c r="B74" s="54" t="n">
        <f aca="false">EDATE($C$17,A74-1)</f>
        <v>47849</v>
      </c>
      <c r="C74" s="55" t="n">
        <f aca="false">G74+L74+Q74+V74+AA74+AF74+AK74+AP74+AU74+AZ74</f>
        <v>0</v>
      </c>
      <c r="D74" s="55" t="n">
        <f aca="false">MAX(0,$C$16-C74)</f>
        <v>5822</v>
      </c>
      <c r="E74" s="55" t="n">
        <f aca="false">ROUND(MAX(0,E73+F73-I73),2)</f>
        <v>0</v>
      </c>
      <c r="F74" s="55" t="n">
        <f aca="false">ROUND(E74*$E$5/12,2)</f>
        <v>0</v>
      </c>
      <c r="G74" s="55" t="n">
        <f aca="false">MIN($F$5,E74+F74)</f>
        <v>0</v>
      </c>
      <c r="H74" s="55" t="n">
        <f aca="false">MAX(0,MIN(E74+F74-G74,$D74))</f>
        <v>0</v>
      </c>
      <c r="I74" s="55" t="n">
        <f aca="false">G74+H74</f>
        <v>0</v>
      </c>
      <c r="J74" s="55" t="n">
        <f aca="false">ROUND(MAX(0,J73+K73-N73),2)</f>
        <v>0</v>
      </c>
      <c r="K74" s="55" t="n">
        <f aca="false">ROUND(J74*$E$6/12,2)</f>
        <v>0</v>
      </c>
      <c r="L74" s="55" t="n">
        <f aca="false">MIN($F$6,J74+K74)</f>
        <v>0</v>
      </c>
      <c r="M74" s="55" t="n">
        <f aca="false">MAX(0,MIN(J74+K74-L74,$D74-(H74)))</f>
        <v>0</v>
      </c>
      <c r="N74" s="55" t="n">
        <f aca="false">L74+M74</f>
        <v>0</v>
      </c>
      <c r="O74" s="55" t="n">
        <f aca="false">ROUND(MAX(0,O73+P73-S73),2)</f>
        <v>0</v>
      </c>
      <c r="P74" s="55" t="n">
        <f aca="false">ROUND(O74*$E$7/12,2)</f>
        <v>0</v>
      </c>
      <c r="Q74" s="55" t="n">
        <f aca="false">MIN($F$7,O74+P74)</f>
        <v>0</v>
      </c>
      <c r="R74" s="55" t="n">
        <f aca="false">MAX(0,MIN(O74+P74-Q74,$D74-(H74+M74)))</f>
        <v>0</v>
      </c>
      <c r="S74" s="55" t="n">
        <f aca="false">Q74+R74</f>
        <v>0</v>
      </c>
      <c r="T74" s="55" t="n">
        <f aca="false">ROUND(MAX(0,T73+U73-X73),2)</f>
        <v>0</v>
      </c>
      <c r="U74" s="55" t="n">
        <f aca="false">ROUND(T74*$E$8/12,2)</f>
        <v>0</v>
      </c>
      <c r="V74" s="55" t="n">
        <f aca="false">MIN($F$8,T74+U74)</f>
        <v>0</v>
      </c>
      <c r="W74" s="55" t="n">
        <f aca="false">MAX(0,MIN(T74+U74-V74,$D74-(H74+M74+R74)))</f>
        <v>0</v>
      </c>
      <c r="X74" s="55" t="n">
        <f aca="false">V74+W74</f>
        <v>0</v>
      </c>
      <c r="Y74" s="55" t="n">
        <f aca="false">ROUND(MAX(0,Y73+Z73-AC73),2)</f>
        <v>0</v>
      </c>
      <c r="Z74" s="55" t="n">
        <f aca="false">ROUND(Y74*$E$9/12,2)</f>
        <v>0</v>
      </c>
      <c r="AA74" s="55" t="n">
        <f aca="false">MIN($F$9,Y74+Z74)</f>
        <v>0</v>
      </c>
      <c r="AB74" s="55" t="n">
        <f aca="false">MAX(0,MIN(Y74+Z74-AA74,$D74-(H74+M74+R74+W74)))</f>
        <v>0</v>
      </c>
      <c r="AC74" s="55" t="n">
        <f aca="false">AA74+AB74</f>
        <v>0</v>
      </c>
      <c r="AD74" s="55" t="n">
        <f aca="false">ROUND(MAX(0,AD73+AE73-AH73),2)</f>
        <v>0</v>
      </c>
      <c r="AE74" s="55" t="n">
        <f aca="false">ROUND(AD74*$E$10/12,2)</f>
        <v>0</v>
      </c>
      <c r="AF74" s="55" t="n">
        <f aca="false">MIN($F$10,AD74+AE74)</f>
        <v>0</v>
      </c>
      <c r="AG74" s="55" t="n">
        <f aca="false">MAX(0,MIN(AD74+AE74-AF74,$D74-(H74+M74+R74+W74+AB74)))</f>
        <v>0</v>
      </c>
      <c r="AH74" s="55" t="n">
        <f aca="false">AF74+AG74</f>
        <v>0</v>
      </c>
      <c r="AI74" s="55" t="n">
        <f aca="false">ROUND(MAX(0,AI73+AJ73-AM73),2)</f>
        <v>0</v>
      </c>
      <c r="AJ74" s="55" t="n">
        <f aca="false">ROUND(AI74*$E$11/12,2)</f>
        <v>0</v>
      </c>
      <c r="AK74" s="55" t="n">
        <f aca="false">MIN($F$11,AI74+AJ74)</f>
        <v>0</v>
      </c>
      <c r="AL74" s="55" t="n">
        <f aca="false">MAX(0,MIN(AI74+AJ74-AK74,$D74-(H74+M74+R74+W74+AB74+AG74)))</f>
        <v>0</v>
      </c>
      <c r="AM74" s="55" t="n">
        <f aca="false">AK74+AL74</f>
        <v>0</v>
      </c>
      <c r="AN74" s="55" t="n">
        <f aca="false">ROUND(MAX(0,AN73+AO73-AR73),2)</f>
        <v>0</v>
      </c>
      <c r="AO74" s="55" t="n">
        <f aca="false">ROUND(AN74*$E$12/12,2)</f>
        <v>0</v>
      </c>
      <c r="AP74" s="55" t="n">
        <f aca="false">MIN($F$12,AN74+AO74)</f>
        <v>0</v>
      </c>
      <c r="AQ74" s="55" t="n">
        <f aca="false">MAX(0,MIN(AN74+AO74-AP74,$D74-(H74+M74+R74+W74+AB74+AG74+AL74)))</f>
        <v>0</v>
      </c>
      <c r="AR74" s="55" t="n">
        <f aca="false">AP74+AQ74</f>
        <v>0</v>
      </c>
      <c r="AS74" s="55" t="n">
        <f aca="false">ROUND(MAX(0,AS73+AT73-AW73),2)</f>
        <v>0</v>
      </c>
      <c r="AT74" s="55" t="n">
        <f aca="false">ROUND(AS74*$E$13/12,2)</f>
        <v>0</v>
      </c>
      <c r="AU74" s="55" t="n">
        <f aca="false">MIN($F$13,AS74+AT74)</f>
        <v>0</v>
      </c>
      <c r="AV74" s="55" t="n">
        <f aca="false">MAX(0,MIN(AS74+AT74-AU74,$D74-(H74+M74+R74+W74+AB74+AG74+AL74+AQ74)))</f>
        <v>0</v>
      </c>
      <c r="AW74" s="55" t="n">
        <f aca="false">AU74+AV74</f>
        <v>0</v>
      </c>
      <c r="AX74" s="55" t="n">
        <f aca="false">ROUND(MAX(0,AX73+AY73-BB73),2)</f>
        <v>0</v>
      </c>
      <c r="AY74" s="55" t="n">
        <f aca="false">ROUND(AX74*$E$14/12,2)</f>
        <v>0</v>
      </c>
      <c r="AZ74" s="55" t="n">
        <f aca="false">MIN($F$14,AX74+AY74)</f>
        <v>0</v>
      </c>
      <c r="BA74" s="55" t="n">
        <f aca="false">MAX(0,MIN(AX74+AY74-AZ74,$D74-(H74+M74+R74+W74+AB74+AG74+AL74+AQ74+AV74)))</f>
        <v>0</v>
      </c>
      <c r="BB74" s="55" t="n">
        <f aca="false">AZ74+BA74</f>
        <v>0</v>
      </c>
      <c r="BC74" s="55" t="n">
        <f aca="false">I74+N74+S74+X74+AC74+AH74+AM74+AR74+AW74+BB74</f>
        <v>0</v>
      </c>
      <c r="BD74" s="55" t="n">
        <f aca="false">ROUND((E74+F74-I74)+(J74+K74-N74)+(O74+P74-S74)+(T74+U74-X74)+(Y74+Z74-AC74)+(AD74+AE74-AH74)+(AI74+AJ74-AM74)+(AN74+AO74-AR74)+(AS74+AT74-AW74)+(AX74+AY74-BB74),2)</f>
        <v>0</v>
      </c>
      <c r="BE74" s="25" t="str">
        <f aca="false">IF(H74&gt;0.005,$C$5,IF(M74&gt;0.005,$C$6,IF(R74&gt;0.005,$C$7,IF(W74&gt;0.005,$C$8,IF(AB74&gt;0.005,$C$9,IF(AG74&gt;0.005,$C$10,IF(AL74&gt;0.005,$C$11,IF(AQ74&gt;0.005,$C$12,IF(AV74&gt;0.005,$C$13,IF(BA74&gt;0.005,$C$14,""))))))))))</f>
        <v/>
      </c>
    </row>
    <row r="75" customFormat="false" ht="15" hidden="false" customHeight="false" outlineLevel="0" collapsed="false">
      <c r="A75" s="24" t="n">
        <v>52</v>
      </c>
      <c r="B75" s="54" t="n">
        <f aca="false">EDATE($C$17,A75-1)</f>
        <v>47880</v>
      </c>
      <c r="C75" s="55" t="n">
        <f aca="false">G75+L75+Q75+V75+AA75+AF75+AK75+AP75+AU75+AZ75</f>
        <v>0</v>
      </c>
      <c r="D75" s="55" t="n">
        <f aca="false">MAX(0,$C$16-C75)</f>
        <v>5822</v>
      </c>
      <c r="E75" s="55" t="n">
        <f aca="false">ROUND(MAX(0,E74+F74-I74),2)</f>
        <v>0</v>
      </c>
      <c r="F75" s="55" t="n">
        <f aca="false">ROUND(E75*$E$5/12,2)</f>
        <v>0</v>
      </c>
      <c r="G75" s="55" t="n">
        <f aca="false">MIN($F$5,E75+F75)</f>
        <v>0</v>
      </c>
      <c r="H75" s="55" t="n">
        <f aca="false">MAX(0,MIN(E75+F75-G75,$D75))</f>
        <v>0</v>
      </c>
      <c r="I75" s="55" t="n">
        <f aca="false">G75+H75</f>
        <v>0</v>
      </c>
      <c r="J75" s="55" t="n">
        <f aca="false">ROUND(MAX(0,J74+K74-N74),2)</f>
        <v>0</v>
      </c>
      <c r="K75" s="55" t="n">
        <f aca="false">ROUND(J75*$E$6/12,2)</f>
        <v>0</v>
      </c>
      <c r="L75" s="55" t="n">
        <f aca="false">MIN($F$6,J75+K75)</f>
        <v>0</v>
      </c>
      <c r="M75" s="55" t="n">
        <f aca="false">MAX(0,MIN(J75+K75-L75,$D75-(H75)))</f>
        <v>0</v>
      </c>
      <c r="N75" s="55" t="n">
        <f aca="false">L75+M75</f>
        <v>0</v>
      </c>
      <c r="O75" s="55" t="n">
        <f aca="false">ROUND(MAX(0,O74+P74-S74),2)</f>
        <v>0</v>
      </c>
      <c r="P75" s="55" t="n">
        <f aca="false">ROUND(O75*$E$7/12,2)</f>
        <v>0</v>
      </c>
      <c r="Q75" s="55" t="n">
        <f aca="false">MIN($F$7,O75+P75)</f>
        <v>0</v>
      </c>
      <c r="R75" s="55" t="n">
        <f aca="false">MAX(0,MIN(O75+P75-Q75,$D75-(H75+M75)))</f>
        <v>0</v>
      </c>
      <c r="S75" s="55" t="n">
        <f aca="false">Q75+R75</f>
        <v>0</v>
      </c>
      <c r="T75" s="55" t="n">
        <f aca="false">ROUND(MAX(0,T74+U74-X74),2)</f>
        <v>0</v>
      </c>
      <c r="U75" s="55" t="n">
        <f aca="false">ROUND(T75*$E$8/12,2)</f>
        <v>0</v>
      </c>
      <c r="V75" s="55" t="n">
        <f aca="false">MIN($F$8,T75+U75)</f>
        <v>0</v>
      </c>
      <c r="W75" s="55" t="n">
        <f aca="false">MAX(0,MIN(T75+U75-V75,$D75-(H75+M75+R75)))</f>
        <v>0</v>
      </c>
      <c r="X75" s="55" t="n">
        <f aca="false">V75+W75</f>
        <v>0</v>
      </c>
      <c r="Y75" s="55" t="n">
        <f aca="false">ROUND(MAX(0,Y74+Z74-AC74),2)</f>
        <v>0</v>
      </c>
      <c r="Z75" s="55" t="n">
        <f aca="false">ROUND(Y75*$E$9/12,2)</f>
        <v>0</v>
      </c>
      <c r="AA75" s="55" t="n">
        <f aca="false">MIN($F$9,Y75+Z75)</f>
        <v>0</v>
      </c>
      <c r="AB75" s="55" t="n">
        <f aca="false">MAX(0,MIN(Y75+Z75-AA75,$D75-(H75+M75+R75+W75)))</f>
        <v>0</v>
      </c>
      <c r="AC75" s="55" t="n">
        <f aca="false">AA75+AB75</f>
        <v>0</v>
      </c>
      <c r="AD75" s="55" t="n">
        <f aca="false">ROUND(MAX(0,AD74+AE74-AH74),2)</f>
        <v>0</v>
      </c>
      <c r="AE75" s="55" t="n">
        <f aca="false">ROUND(AD75*$E$10/12,2)</f>
        <v>0</v>
      </c>
      <c r="AF75" s="55" t="n">
        <f aca="false">MIN($F$10,AD75+AE75)</f>
        <v>0</v>
      </c>
      <c r="AG75" s="55" t="n">
        <f aca="false">MAX(0,MIN(AD75+AE75-AF75,$D75-(H75+M75+R75+W75+AB75)))</f>
        <v>0</v>
      </c>
      <c r="AH75" s="55" t="n">
        <f aca="false">AF75+AG75</f>
        <v>0</v>
      </c>
      <c r="AI75" s="55" t="n">
        <f aca="false">ROUND(MAX(0,AI74+AJ74-AM74),2)</f>
        <v>0</v>
      </c>
      <c r="AJ75" s="55" t="n">
        <f aca="false">ROUND(AI75*$E$11/12,2)</f>
        <v>0</v>
      </c>
      <c r="AK75" s="55" t="n">
        <f aca="false">MIN($F$11,AI75+AJ75)</f>
        <v>0</v>
      </c>
      <c r="AL75" s="55" t="n">
        <f aca="false">MAX(0,MIN(AI75+AJ75-AK75,$D75-(H75+M75+R75+W75+AB75+AG75)))</f>
        <v>0</v>
      </c>
      <c r="AM75" s="55" t="n">
        <f aca="false">AK75+AL75</f>
        <v>0</v>
      </c>
      <c r="AN75" s="55" t="n">
        <f aca="false">ROUND(MAX(0,AN74+AO74-AR74),2)</f>
        <v>0</v>
      </c>
      <c r="AO75" s="55" t="n">
        <f aca="false">ROUND(AN75*$E$12/12,2)</f>
        <v>0</v>
      </c>
      <c r="AP75" s="55" t="n">
        <f aca="false">MIN($F$12,AN75+AO75)</f>
        <v>0</v>
      </c>
      <c r="AQ75" s="55" t="n">
        <f aca="false">MAX(0,MIN(AN75+AO75-AP75,$D75-(H75+M75+R75+W75+AB75+AG75+AL75)))</f>
        <v>0</v>
      </c>
      <c r="AR75" s="55" t="n">
        <f aca="false">AP75+AQ75</f>
        <v>0</v>
      </c>
      <c r="AS75" s="55" t="n">
        <f aca="false">ROUND(MAX(0,AS74+AT74-AW74),2)</f>
        <v>0</v>
      </c>
      <c r="AT75" s="55" t="n">
        <f aca="false">ROUND(AS75*$E$13/12,2)</f>
        <v>0</v>
      </c>
      <c r="AU75" s="55" t="n">
        <f aca="false">MIN($F$13,AS75+AT75)</f>
        <v>0</v>
      </c>
      <c r="AV75" s="55" t="n">
        <f aca="false">MAX(0,MIN(AS75+AT75-AU75,$D75-(H75+M75+R75+W75+AB75+AG75+AL75+AQ75)))</f>
        <v>0</v>
      </c>
      <c r="AW75" s="55" t="n">
        <f aca="false">AU75+AV75</f>
        <v>0</v>
      </c>
      <c r="AX75" s="55" t="n">
        <f aca="false">ROUND(MAX(0,AX74+AY74-BB74),2)</f>
        <v>0</v>
      </c>
      <c r="AY75" s="55" t="n">
        <f aca="false">ROUND(AX75*$E$14/12,2)</f>
        <v>0</v>
      </c>
      <c r="AZ75" s="55" t="n">
        <f aca="false">MIN($F$14,AX75+AY75)</f>
        <v>0</v>
      </c>
      <c r="BA75" s="55" t="n">
        <f aca="false">MAX(0,MIN(AX75+AY75-AZ75,$D75-(H75+M75+R75+W75+AB75+AG75+AL75+AQ75+AV75)))</f>
        <v>0</v>
      </c>
      <c r="BB75" s="55" t="n">
        <f aca="false">AZ75+BA75</f>
        <v>0</v>
      </c>
      <c r="BC75" s="55" t="n">
        <f aca="false">I75+N75+S75+X75+AC75+AH75+AM75+AR75+AW75+BB75</f>
        <v>0</v>
      </c>
      <c r="BD75" s="55" t="n">
        <f aca="false">ROUND((E75+F75-I75)+(J75+K75-N75)+(O75+P75-S75)+(T75+U75-X75)+(Y75+Z75-AC75)+(AD75+AE75-AH75)+(AI75+AJ75-AM75)+(AN75+AO75-AR75)+(AS75+AT75-AW75)+(AX75+AY75-BB75),2)</f>
        <v>0</v>
      </c>
      <c r="BE75" s="25" t="str">
        <f aca="false">IF(H75&gt;0.005,$C$5,IF(M75&gt;0.005,$C$6,IF(R75&gt;0.005,$C$7,IF(W75&gt;0.005,$C$8,IF(AB75&gt;0.005,$C$9,IF(AG75&gt;0.005,$C$10,IF(AL75&gt;0.005,$C$11,IF(AQ75&gt;0.005,$C$12,IF(AV75&gt;0.005,$C$13,IF(BA75&gt;0.005,$C$14,""))))))))))</f>
        <v/>
      </c>
    </row>
    <row r="76" customFormat="false" ht="15" hidden="false" customHeight="false" outlineLevel="0" collapsed="false">
      <c r="A76" s="24" t="n">
        <v>53</v>
      </c>
      <c r="B76" s="54" t="n">
        <f aca="false">EDATE($C$17,A76-1)</f>
        <v>47908</v>
      </c>
      <c r="C76" s="55" t="n">
        <f aca="false">G76+L76+Q76+V76+AA76+AF76+AK76+AP76+AU76+AZ76</f>
        <v>0</v>
      </c>
      <c r="D76" s="55" t="n">
        <f aca="false">MAX(0,$C$16-C76)</f>
        <v>5822</v>
      </c>
      <c r="E76" s="55" t="n">
        <f aca="false">ROUND(MAX(0,E75+F75-I75),2)</f>
        <v>0</v>
      </c>
      <c r="F76" s="55" t="n">
        <f aca="false">ROUND(E76*$E$5/12,2)</f>
        <v>0</v>
      </c>
      <c r="G76" s="55" t="n">
        <f aca="false">MIN($F$5,E76+F76)</f>
        <v>0</v>
      </c>
      <c r="H76" s="55" t="n">
        <f aca="false">MAX(0,MIN(E76+F76-G76,$D76))</f>
        <v>0</v>
      </c>
      <c r="I76" s="55" t="n">
        <f aca="false">G76+H76</f>
        <v>0</v>
      </c>
      <c r="J76" s="55" t="n">
        <f aca="false">ROUND(MAX(0,J75+K75-N75),2)</f>
        <v>0</v>
      </c>
      <c r="K76" s="55" t="n">
        <f aca="false">ROUND(J76*$E$6/12,2)</f>
        <v>0</v>
      </c>
      <c r="L76" s="55" t="n">
        <f aca="false">MIN($F$6,J76+K76)</f>
        <v>0</v>
      </c>
      <c r="M76" s="55" t="n">
        <f aca="false">MAX(0,MIN(J76+K76-L76,$D76-(H76)))</f>
        <v>0</v>
      </c>
      <c r="N76" s="55" t="n">
        <f aca="false">L76+M76</f>
        <v>0</v>
      </c>
      <c r="O76" s="55" t="n">
        <f aca="false">ROUND(MAX(0,O75+P75-S75),2)</f>
        <v>0</v>
      </c>
      <c r="P76" s="55" t="n">
        <f aca="false">ROUND(O76*$E$7/12,2)</f>
        <v>0</v>
      </c>
      <c r="Q76" s="55" t="n">
        <f aca="false">MIN($F$7,O76+P76)</f>
        <v>0</v>
      </c>
      <c r="R76" s="55" t="n">
        <f aca="false">MAX(0,MIN(O76+P76-Q76,$D76-(H76+M76)))</f>
        <v>0</v>
      </c>
      <c r="S76" s="55" t="n">
        <f aca="false">Q76+R76</f>
        <v>0</v>
      </c>
      <c r="T76" s="55" t="n">
        <f aca="false">ROUND(MAX(0,T75+U75-X75),2)</f>
        <v>0</v>
      </c>
      <c r="U76" s="55" t="n">
        <f aca="false">ROUND(T76*$E$8/12,2)</f>
        <v>0</v>
      </c>
      <c r="V76" s="55" t="n">
        <f aca="false">MIN($F$8,T76+U76)</f>
        <v>0</v>
      </c>
      <c r="W76" s="55" t="n">
        <f aca="false">MAX(0,MIN(T76+U76-V76,$D76-(H76+M76+R76)))</f>
        <v>0</v>
      </c>
      <c r="X76" s="55" t="n">
        <f aca="false">V76+W76</f>
        <v>0</v>
      </c>
      <c r="Y76" s="55" t="n">
        <f aca="false">ROUND(MAX(0,Y75+Z75-AC75),2)</f>
        <v>0</v>
      </c>
      <c r="Z76" s="55" t="n">
        <f aca="false">ROUND(Y76*$E$9/12,2)</f>
        <v>0</v>
      </c>
      <c r="AA76" s="55" t="n">
        <f aca="false">MIN($F$9,Y76+Z76)</f>
        <v>0</v>
      </c>
      <c r="AB76" s="55" t="n">
        <f aca="false">MAX(0,MIN(Y76+Z76-AA76,$D76-(H76+M76+R76+W76)))</f>
        <v>0</v>
      </c>
      <c r="AC76" s="55" t="n">
        <f aca="false">AA76+AB76</f>
        <v>0</v>
      </c>
      <c r="AD76" s="55" t="n">
        <f aca="false">ROUND(MAX(0,AD75+AE75-AH75),2)</f>
        <v>0</v>
      </c>
      <c r="AE76" s="55" t="n">
        <f aca="false">ROUND(AD76*$E$10/12,2)</f>
        <v>0</v>
      </c>
      <c r="AF76" s="55" t="n">
        <f aca="false">MIN($F$10,AD76+AE76)</f>
        <v>0</v>
      </c>
      <c r="AG76" s="55" t="n">
        <f aca="false">MAX(0,MIN(AD76+AE76-AF76,$D76-(H76+M76+R76+W76+AB76)))</f>
        <v>0</v>
      </c>
      <c r="AH76" s="55" t="n">
        <f aca="false">AF76+AG76</f>
        <v>0</v>
      </c>
      <c r="AI76" s="55" t="n">
        <f aca="false">ROUND(MAX(0,AI75+AJ75-AM75),2)</f>
        <v>0</v>
      </c>
      <c r="AJ76" s="55" t="n">
        <f aca="false">ROUND(AI76*$E$11/12,2)</f>
        <v>0</v>
      </c>
      <c r="AK76" s="55" t="n">
        <f aca="false">MIN($F$11,AI76+AJ76)</f>
        <v>0</v>
      </c>
      <c r="AL76" s="55" t="n">
        <f aca="false">MAX(0,MIN(AI76+AJ76-AK76,$D76-(H76+M76+R76+W76+AB76+AG76)))</f>
        <v>0</v>
      </c>
      <c r="AM76" s="55" t="n">
        <f aca="false">AK76+AL76</f>
        <v>0</v>
      </c>
      <c r="AN76" s="55" t="n">
        <f aca="false">ROUND(MAX(0,AN75+AO75-AR75),2)</f>
        <v>0</v>
      </c>
      <c r="AO76" s="55" t="n">
        <f aca="false">ROUND(AN76*$E$12/12,2)</f>
        <v>0</v>
      </c>
      <c r="AP76" s="55" t="n">
        <f aca="false">MIN($F$12,AN76+AO76)</f>
        <v>0</v>
      </c>
      <c r="AQ76" s="55" t="n">
        <f aca="false">MAX(0,MIN(AN76+AO76-AP76,$D76-(H76+M76+R76+W76+AB76+AG76+AL76)))</f>
        <v>0</v>
      </c>
      <c r="AR76" s="55" t="n">
        <f aca="false">AP76+AQ76</f>
        <v>0</v>
      </c>
      <c r="AS76" s="55" t="n">
        <f aca="false">ROUND(MAX(0,AS75+AT75-AW75),2)</f>
        <v>0</v>
      </c>
      <c r="AT76" s="55" t="n">
        <f aca="false">ROUND(AS76*$E$13/12,2)</f>
        <v>0</v>
      </c>
      <c r="AU76" s="55" t="n">
        <f aca="false">MIN($F$13,AS76+AT76)</f>
        <v>0</v>
      </c>
      <c r="AV76" s="55" t="n">
        <f aca="false">MAX(0,MIN(AS76+AT76-AU76,$D76-(H76+M76+R76+W76+AB76+AG76+AL76+AQ76)))</f>
        <v>0</v>
      </c>
      <c r="AW76" s="55" t="n">
        <f aca="false">AU76+AV76</f>
        <v>0</v>
      </c>
      <c r="AX76" s="55" t="n">
        <f aca="false">ROUND(MAX(0,AX75+AY75-BB75),2)</f>
        <v>0</v>
      </c>
      <c r="AY76" s="55" t="n">
        <f aca="false">ROUND(AX76*$E$14/12,2)</f>
        <v>0</v>
      </c>
      <c r="AZ76" s="55" t="n">
        <f aca="false">MIN($F$14,AX76+AY76)</f>
        <v>0</v>
      </c>
      <c r="BA76" s="55" t="n">
        <f aca="false">MAX(0,MIN(AX76+AY76-AZ76,$D76-(H76+M76+R76+W76+AB76+AG76+AL76+AQ76+AV76)))</f>
        <v>0</v>
      </c>
      <c r="BB76" s="55" t="n">
        <f aca="false">AZ76+BA76</f>
        <v>0</v>
      </c>
      <c r="BC76" s="55" t="n">
        <f aca="false">I76+N76+S76+X76+AC76+AH76+AM76+AR76+AW76+BB76</f>
        <v>0</v>
      </c>
      <c r="BD76" s="55" t="n">
        <f aca="false">ROUND((E76+F76-I76)+(J76+K76-N76)+(O76+P76-S76)+(T76+U76-X76)+(Y76+Z76-AC76)+(AD76+AE76-AH76)+(AI76+AJ76-AM76)+(AN76+AO76-AR76)+(AS76+AT76-AW76)+(AX76+AY76-BB76),2)</f>
        <v>0</v>
      </c>
      <c r="BE76" s="25" t="str">
        <f aca="false">IF(H76&gt;0.005,$C$5,IF(M76&gt;0.005,$C$6,IF(R76&gt;0.005,$C$7,IF(W76&gt;0.005,$C$8,IF(AB76&gt;0.005,$C$9,IF(AG76&gt;0.005,$C$10,IF(AL76&gt;0.005,$C$11,IF(AQ76&gt;0.005,$C$12,IF(AV76&gt;0.005,$C$13,IF(BA76&gt;0.005,$C$14,""))))))))))</f>
        <v/>
      </c>
    </row>
    <row r="77" customFormat="false" ht="15" hidden="false" customHeight="false" outlineLevel="0" collapsed="false">
      <c r="A77" s="24" t="n">
        <v>54</v>
      </c>
      <c r="B77" s="54" t="n">
        <f aca="false">EDATE($C$17,A77-1)</f>
        <v>47939</v>
      </c>
      <c r="C77" s="55" t="n">
        <f aca="false">G77+L77+Q77+V77+AA77+AF77+AK77+AP77+AU77+AZ77</f>
        <v>0</v>
      </c>
      <c r="D77" s="55" t="n">
        <f aca="false">MAX(0,$C$16-C77)</f>
        <v>5822</v>
      </c>
      <c r="E77" s="55" t="n">
        <f aca="false">ROUND(MAX(0,E76+F76-I76),2)</f>
        <v>0</v>
      </c>
      <c r="F77" s="55" t="n">
        <f aca="false">ROUND(E77*$E$5/12,2)</f>
        <v>0</v>
      </c>
      <c r="G77" s="55" t="n">
        <f aca="false">MIN($F$5,E77+F77)</f>
        <v>0</v>
      </c>
      <c r="H77" s="55" t="n">
        <f aca="false">MAX(0,MIN(E77+F77-G77,$D77))</f>
        <v>0</v>
      </c>
      <c r="I77" s="55" t="n">
        <f aca="false">G77+H77</f>
        <v>0</v>
      </c>
      <c r="J77" s="55" t="n">
        <f aca="false">ROUND(MAX(0,J76+K76-N76),2)</f>
        <v>0</v>
      </c>
      <c r="K77" s="55" t="n">
        <f aca="false">ROUND(J77*$E$6/12,2)</f>
        <v>0</v>
      </c>
      <c r="L77" s="55" t="n">
        <f aca="false">MIN($F$6,J77+K77)</f>
        <v>0</v>
      </c>
      <c r="M77" s="55" t="n">
        <f aca="false">MAX(0,MIN(J77+K77-L77,$D77-(H77)))</f>
        <v>0</v>
      </c>
      <c r="N77" s="55" t="n">
        <f aca="false">L77+M77</f>
        <v>0</v>
      </c>
      <c r="O77" s="55" t="n">
        <f aca="false">ROUND(MAX(0,O76+P76-S76),2)</f>
        <v>0</v>
      </c>
      <c r="P77" s="55" t="n">
        <f aca="false">ROUND(O77*$E$7/12,2)</f>
        <v>0</v>
      </c>
      <c r="Q77" s="55" t="n">
        <f aca="false">MIN($F$7,O77+P77)</f>
        <v>0</v>
      </c>
      <c r="R77" s="55" t="n">
        <f aca="false">MAX(0,MIN(O77+P77-Q77,$D77-(H77+M77)))</f>
        <v>0</v>
      </c>
      <c r="S77" s="55" t="n">
        <f aca="false">Q77+R77</f>
        <v>0</v>
      </c>
      <c r="T77" s="55" t="n">
        <f aca="false">ROUND(MAX(0,T76+U76-X76),2)</f>
        <v>0</v>
      </c>
      <c r="U77" s="55" t="n">
        <f aca="false">ROUND(T77*$E$8/12,2)</f>
        <v>0</v>
      </c>
      <c r="V77" s="55" t="n">
        <f aca="false">MIN($F$8,T77+U77)</f>
        <v>0</v>
      </c>
      <c r="W77" s="55" t="n">
        <f aca="false">MAX(0,MIN(T77+U77-V77,$D77-(H77+M77+R77)))</f>
        <v>0</v>
      </c>
      <c r="X77" s="55" t="n">
        <f aca="false">V77+W77</f>
        <v>0</v>
      </c>
      <c r="Y77" s="55" t="n">
        <f aca="false">ROUND(MAX(0,Y76+Z76-AC76),2)</f>
        <v>0</v>
      </c>
      <c r="Z77" s="55" t="n">
        <f aca="false">ROUND(Y77*$E$9/12,2)</f>
        <v>0</v>
      </c>
      <c r="AA77" s="55" t="n">
        <f aca="false">MIN($F$9,Y77+Z77)</f>
        <v>0</v>
      </c>
      <c r="AB77" s="55" t="n">
        <f aca="false">MAX(0,MIN(Y77+Z77-AA77,$D77-(H77+M77+R77+W77)))</f>
        <v>0</v>
      </c>
      <c r="AC77" s="55" t="n">
        <f aca="false">AA77+AB77</f>
        <v>0</v>
      </c>
      <c r="AD77" s="55" t="n">
        <f aca="false">ROUND(MAX(0,AD76+AE76-AH76),2)</f>
        <v>0</v>
      </c>
      <c r="AE77" s="55" t="n">
        <f aca="false">ROUND(AD77*$E$10/12,2)</f>
        <v>0</v>
      </c>
      <c r="AF77" s="55" t="n">
        <f aca="false">MIN($F$10,AD77+AE77)</f>
        <v>0</v>
      </c>
      <c r="AG77" s="55" t="n">
        <f aca="false">MAX(0,MIN(AD77+AE77-AF77,$D77-(H77+M77+R77+W77+AB77)))</f>
        <v>0</v>
      </c>
      <c r="AH77" s="55" t="n">
        <f aca="false">AF77+AG77</f>
        <v>0</v>
      </c>
      <c r="AI77" s="55" t="n">
        <f aca="false">ROUND(MAX(0,AI76+AJ76-AM76),2)</f>
        <v>0</v>
      </c>
      <c r="AJ77" s="55" t="n">
        <f aca="false">ROUND(AI77*$E$11/12,2)</f>
        <v>0</v>
      </c>
      <c r="AK77" s="55" t="n">
        <f aca="false">MIN($F$11,AI77+AJ77)</f>
        <v>0</v>
      </c>
      <c r="AL77" s="55" t="n">
        <f aca="false">MAX(0,MIN(AI77+AJ77-AK77,$D77-(H77+M77+R77+W77+AB77+AG77)))</f>
        <v>0</v>
      </c>
      <c r="AM77" s="55" t="n">
        <f aca="false">AK77+AL77</f>
        <v>0</v>
      </c>
      <c r="AN77" s="55" t="n">
        <f aca="false">ROUND(MAX(0,AN76+AO76-AR76),2)</f>
        <v>0</v>
      </c>
      <c r="AO77" s="55" t="n">
        <f aca="false">ROUND(AN77*$E$12/12,2)</f>
        <v>0</v>
      </c>
      <c r="AP77" s="55" t="n">
        <f aca="false">MIN($F$12,AN77+AO77)</f>
        <v>0</v>
      </c>
      <c r="AQ77" s="55" t="n">
        <f aca="false">MAX(0,MIN(AN77+AO77-AP77,$D77-(H77+M77+R77+W77+AB77+AG77+AL77)))</f>
        <v>0</v>
      </c>
      <c r="AR77" s="55" t="n">
        <f aca="false">AP77+AQ77</f>
        <v>0</v>
      </c>
      <c r="AS77" s="55" t="n">
        <f aca="false">ROUND(MAX(0,AS76+AT76-AW76),2)</f>
        <v>0</v>
      </c>
      <c r="AT77" s="55" t="n">
        <f aca="false">ROUND(AS77*$E$13/12,2)</f>
        <v>0</v>
      </c>
      <c r="AU77" s="55" t="n">
        <f aca="false">MIN($F$13,AS77+AT77)</f>
        <v>0</v>
      </c>
      <c r="AV77" s="55" t="n">
        <f aca="false">MAX(0,MIN(AS77+AT77-AU77,$D77-(H77+M77+R77+W77+AB77+AG77+AL77+AQ77)))</f>
        <v>0</v>
      </c>
      <c r="AW77" s="55" t="n">
        <f aca="false">AU77+AV77</f>
        <v>0</v>
      </c>
      <c r="AX77" s="55" t="n">
        <f aca="false">ROUND(MAX(0,AX76+AY76-BB76),2)</f>
        <v>0</v>
      </c>
      <c r="AY77" s="55" t="n">
        <f aca="false">ROUND(AX77*$E$14/12,2)</f>
        <v>0</v>
      </c>
      <c r="AZ77" s="55" t="n">
        <f aca="false">MIN($F$14,AX77+AY77)</f>
        <v>0</v>
      </c>
      <c r="BA77" s="55" t="n">
        <f aca="false">MAX(0,MIN(AX77+AY77-AZ77,$D77-(H77+M77+R77+W77+AB77+AG77+AL77+AQ77+AV77)))</f>
        <v>0</v>
      </c>
      <c r="BB77" s="55" t="n">
        <f aca="false">AZ77+BA77</f>
        <v>0</v>
      </c>
      <c r="BC77" s="55" t="n">
        <f aca="false">I77+N77+S77+X77+AC77+AH77+AM77+AR77+AW77+BB77</f>
        <v>0</v>
      </c>
      <c r="BD77" s="55" t="n">
        <f aca="false">ROUND((E77+F77-I77)+(J77+K77-N77)+(O77+P77-S77)+(T77+U77-X77)+(Y77+Z77-AC77)+(AD77+AE77-AH77)+(AI77+AJ77-AM77)+(AN77+AO77-AR77)+(AS77+AT77-AW77)+(AX77+AY77-BB77),2)</f>
        <v>0</v>
      </c>
      <c r="BE77" s="25" t="str">
        <f aca="false">IF(H77&gt;0.005,$C$5,IF(M77&gt;0.005,$C$6,IF(R77&gt;0.005,$C$7,IF(W77&gt;0.005,$C$8,IF(AB77&gt;0.005,$C$9,IF(AG77&gt;0.005,$C$10,IF(AL77&gt;0.005,$C$11,IF(AQ77&gt;0.005,$C$12,IF(AV77&gt;0.005,$C$13,IF(BA77&gt;0.005,$C$14,""))))))))))</f>
        <v/>
      </c>
    </row>
    <row r="78" customFormat="false" ht="15" hidden="false" customHeight="false" outlineLevel="0" collapsed="false">
      <c r="A78" s="24" t="n">
        <v>55</v>
      </c>
      <c r="B78" s="54" t="n">
        <f aca="false">EDATE($C$17,A78-1)</f>
        <v>47969</v>
      </c>
      <c r="C78" s="55" t="n">
        <f aca="false">G78+L78+Q78+V78+AA78+AF78+AK78+AP78+AU78+AZ78</f>
        <v>0</v>
      </c>
      <c r="D78" s="55" t="n">
        <f aca="false">MAX(0,$C$16-C78)</f>
        <v>5822</v>
      </c>
      <c r="E78" s="55" t="n">
        <f aca="false">ROUND(MAX(0,E77+F77-I77),2)</f>
        <v>0</v>
      </c>
      <c r="F78" s="55" t="n">
        <f aca="false">ROUND(E78*$E$5/12,2)</f>
        <v>0</v>
      </c>
      <c r="G78" s="55" t="n">
        <f aca="false">MIN($F$5,E78+F78)</f>
        <v>0</v>
      </c>
      <c r="H78" s="55" t="n">
        <f aca="false">MAX(0,MIN(E78+F78-G78,$D78))</f>
        <v>0</v>
      </c>
      <c r="I78" s="55" t="n">
        <f aca="false">G78+H78</f>
        <v>0</v>
      </c>
      <c r="J78" s="55" t="n">
        <f aca="false">ROUND(MAX(0,J77+K77-N77),2)</f>
        <v>0</v>
      </c>
      <c r="K78" s="55" t="n">
        <f aca="false">ROUND(J78*$E$6/12,2)</f>
        <v>0</v>
      </c>
      <c r="L78" s="55" t="n">
        <f aca="false">MIN($F$6,J78+K78)</f>
        <v>0</v>
      </c>
      <c r="M78" s="55" t="n">
        <f aca="false">MAX(0,MIN(J78+K78-L78,$D78-(H78)))</f>
        <v>0</v>
      </c>
      <c r="N78" s="55" t="n">
        <f aca="false">L78+M78</f>
        <v>0</v>
      </c>
      <c r="O78" s="55" t="n">
        <f aca="false">ROUND(MAX(0,O77+P77-S77),2)</f>
        <v>0</v>
      </c>
      <c r="P78" s="55" t="n">
        <f aca="false">ROUND(O78*$E$7/12,2)</f>
        <v>0</v>
      </c>
      <c r="Q78" s="55" t="n">
        <f aca="false">MIN($F$7,O78+P78)</f>
        <v>0</v>
      </c>
      <c r="R78" s="55" t="n">
        <f aca="false">MAX(0,MIN(O78+P78-Q78,$D78-(H78+M78)))</f>
        <v>0</v>
      </c>
      <c r="S78" s="55" t="n">
        <f aca="false">Q78+R78</f>
        <v>0</v>
      </c>
      <c r="T78" s="55" t="n">
        <f aca="false">ROUND(MAX(0,T77+U77-X77),2)</f>
        <v>0</v>
      </c>
      <c r="U78" s="55" t="n">
        <f aca="false">ROUND(T78*$E$8/12,2)</f>
        <v>0</v>
      </c>
      <c r="V78" s="55" t="n">
        <f aca="false">MIN($F$8,T78+U78)</f>
        <v>0</v>
      </c>
      <c r="W78" s="55" t="n">
        <f aca="false">MAX(0,MIN(T78+U78-V78,$D78-(H78+M78+R78)))</f>
        <v>0</v>
      </c>
      <c r="X78" s="55" t="n">
        <f aca="false">V78+W78</f>
        <v>0</v>
      </c>
      <c r="Y78" s="55" t="n">
        <f aca="false">ROUND(MAX(0,Y77+Z77-AC77),2)</f>
        <v>0</v>
      </c>
      <c r="Z78" s="55" t="n">
        <f aca="false">ROUND(Y78*$E$9/12,2)</f>
        <v>0</v>
      </c>
      <c r="AA78" s="55" t="n">
        <f aca="false">MIN($F$9,Y78+Z78)</f>
        <v>0</v>
      </c>
      <c r="AB78" s="55" t="n">
        <f aca="false">MAX(0,MIN(Y78+Z78-AA78,$D78-(H78+M78+R78+W78)))</f>
        <v>0</v>
      </c>
      <c r="AC78" s="55" t="n">
        <f aca="false">AA78+AB78</f>
        <v>0</v>
      </c>
      <c r="AD78" s="55" t="n">
        <f aca="false">ROUND(MAX(0,AD77+AE77-AH77),2)</f>
        <v>0</v>
      </c>
      <c r="AE78" s="55" t="n">
        <f aca="false">ROUND(AD78*$E$10/12,2)</f>
        <v>0</v>
      </c>
      <c r="AF78" s="55" t="n">
        <f aca="false">MIN($F$10,AD78+AE78)</f>
        <v>0</v>
      </c>
      <c r="AG78" s="55" t="n">
        <f aca="false">MAX(0,MIN(AD78+AE78-AF78,$D78-(H78+M78+R78+W78+AB78)))</f>
        <v>0</v>
      </c>
      <c r="AH78" s="55" t="n">
        <f aca="false">AF78+AG78</f>
        <v>0</v>
      </c>
      <c r="AI78" s="55" t="n">
        <f aca="false">ROUND(MAX(0,AI77+AJ77-AM77),2)</f>
        <v>0</v>
      </c>
      <c r="AJ78" s="55" t="n">
        <f aca="false">ROUND(AI78*$E$11/12,2)</f>
        <v>0</v>
      </c>
      <c r="AK78" s="55" t="n">
        <f aca="false">MIN($F$11,AI78+AJ78)</f>
        <v>0</v>
      </c>
      <c r="AL78" s="55" t="n">
        <f aca="false">MAX(0,MIN(AI78+AJ78-AK78,$D78-(H78+M78+R78+W78+AB78+AG78)))</f>
        <v>0</v>
      </c>
      <c r="AM78" s="55" t="n">
        <f aca="false">AK78+AL78</f>
        <v>0</v>
      </c>
      <c r="AN78" s="55" t="n">
        <f aca="false">ROUND(MAX(0,AN77+AO77-AR77),2)</f>
        <v>0</v>
      </c>
      <c r="AO78" s="55" t="n">
        <f aca="false">ROUND(AN78*$E$12/12,2)</f>
        <v>0</v>
      </c>
      <c r="AP78" s="55" t="n">
        <f aca="false">MIN($F$12,AN78+AO78)</f>
        <v>0</v>
      </c>
      <c r="AQ78" s="55" t="n">
        <f aca="false">MAX(0,MIN(AN78+AO78-AP78,$D78-(H78+M78+R78+W78+AB78+AG78+AL78)))</f>
        <v>0</v>
      </c>
      <c r="AR78" s="55" t="n">
        <f aca="false">AP78+AQ78</f>
        <v>0</v>
      </c>
      <c r="AS78" s="55" t="n">
        <f aca="false">ROUND(MAX(0,AS77+AT77-AW77),2)</f>
        <v>0</v>
      </c>
      <c r="AT78" s="55" t="n">
        <f aca="false">ROUND(AS78*$E$13/12,2)</f>
        <v>0</v>
      </c>
      <c r="AU78" s="55" t="n">
        <f aca="false">MIN($F$13,AS78+AT78)</f>
        <v>0</v>
      </c>
      <c r="AV78" s="55" t="n">
        <f aca="false">MAX(0,MIN(AS78+AT78-AU78,$D78-(H78+M78+R78+W78+AB78+AG78+AL78+AQ78)))</f>
        <v>0</v>
      </c>
      <c r="AW78" s="55" t="n">
        <f aca="false">AU78+AV78</f>
        <v>0</v>
      </c>
      <c r="AX78" s="55" t="n">
        <f aca="false">ROUND(MAX(0,AX77+AY77-BB77),2)</f>
        <v>0</v>
      </c>
      <c r="AY78" s="55" t="n">
        <f aca="false">ROUND(AX78*$E$14/12,2)</f>
        <v>0</v>
      </c>
      <c r="AZ78" s="55" t="n">
        <f aca="false">MIN($F$14,AX78+AY78)</f>
        <v>0</v>
      </c>
      <c r="BA78" s="55" t="n">
        <f aca="false">MAX(0,MIN(AX78+AY78-AZ78,$D78-(H78+M78+R78+W78+AB78+AG78+AL78+AQ78+AV78)))</f>
        <v>0</v>
      </c>
      <c r="BB78" s="55" t="n">
        <f aca="false">AZ78+BA78</f>
        <v>0</v>
      </c>
      <c r="BC78" s="55" t="n">
        <f aca="false">I78+N78+S78+X78+AC78+AH78+AM78+AR78+AW78+BB78</f>
        <v>0</v>
      </c>
      <c r="BD78" s="55" t="n">
        <f aca="false">ROUND((E78+F78-I78)+(J78+K78-N78)+(O78+P78-S78)+(T78+U78-X78)+(Y78+Z78-AC78)+(AD78+AE78-AH78)+(AI78+AJ78-AM78)+(AN78+AO78-AR78)+(AS78+AT78-AW78)+(AX78+AY78-BB78),2)</f>
        <v>0</v>
      </c>
      <c r="BE78" s="25" t="str">
        <f aca="false">IF(H78&gt;0.005,$C$5,IF(M78&gt;0.005,$C$6,IF(R78&gt;0.005,$C$7,IF(W78&gt;0.005,$C$8,IF(AB78&gt;0.005,$C$9,IF(AG78&gt;0.005,$C$10,IF(AL78&gt;0.005,$C$11,IF(AQ78&gt;0.005,$C$12,IF(AV78&gt;0.005,$C$13,IF(BA78&gt;0.005,$C$14,""))))))))))</f>
        <v/>
      </c>
    </row>
    <row r="79" customFormat="false" ht="15" hidden="false" customHeight="false" outlineLevel="0" collapsed="false">
      <c r="A79" s="24" t="n">
        <v>56</v>
      </c>
      <c r="B79" s="54" t="n">
        <f aca="false">EDATE($C$17,A79-1)</f>
        <v>48000</v>
      </c>
      <c r="C79" s="55" t="n">
        <f aca="false">G79+L79+Q79+V79+AA79+AF79+AK79+AP79+AU79+AZ79</f>
        <v>0</v>
      </c>
      <c r="D79" s="55" t="n">
        <f aca="false">MAX(0,$C$16-C79)</f>
        <v>5822</v>
      </c>
      <c r="E79" s="55" t="n">
        <f aca="false">ROUND(MAX(0,E78+F78-I78),2)</f>
        <v>0</v>
      </c>
      <c r="F79" s="55" t="n">
        <f aca="false">ROUND(E79*$E$5/12,2)</f>
        <v>0</v>
      </c>
      <c r="G79" s="55" t="n">
        <f aca="false">MIN($F$5,E79+F79)</f>
        <v>0</v>
      </c>
      <c r="H79" s="55" t="n">
        <f aca="false">MAX(0,MIN(E79+F79-G79,$D79))</f>
        <v>0</v>
      </c>
      <c r="I79" s="55" t="n">
        <f aca="false">G79+H79</f>
        <v>0</v>
      </c>
      <c r="J79" s="55" t="n">
        <f aca="false">ROUND(MAX(0,J78+K78-N78),2)</f>
        <v>0</v>
      </c>
      <c r="K79" s="55" t="n">
        <f aca="false">ROUND(J79*$E$6/12,2)</f>
        <v>0</v>
      </c>
      <c r="L79" s="55" t="n">
        <f aca="false">MIN($F$6,J79+K79)</f>
        <v>0</v>
      </c>
      <c r="M79" s="55" t="n">
        <f aca="false">MAX(0,MIN(J79+K79-L79,$D79-(H79)))</f>
        <v>0</v>
      </c>
      <c r="N79" s="55" t="n">
        <f aca="false">L79+M79</f>
        <v>0</v>
      </c>
      <c r="O79" s="55" t="n">
        <f aca="false">ROUND(MAX(0,O78+P78-S78),2)</f>
        <v>0</v>
      </c>
      <c r="P79" s="55" t="n">
        <f aca="false">ROUND(O79*$E$7/12,2)</f>
        <v>0</v>
      </c>
      <c r="Q79" s="55" t="n">
        <f aca="false">MIN($F$7,O79+P79)</f>
        <v>0</v>
      </c>
      <c r="R79" s="55" t="n">
        <f aca="false">MAX(0,MIN(O79+P79-Q79,$D79-(H79+M79)))</f>
        <v>0</v>
      </c>
      <c r="S79" s="55" t="n">
        <f aca="false">Q79+R79</f>
        <v>0</v>
      </c>
      <c r="T79" s="55" t="n">
        <f aca="false">ROUND(MAX(0,T78+U78-X78),2)</f>
        <v>0</v>
      </c>
      <c r="U79" s="55" t="n">
        <f aca="false">ROUND(T79*$E$8/12,2)</f>
        <v>0</v>
      </c>
      <c r="V79" s="55" t="n">
        <f aca="false">MIN($F$8,T79+U79)</f>
        <v>0</v>
      </c>
      <c r="W79" s="55" t="n">
        <f aca="false">MAX(0,MIN(T79+U79-V79,$D79-(H79+M79+R79)))</f>
        <v>0</v>
      </c>
      <c r="X79" s="55" t="n">
        <f aca="false">V79+W79</f>
        <v>0</v>
      </c>
      <c r="Y79" s="55" t="n">
        <f aca="false">ROUND(MAX(0,Y78+Z78-AC78),2)</f>
        <v>0</v>
      </c>
      <c r="Z79" s="55" t="n">
        <f aca="false">ROUND(Y79*$E$9/12,2)</f>
        <v>0</v>
      </c>
      <c r="AA79" s="55" t="n">
        <f aca="false">MIN($F$9,Y79+Z79)</f>
        <v>0</v>
      </c>
      <c r="AB79" s="55" t="n">
        <f aca="false">MAX(0,MIN(Y79+Z79-AA79,$D79-(H79+M79+R79+W79)))</f>
        <v>0</v>
      </c>
      <c r="AC79" s="55" t="n">
        <f aca="false">AA79+AB79</f>
        <v>0</v>
      </c>
      <c r="AD79" s="55" t="n">
        <f aca="false">ROUND(MAX(0,AD78+AE78-AH78),2)</f>
        <v>0</v>
      </c>
      <c r="AE79" s="55" t="n">
        <f aca="false">ROUND(AD79*$E$10/12,2)</f>
        <v>0</v>
      </c>
      <c r="AF79" s="55" t="n">
        <f aca="false">MIN($F$10,AD79+AE79)</f>
        <v>0</v>
      </c>
      <c r="AG79" s="55" t="n">
        <f aca="false">MAX(0,MIN(AD79+AE79-AF79,$D79-(H79+M79+R79+W79+AB79)))</f>
        <v>0</v>
      </c>
      <c r="AH79" s="55" t="n">
        <f aca="false">AF79+AG79</f>
        <v>0</v>
      </c>
      <c r="AI79" s="55" t="n">
        <f aca="false">ROUND(MAX(0,AI78+AJ78-AM78),2)</f>
        <v>0</v>
      </c>
      <c r="AJ79" s="55" t="n">
        <f aca="false">ROUND(AI79*$E$11/12,2)</f>
        <v>0</v>
      </c>
      <c r="AK79" s="55" t="n">
        <f aca="false">MIN($F$11,AI79+AJ79)</f>
        <v>0</v>
      </c>
      <c r="AL79" s="55" t="n">
        <f aca="false">MAX(0,MIN(AI79+AJ79-AK79,$D79-(H79+M79+R79+W79+AB79+AG79)))</f>
        <v>0</v>
      </c>
      <c r="AM79" s="55" t="n">
        <f aca="false">AK79+AL79</f>
        <v>0</v>
      </c>
      <c r="AN79" s="55" t="n">
        <f aca="false">ROUND(MAX(0,AN78+AO78-AR78),2)</f>
        <v>0</v>
      </c>
      <c r="AO79" s="55" t="n">
        <f aca="false">ROUND(AN79*$E$12/12,2)</f>
        <v>0</v>
      </c>
      <c r="AP79" s="55" t="n">
        <f aca="false">MIN($F$12,AN79+AO79)</f>
        <v>0</v>
      </c>
      <c r="AQ79" s="55" t="n">
        <f aca="false">MAX(0,MIN(AN79+AO79-AP79,$D79-(H79+M79+R79+W79+AB79+AG79+AL79)))</f>
        <v>0</v>
      </c>
      <c r="AR79" s="55" t="n">
        <f aca="false">AP79+AQ79</f>
        <v>0</v>
      </c>
      <c r="AS79" s="55" t="n">
        <f aca="false">ROUND(MAX(0,AS78+AT78-AW78),2)</f>
        <v>0</v>
      </c>
      <c r="AT79" s="55" t="n">
        <f aca="false">ROUND(AS79*$E$13/12,2)</f>
        <v>0</v>
      </c>
      <c r="AU79" s="55" t="n">
        <f aca="false">MIN($F$13,AS79+AT79)</f>
        <v>0</v>
      </c>
      <c r="AV79" s="55" t="n">
        <f aca="false">MAX(0,MIN(AS79+AT79-AU79,$D79-(H79+M79+R79+W79+AB79+AG79+AL79+AQ79)))</f>
        <v>0</v>
      </c>
      <c r="AW79" s="55" t="n">
        <f aca="false">AU79+AV79</f>
        <v>0</v>
      </c>
      <c r="AX79" s="55" t="n">
        <f aca="false">ROUND(MAX(0,AX78+AY78-BB78),2)</f>
        <v>0</v>
      </c>
      <c r="AY79" s="55" t="n">
        <f aca="false">ROUND(AX79*$E$14/12,2)</f>
        <v>0</v>
      </c>
      <c r="AZ79" s="55" t="n">
        <f aca="false">MIN($F$14,AX79+AY79)</f>
        <v>0</v>
      </c>
      <c r="BA79" s="55" t="n">
        <f aca="false">MAX(0,MIN(AX79+AY79-AZ79,$D79-(H79+M79+R79+W79+AB79+AG79+AL79+AQ79+AV79)))</f>
        <v>0</v>
      </c>
      <c r="BB79" s="55" t="n">
        <f aca="false">AZ79+BA79</f>
        <v>0</v>
      </c>
      <c r="BC79" s="55" t="n">
        <f aca="false">I79+N79+S79+X79+AC79+AH79+AM79+AR79+AW79+BB79</f>
        <v>0</v>
      </c>
      <c r="BD79" s="55" t="n">
        <f aca="false">ROUND((E79+F79-I79)+(J79+K79-N79)+(O79+P79-S79)+(T79+U79-X79)+(Y79+Z79-AC79)+(AD79+AE79-AH79)+(AI79+AJ79-AM79)+(AN79+AO79-AR79)+(AS79+AT79-AW79)+(AX79+AY79-BB79),2)</f>
        <v>0</v>
      </c>
      <c r="BE79" s="25" t="str">
        <f aca="false">IF(H79&gt;0.005,$C$5,IF(M79&gt;0.005,$C$6,IF(R79&gt;0.005,$C$7,IF(W79&gt;0.005,$C$8,IF(AB79&gt;0.005,$C$9,IF(AG79&gt;0.005,$C$10,IF(AL79&gt;0.005,$C$11,IF(AQ79&gt;0.005,$C$12,IF(AV79&gt;0.005,$C$13,IF(BA79&gt;0.005,$C$14,""))))))))))</f>
        <v/>
      </c>
    </row>
    <row r="80" customFormat="false" ht="15" hidden="false" customHeight="false" outlineLevel="0" collapsed="false">
      <c r="A80" s="24" t="n">
        <v>57</v>
      </c>
      <c r="B80" s="54" t="n">
        <f aca="false">EDATE($C$17,A80-1)</f>
        <v>48030</v>
      </c>
      <c r="C80" s="55" t="n">
        <f aca="false">G80+L80+Q80+V80+AA80+AF80+AK80+AP80+AU80+AZ80</f>
        <v>0</v>
      </c>
      <c r="D80" s="55" t="n">
        <f aca="false">MAX(0,$C$16-C80)</f>
        <v>5822</v>
      </c>
      <c r="E80" s="55" t="n">
        <f aca="false">ROUND(MAX(0,E79+F79-I79),2)</f>
        <v>0</v>
      </c>
      <c r="F80" s="55" t="n">
        <f aca="false">ROUND(E80*$E$5/12,2)</f>
        <v>0</v>
      </c>
      <c r="G80" s="55" t="n">
        <f aca="false">MIN($F$5,E80+F80)</f>
        <v>0</v>
      </c>
      <c r="H80" s="55" t="n">
        <f aca="false">MAX(0,MIN(E80+F80-G80,$D80))</f>
        <v>0</v>
      </c>
      <c r="I80" s="55" t="n">
        <f aca="false">G80+H80</f>
        <v>0</v>
      </c>
      <c r="J80" s="55" t="n">
        <f aca="false">ROUND(MAX(0,J79+K79-N79),2)</f>
        <v>0</v>
      </c>
      <c r="K80" s="55" t="n">
        <f aca="false">ROUND(J80*$E$6/12,2)</f>
        <v>0</v>
      </c>
      <c r="L80" s="55" t="n">
        <f aca="false">MIN($F$6,J80+K80)</f>
        <v>0</v>
      </c>
      <c r="M80" s="55" t="n">
        <f aca="false">MAX(0,MIN(J80+K80-L80,$D80-(H80)))</f>
        <v>0</v>
      </c>
      <c r="N80" s="55" t="n">
        <f aca="false">L80+M80</f>
        <v>0</v>
      </c>
      <c r="O80" s="55" t="n">
        <f aca="false">ROUND(MAX(0,O79+P79-S79),2)</f>
        <v>0</v>
      </c>
      <c r="P80" s="55" t="n">
        <f aca="false">ROUND(O80*$E$7/12,2)</f>
        <v>0</v>
      </c>
      <c r="Q80" s="55" t="n">
        <f aca="false">MIN($F$7,O80+P80)</f>
        <v>0</v>
      </c>
      <c r="R80" s="55" t="n">
        <f aca="false">MAX(0,MIN(O80+P80-Q80,$D80-(H80+M80)))</f>
        <v>0</v>
      </c>
      <c r="S80" s="55" t="n">
        <f aca="false">Q80+R80</f>
        <v>0</v>
      </c>
      <c r="T80" s="55" t="n">
        <f aca="false">ROUND(MAX(0,T79+U79-X79),2)</f>
        <v>0</v>
      </c>
      <c r="U80" s="55" t="n">
        <f aca="false">ROUND(T80*$E$8/12,2)</f>
        <v>0</v>
      </c>
      <c r="V80" s="55" t="n">
        <f aca="false">MIN($F$8,T80+U80)</f>
        <v>0</v>
      </c>
      <c r="W80" s="55" t="n">
        <f aca="false">MAX(0,MIN(T80+U80-V80,$D80-(H80+M80+R80)))</f>
        <v>0</v>
      </c>
      <c r="X80" s="55" t="n">
        <f aca="false">V80+W80</f>
        <v>0</v>
      </c>
      <c r="Y80" s="55" t="n">
        <f aca="false">ROUND(MAX(0,Y79+Z79-AC79),2)</f>
        <v>0</v>
      </c>
      <c r="Z80" s="55" t="n">
        <f aca="false">ROUND(Y80*$E$9/12,2)</f>
        <v>0</v>
      </c>
      <c r="AA80" s="55" t="n">
        <f aca="false">MIN($F$9,Y80+Z80)</f>
        <v>0</v>
      </c>
      <c r="AB80" s="55" t="n">
        <f aca="false">MAX(0,MIN(Y80+Z80-AA80,$D80-(H80+M80+R80+W80)))</f>
        <v>0</v>
      </c>
      <c r="AC80" s="55" t="n">
        <f aca="false">AA80+AB80</f>
        <v>0</v>
      </c>
      <c r="AD80" s="55" t="n">
        <f aca="false">ROUND(MAX(0,AD79+AE79-AH79),2)</f>
        <v>0</v>
      </c>
      <c r="AE80" s="55" t="n">
        <f aca="false">ROUND(AD80*$E$10/12,2)</f>
        <v>0</v>
      </c>
      <c r="AF80" s="55" t="n">
        <f aca="false">MIN($F$10,AD80+AE80)</f>
        <v>0</v>
      </c>
      <c r="AG80" s="55" t="n">
        <f aca="false">MAX(0,MIN(AD80+AE80-AF80,$D80-(H80+M80+R80+W80+AB80)))</f>
        <v>0</v>
      </c>
      <c r="AH80" s="55" t="n">
        <f aca="false">AF80+AG80</f>
        <v>0</v>
      </c>
      <c r="AI80" s="55" t="n">
        <f aca="false">ROUND(MAX(0,AI79+AJ79-AM79),2)</f>
        <v>0</v>
      </c>
      <c r="AJ80" s="55" t="n">
        <f aca="false">ROUND(AI80*$E$11/12,2)</f>
        <v>0</v>
      </c>
      <c r="AK80" s="55" t="n">
        <f aca="false">MIN($F$11,AI80+AJ80)</f>
        <v>0</v>
      </c>
      <c r="AL80" s="55" t="n">
        <f aca="false">MAX(0,MIN(AI80+AJ80-AK80,$D80-(H80+M80+R80+W80+AB80+AG80)))</f>
        <v>0</v>
      </c>
      <c r="AM80" s="55" t="n">
        <f aca="false">AK80+AL80</f>
        <v>0</v>
      </c>
      <c r="AN80" s="55" t="n">
        <f aca="false">ROUND(MAX(0,AN79+AO79-AR79),2)</f>
        <v>0</v>
      </c>
      <c r="AO80" s="55" t="n">
        <f aca="false">ROUND(AN80*$E$12/12,2)</f>
        <v>0</v>
      </c>
      <c r="AP80" s="55" t="n">
        <f aca="false">MIN($F$12,AN80+AO80)</f>
        <v>0</v>
      </c>
      <c r="AQ80" s="55" t="n">
        <f aca="false">MAX(0,MIN(AN80+AO80-AP80,$D80-(H80+M80+R80+W80+AB80+AG80+AL80)))</f>
        <v>0</v>
      </c>
      <c r="AR80" s="55" t="n">
        <f aca="false">AP80+AQ80</f>
        <v>0</v>
      </c>
      <c r="AS80" s="55" t="n">
        <f aca="false">ROUND(MAX(0,AS79+AT79-AW79),2)</f>
        <v>0</v>
      </c>
      <c r="AT80" s="55" t="n">
        <f aca="false">ROUND(AS80*$E$13/12,2)</f>
        <v>0</v>
      </c>
      <c r="AU80" s="55" t="n">
        <f aca="false">MIN($F$13,AS80+AT80)</f>
        <v>0</v>
      </c>
      <c r="AV80" s="55" t="n">
        <f aca="false">MAX(0,MIN(AS80+AT80-AU80,$D80-(H80+M80+R80+W80+AB80+AG80+AL80+AQ80)))</f>
        <v>0</v>
      </c>
      <c r="AW80" s="55" t="n">
        <f aca="false">AU80+AV80</f>
        <v>0</v>
      </c>
      <c r="AX80" s="55" t="n">
        <f aca="false">ROUND(MAX(0,AX79+AY79-BB79),2)</f>
        <v>0</v>
      </c>
      <c r="AY80" s="55" t="n">
        <f aca="false">ROUND(AX80*$E$14/12,2)</f>
        <v>0</v>
      </c>
      <c r="AZ80" s="55" t="n">
        <f aca="false">MIN($F$14,AX80+AY80)</f>
        <v>0</v>
      </c>
      <c r="BA80" s="55" t="n">
        <f aca="false">MAX(0,MIN(AX80+AY80-AZ80,$D80-(H80+M80+R80+W80+AB80+AG80+AL80+AQ80+AV80)))</f>
        <v>0</v>
      </c>
      <c r="BB80" s="55" t="n">
        <f aca="false">AZ80+BA80</f>
        <v>0</v>
      </c>
      <c r="BC80" s="55" t="n">
        <f aca="false">I80+N80+S80+X80+AC80+AH80+AM80+AR80+AW80+BB80</f>
        <v>0</v>
      </c>
      <c r="BD80" s="55" t="n">
        <f aca="false">ROUND((E80+F80-I80)+(J80+K80-N80)+(O80+P80-S80)+(T80+U80-X80)+(Y80+Z80-AC80)+(AD80+AE80-AH80)+(AI80+AJ80-AM80)+(AN80+AO80-AR80)+(AS80+AT80-AW80)+(AX80+AY80-BB80),2)</f>
        <v>0</v>
      </c>
      <c r="BE80" s="25" t="str">
        <f aca="false">IF(H80&gt;0.005,$C$5,IF(M80&gt;0.005,$C$6,IF(R80&gt;0.005,$C$7,IF(W80&gt;0.005,$C$8,IF(AB80&gt;0.005,$C$9,IF(AG80&gt;0.005,$C$10,IF(AL80&gt;0.005,$C$11,IF(AQ80&gt;0.005,$C$12,IF(AV80&gt;0.005,$C$13,IF(BA80&gt;0.005,$C$14,""))))))))))</f>
        <v/>
      </c>
    </row>
    <row r="81" customFormat="false" ht="15" hidden="false" customHeight="false" outlineLevel="0" collapsed="false">
      <c r="A81" s="24" t="n">
        <v>58</v>
      </c>
      <c r="B81" s="54" t="n">
        <f aca="false">EDATE($C$17,A81-1)</f>
        <v>48061</v>
      </c>
      <c r="C81" s="55" t="n">
        <f aca="false">G81+L81+Q81+V81+AA81+AF81+AK81+AP81+AU81+AZ81</f>
        <v>0</v>
      </c>
      <c r="D81" s="55" t="n">
        <f aca="false">MAX(0,$C$16-C81)</f>
        <v>5822</v>
      </c>
      <c r="E81" s="55" t="n">
        <f aca="false">ROUND(MAX(0,E80+F80-I80),2)</f>
        <v>0</v>
      </c>
      <c r="F81" s="55" t="n">
        <f aca="false">ROUND(E81*$E$5/12,2)</f>
        <v>0</v>
      </c>
      <c r="G81" s="55" t="n">
        <f aca="false">MIN($F$5,E81+F81)</f>
        <v>0</v>
      </c>
      <c r="H81" s="55" t="n">
        <f aca="false">MAX(0,MIN(E81+F81-G81,$D81))</f>
        <v>0</v>
      </c>
      <c r="I81" s="55" t="n">
        <f aca="false">G81+H81</f>
        <v>0</v>
      </c>
      <c r="J81" s="55" t="n">
        <f aca="false">ROUND(MAX(0,J80+K80-N80),2)</f>
        <v>0</v>
      </c>
      <c r="K81" s="55" t="n">
        <f aca="false">ROUND(J81*$E$6/12,2)</f>
        <v>0</v>
      </c>
      <c r="L81" s="55" t="n">
        <f aca="false">MIN($F$6,J81+K81)</f>
        <v>0</v>
      </c>
      <c r="M81" s="55" t="n">
        <f aca="false">MAX(0,MIN(J81+K81-L81,$D81-(H81)))</f>
        <v>0</v>
      </c>
      <c r="N81" s="55" t="n">
        <f aca="false">L81+M81</f>
        <v>0</v>
      </c>
      <c r="O81" s="55" t="n">
        <f aca="false">ROUND(MAX(0,O80+P80-S80),2)</f>
        <v>0</v>
      </c>
      <c r="P81" s="55" t="n">
        <f aca="false">ROUND(O81*$E$7/12,2)</f>
        <v>0</v>
      </c>
      <c r="Q81" s="55" t="n">
        <f aca="false">MIN($F$7,O81+P81)</f>
        <v>0</v>
      </c>
      <c r="R81" s="55" t="n">
        <f aca="false">MAX(0,MIN(O81+P81-Q81,$D81-(H81+M81)))</f>
        <v>0</v>
      </c>
      <c r="S81" s="55" t="n">
        <f aca="false">Q81+R81</f>
        <v>0</v>
      </c>
      <c r="T81" s="55" t="n">
        <f aca="false">ROUND(MAX(0,T80+U80-X80),2)</f>
        <v>0</v>
      </c>
      <c r="U81" s="55" t="n">
        <f aca="false">ROUND(T81*$E$8/12,2)</f>
        <v>0</v>
      </c>
      <c r="V81" s="55" t="n">
        <f aca="false">MIN($F$8,T81+U81)</f>
        <v>0</v>
      </c>
      <c r="W81" s="55" t="n">
        <f aca="false">MAX(0,MIN(T81+U81-V81,$D81-(H81+M81+R81)))</f>
        <v>0</v>
      </c>
      <c r="X81" s="55" t="n">
        <f aca="false">V81+W81</f>
        <v>0</v>
      </c>
      <c r="Y81" s="55" t="n">
        <f aca="false">ROUND(MAX(0,Y80+Z80-AC80),2)</f>
        <v>0</v>
      </c>
      <c r="Z81" s="55" t="n">
        <f aca="false">ROUND(Y81*$E$9/12,2)</f>
        <v>0</v>
      </c>
      <c r="AA81" s="55" t="n">
        <f aca="false">MIN($F$9,Y81+Z81)</f>
        <v>0</v>
      </c>
      <c r="AB81" s="55" t="n">
        <f aca="false">MAX(0,MIN(Y81+Z81-AA81,$D81-(H81+M81+R81+W81)))</f>
        <v>0</v>
      </c>
      <c r="AC81" s="55" t="n">
        <f aca="false">AA81+AB81</f>
        <v>0</v>
      </c>
      <c r="AD81" s="55" t="n">
        <f aca="false">ROUND(MAX(0,AD80+AE80-AH80),2)</f>
        <v>0</v>
      </c>
      <c r="AE81" s="55" t="n">
        <f aca="false">ROUND(AD81*$E$10/12,2)</f>
        <v>0</v>
      </c>
      <c r="AF81" s="55" t="n">
        <f aca="false">MIN($F$10,AD81+AE81)</f>
        <v>0</v>
      </c>
      <c r="AG81" s="55" t="n">
        <f aca="false">MAX(0,MIN(AD81+AE81-AF81,$D81-(H81+M81+R81+W81+AB81)))</f>
        <v>0</v>
      </c>
      <c r="AH81" s="55" t="n">
        <f aca="false">AF81+AG81</f>
        <v>0</v>
      </c>
      <c r="AI81" s="55" t="n">
        <f aca="false">ROUND(MAX(0,AI80+AJ80-AM80),2)</f>
        <v>0</v>
      </c>
      <c r="AJ81" s="55" t="n">
        <f aca="false">ROUND(AI81*$E$11/12,2)</f>
        <v>0</v>
      </c>
      <c r="AK81" s="55" t="n">
        <f aca="false">MIN($F$11,AI81+AJ81)</f>
        <v>0</v>
      </c>
      <c r="AL81" s="55" t="n">
        <f aca="false">MAX(0,MIN(AI81+AJ81-AK81,$D81-(H81+M81+R81+W81+AB81+AG81)))</f>
        <v>0</v>
      </c>
      <c r="AM81" s="55" t="n">
        <f aca="false">AK81+AL81</f>
        <v>0</v>
      </c>
      <c r="AN81" s="55" t="n">
        <f aca="false">ROUND(MAX(0,AN80+AO80-AR80),2)</f>
        <v>0</v>
      </c>
      <c r="AO81" s="55" t="n">
        <f aca="false">ROUND(AN81*$E$12/12,2)</f>
        <v>0</v>
      </c>
      <c r="AP81" s="55" t="n">
        <f aca="false">MIN($F$12,AN81+AO81)</f>
        <v>0</v>
      </c>
      <c r="AQ81" s="55" t="n">
        <f aca="false">MAX(0,MIN(AN81+AO81-AP81,$D81-(H81+M81+R81+W81+AB81+AG81+AL81)))</f>
        <v>0</v>
      </c>
      <c r="AR81" s="55" t="n">
        <f aca="false">AP81+AQ81</f>
        <v>0</v>
      </c>
      <c r="AS81" s="55" t="n">
        <f aca="false">ROUND(MAX(0,AS80+AT80-AW80),2)</f>
        <v>0</v>
      </c>
      <c r="AT81" s="55" t="n">
        <f aca="false">ROUND(AS81*$E$13/12,2)</f>
        <v>0</v>
      </c>
      <c r="AU81" s="55" t="n">
        <f aca="false">MIN($F$13,AS81+AT81)</f>
        <v>0</v>
      </c>
      <c r="AV81" s="55" t="n">
        <f aca="false">MAX(0,MIN(AS81+AT81-AU81,$D81-(H81+M81+R81+W81+AB81+AG81+AL81+AQ81)))</f>
        <v>0</v>
      </c>
      <c r="AW81" s="55" t="n">
        <f aca="false">AU81+AV81</f>
        <v>0</v>
      </c>
      <c r="AX81" s="55" t="n">
        <f aca="false">ROUND(MAX(0,AX80+AY80-BB80),2)</f>
        <v>0</v>
      </c>
      <c r="AY81" s="55" t="n">
        <f aca="false">ROUND(AX81*$E$14/12,2)</f>
        <v>0</v>
      </c>
      <c r="AZ81" s="55" t="n">
        <f aca="false">MIN($F$14,AX81+AY81)</f>
        <v>0</v>
      </c>
      <c r="BA81" s="55" t="n">
        <f aca="false">MAX(0,MIN(AX81+AY81-AZ81,$D81-(H81+M81+R81+W81+AB81+AG81+AL81+AQ81+AV81)))</f>
        <v>0</v>
      </c>
      <c r="BB81" s="55" t="n">
        <f aca="false">AZ81+BA81</f>
        <v>0</v>
      </c>
      <c r="BC81" s="55" t="n">
        <f aca="false">I81+N81+S81+X81+AC81+AH81+AM81+AR81+AW81+BB81</f>
        <v>0</v>
      </c>
      <c r="BD81" s="55" t="n">
        <f aca="false">ROUND((E81+F81-I81)+(J81+K81-N81)+(O81+P81-S81)+(T81+U81-X81)+(Y81+Z81-AC81)+(AD81+AE81-AH81)+(AI81+AJ81-AM81)+(AN81+AO81-AR81)+(AS81+AT81-AW81)+(AX81+AY81-BB81),2)</f>
        <v>0</v>
      </c>
      <c r="BE81" s="25" t="str">
        <f aca="false">IF(H81&gt;0.005,$C$5,IF(M81&gt;0.005,$C$6,IF(R81&gt;0.005,$C$7,IF(W81&gt;0.005,$C$8,IF(AB81&gt;0.005,$C$9,IF(AG81&gt;0.005,$C$10,IF(AL81&gt;0.005,$C$11,IF(AQ81&gt;0.005,$C$12,IF(AV81&gt;0.005,$C$13,IF(BA81&gt;0.005,$C$14,""))))))))))</f>
        <v/>
      </c>
    </row>
    <row r="82" customFormat="false" ht="15" hidden="false" customHeight="false" outlineLevel="0" collapsed="false">
      <c r="A82" s="24" t="n">
        <v>59</v>
      </c>
      <c r="B82" s="54" t="n">
        <f aca="false">EDATE($C$17,A82-1)</f>
        <v>48092</v>
      </c>
      <c r="C82" s="55" t="n">
        <f aca="false">G82+L82+Q82+V82+AA82+AF82+AK82+AP82+AU82+AZ82</f>
        <v>0</v>
      </c>
      <c r="D82" s="55" t="n">
        <f aca="false">MAX(0,$C$16-C82)</f>
        <v>5822</v>
      </c>
      <c r="E82" s="55" t="n">
        <f aca="false">ROUND(MAX(0,E81+F81-I81),2)</f>
        <v>0</v>
      </c>
      <c r="F82" s="55" t="n">
        <f aca="false">ROUND(E82*$E$5/12,2)</f>
        <v>0</v>
      </c>
      <c r="G82" s="55" t="n">
        <f aca="false">MIN($F$5,E82+F82)</f>
        <v>0</v>
      </c>
      <c r="H82" s="55" t="n">
        <f aca="false">MAX(0,MIN(E82+F82-G82,$D82))</f>
        <v>0</v>
      </c>
      <c r="I82" s="55" t="n">
        <f aca="false">G82+H82</f>
        <v>0</v>
      </c>
      <c r="J82" s="55" t="n">
        <f aca="false">ROUND(MAX(0,J81+K81-N81),2)</f>
        <v>0</v>
      </c>
      <c r="K82" s="55" t="n">
        <f aca="false">ROUND(J82*$E$6/12,2)</f>
        <v>0</v>
      </c>
      <c r="L82" s="55" t="n">
        <f aca="false">MIN($F$6,J82+K82)</f>
        <v>0</v>
      </c>
      <c r="M82" s="55" t="n">
        <f aca="false">MAX(0,MIN(J82+K82-L82,$D82-(H82)))</f>
        <v>0</v>
      </c>
      <c r="N82" s="55" t="n">
        <f aca="false">L82+M82</f>
        <v>0</v>
      </c>
      <c r="O82" s="55" t="n">
        <f aca="false">ROUND(MAX(0,O81+P81-S81),2)</f>
        <v>0</v>
      </c>
      <c r="P82" s="55" t="n">
        <f aca="false">ROUND(O82*$E$7/12,2)</f>
        <v>0</v>
      </c>
      <c r="Q82" s="55" t="n">
        <f aca="false">MIN($F$7,O82+P82)</f>
        <v>0</v>
      </c>
      <c r="R82" s="55" t="n">
        <f aca="false">MAX(0,MIN(O82+P82-Q82,$D82-(H82+M82)))</f>
        <v>0</v>
      </c>
      <c r="S82" s="55" t="n">
        <f aca="false">Q82+R82</f>
        <v>0</v>
      </c>
      <c r="T82" s="55" t="n">
        <f aca="false">ROUND(MAX(0,T81+U81-X81),2)</f>
        <v>0</v>
      </c>
      <c r="U82" s="55" t="n">
        <f aca="false">ROUND(T82*$E$8/12,2)</f>
        <v>0</v>
      </c>
      <c r="V82" s="55" t="n">
        <f aca="false">MIN($F$8,T82+U82)</f>
        <v>0</v>
      </c>
      <c r="W82" s="55" t="n">
        <f aca="false">MAX(0,MIN(T82+U82-V82,$D82-(H82+M82+R82)))</f>
        <v>0</v>
      </c>
      <c r="X82" s="55" t="n">
        <f aca="false">V82+W82</f>
        <v>0</v>
      </c>
      <c r="Y82" s="55" t="n">
        <f aca="false">ROUND(MAX(0,Y81+Z81-AC81),2)</f>
        <v>0</v>
      </c>
      <c r="Z82" s="55" t="n">
        <f aca="false">ROUND(Y82*$E$9/12,2)</f>
        <v>0</v>
      </c>
      <c r="AA82" s="55" t="n">
        <f aca="false">MIN($F$9,Y82+Z82)</f>
        <v>0</v>
      </c>
      <c r="AB82" s="55" t="n">
        <f aca="false">MAX(0,MIN(Y82+Z82-AA82,$D82-(H82+M82+R82+W82)))</f>
        <v>0</v>
      </c>
      <c r="AC82" s="55" t="n">
        <f aca="false">AA82+AB82</f>
        <v>0</v>
      </c>
      <c r="AD82" s="55" t="n">
        <f aca="false">ROUND(MAX(0,AD81+AE81-AH81),2)</f>
        <v>0</v>
      </c>
      <c r="AE82" s="55" t="n">
        <f aca="false">ROUND(AD82*$E$10/12,2)</f>
        <v>0</v>
      </c>
      <c r="AF82" s="55" t="n">
        <f aca="false">MIN($F$10,AD82+AE82)</f>
        <v>0</v>
      </c>
      <c r="AG82" s="55" t="n">
        <f aca="false">MAX(0,MIN(AD82+AE82-AF82,$D82-(H82+M82+R82+W82+AB82)))</f>
        <v>0</v>
      </c>
      <c r="AH82" s="55" t="n">
        <f aca="false">AF82+AG82</f>
        <v>0</v>
      </c>
      <c r="AI82" s="55" t="n">
        <f aca="false">ROUND(MAX(0,AI81+AJ81-AM81),2)</f>
        <v>0</v>
      </c>
      <c r="AJ82" s="55" t="n">
        <f aca="false">ROUND(AI82*$E$11/12,2)</f>
        <v>0</v>
      </c>
      <c r="AK82" s="55" t="n">
        <f aca="false">MIN($F$11,AI82+AJ82)</f>
        <v>0</v>
      </c>
      <c r="AL82" s="55" t="n">
        <f aca="false">MAX(0,MIN(AI82+AJ82-AK82,$D82-(H82+M82+R82+W82+AB82+AG82)))</f>
        <v>0</v>
      </c>
      <c r="AM82" s="55" t="n">
        <f aca="false">AK82+AL82</f>
        <v>0</v>
      </c>
      <c r="AN82" s="55" t="n">
        <f aca="false">ROUND(MAX(0,AN81+AO81-AR81),2)</f>
        <v>0</v>
      </c>
      <c r="AO82" s="55" t="n">
        <f aca="false">ROUND(AN82*$E$12/12,2)</f>
        <v>0</v>
      </c>
      <c r="AP82" s="55" t="n">
        <f aca="false">MIN($F$12,AN82+AO82)</f>
        <v>0</v>
      </c>
      <c r="AQ82" s="55" t="n">
        <f aca="false">MAX(0,MIN(AN82+AO82-AP82,$D82-(H82+M82+R82+W82+AB82+AG82+AL82)))</f>
        <v>0</v>
      </c>
      <c r="AR82" s="55" t="n">
        <f aca="false">AP82+AQ82</f>
        <v>0</v>
      </c>
      <c r="AS82" s="55" t="n">
        <f aca="false">ROUND(MAX(0,AS81+AT81-AW81),2)</f>
        <v>0</v>
      </c>
      <c r="AT82" s="55" t="n">
        <f aca="false">ROUND(AS82*$E$13/12,2)</f>
        <v>0</v>
      </c>
      <c r="AU82" s="55" t="n">
        <f aca="false">MIN($F$13,AS82+AT82)</f>
        <v>0</v>
      </c>
      <c r="AV82" s="55" t="n">
        <f aca="false">MAX(0,MIN(AS82+AT82-AU82,$D82-(H82+M82+R82+W82+AB82+AG82+AL82+AQ82)))</f>
        <v>0</v>
      </c>
      <c r="AW82" s="55" t="n">
        <f aca="false">AU82+AV82</f>
        <v>0</v>
      </c>
      <c r="AX82" s="55" t="n">
        <f aca="false">ROUND(MAX(0,AX81+AY81-BB81),2)</f>
        <v>0</v>
      </c>
      <c r="AY82" s="55" t="n">
        <f aca="false">ROUND(AX82*$E$14/12,2)</f>
        <v>0</v>
      </c>
      <c r="AZ82" s="55" t="n">
        <f aca="false">MIN($F$14,AX82+AY82)</f>
        <v>0</v>
      </c>
      <c r="BA82" s="55" t="n">
        <f aca="false">MAX(0,MIN(AX82+AY82-AZ82,$D82-(H82+M82+R82+W82+AB82+AG82+AL82+AQ82+AV82)))</f>
        <v>0</v>
      </c>
      <c r="BB82" s="55" t="n">
        <f aca="false">AZ82+BA82</f>
        <v>0</v>
      </c>
      <c r="BC82" s="55" t="n">
        <f aca="false">I82+N82+S82+X82+AC82+AH82+AM82+AR82+AW82+BB82</f>
        <v>0</v>
      </c>
      <c r="BD82" s="55" t="n">
        <f aca="false">ROUND((E82+F82-I82)+(J82+K82-N82)+(O82+P82-S82)+(T82+U82-X82)+(Y82+Z82-AC82)+(AD82+AE82-AH82)+(AI82+AJ82-AM82)+(AN82+AO82-AR82)+(AS82+AT82-AW82)+(AX82+AY82-BB82),2)</f>
        <v>0</v>
      </c>
      <c r="BE82" s="25" t="str">
        <f aca="false">IF(H82&gt;0.005,$C$5,IF(M82&gt;0.005,$C$6,IF(R82&gt;0.005,$C$7,IF(W82&gt;0.005,$C$8,IF(AB82&gt;0.005,$C$9,IF(AG82&gt;0.005,$C$10,IF(AL82&gt;0.005,$C$11,IF(AQ82&gt;0.005,$C$12,IF(AV82&gt;0.005,$C$13,IF(BA82&gt;0.005,$C$14,""))))))))))</f>
        <v/>
      </c>
    </row>
    <row r="83" customFormat="false" ht="15" hidden="false" customHeight="false" outlineLevel="0" collapsed="false">
      <c r="A83" s="24" t="n">
        <v>60</v>
      </c>
      <c r="B83" s="54" t="n">
        <f aca="false">EDATE($C$17,A83-1)</f>
        <v>48122</v>
      </c>
      <c r="C83" s="55" t="n">
        <f aca="false">G83+L83+Q83+V83+AA83+AF83+AK83+AP83+AU83+AZ83</f>
        <v>0</v>
      </c>
      <c r="D83" s="55" t="n">
        <f aca="false">MAX(0,$C$16-C83)</f>
        <v>5822</v>
      </c>
      <c r="E83" s="55" t="n">
        <f aca="false">ROUND(MAX(0,E82+F82-I82),2)</f>
        <v>0</v>
      </c>
      <c r="F83" s="55" t="n">
        <f aca="false">ROUND(E83*$E$5/12,2)</f>
        <v>0</v>
      </c>
      <c r="G83" s="55" t="n">
        <f aca="false">MIN($F$5,E83+F83)</f>
        <v>0</v>
      </c>
      <c r="H83" s="55" t="n">
        <f aca="false">MAX(0,MIN(E83+F83-G83,$D83))</f>
        <v>0</v>
      </c>
      <c r="I83" s="55" t="n">
        <f aca="false">G83+H83</f>
        <v>0</v>
      </c>
      <c r="J83" s="55" t="n">
        <f aca="false">ROUND(MAX(0,J82+K82-N82),2)</f>
        <v>0</v>
      </c>
      <c r="K83" s="55" t="n">
        <f aca="false">ROUND(J83*$E$6/12,2)</f>
        <v>0</v>
      </c>
      <c r="L83" s="55" t="n">
        <f aca="false">MIN($F$6,J83+K83)</f>
        <v>0</v>
      </c>
      <c r="M83" s="55" t="n">
        <f aca="false">MAX(0,MIN(J83+K83-L83,$D83-(H83)))</f>
        <v>0</v>
      </c>
      <c r="N83" s="55" t="n">
        <f aca="false">L83+M83</f>
        <v>0</v>
      </c>
      <c r="O83" s="55" t="n">
        <f aca="false">ROUND(MAX(0,O82+P82-S82),2)</f>
        <v>0</v>
      </c>
      <c r="P83" s="55" t="n">
        <f aca="false">ROUND(O83*$E$7/12,2)</f>
        <v>0</v>
      </c>
      <c r="Q83" s="55" t="n">
        <f aca="false">MIN($F$7,O83+P83)</f>
        <v>0</v>
      </c>
      <c r="R83" s="55" t="n">
        <f aca="false">MAX(0,MIN(O83+P83-Q83,$D83-(H83+M83)))</f>
        <v>0</v>
      </c>
      <c r="S83" s="55" t="n">
        <f aca="false">Q83+R83</f>
        <v>0</v>
      </c>
      <c r="T83" s="55" t="n">
        <f aca="false">ROUND(MAX(0,T82+U82-X82),2)</f>
        <v>0</v>
      </c>
      <c r="U83" s="55" t="n">
        <f aca="false">ROUND(T83*$E$8/12,2)</f>
        <v>0</v>
      </c>
      <c r="V83" s="55" t="n">
        <f aca="false">MIN($F$8,T83+U83)</f>
        <v>0</v>
      </c>
      <c r="W83" s="55" t="n">
        <f aca="false">MAX(0,MIN(T83+U83-V83,$D83-(H83+M83+R83)))</f>
        <v>0</v>
      </c>
      <c r="X83" s="55" t="n">
        <f aca="false">V83+W83</f>
        <v>0</v>
      </c>
      <c r="Y83" s="55" t="n">
        <f aca="false">ROUND(MAX(0,Y82+Z82-AC82),2)</f>
        <v>0</v>
      </c>
      <c r="Z83" s="55" t="n">
        <f aca="false">ROUND(Y83*$E$9/12,2)</f>
        <v>0</v>
      </c>
      <c r="AA83" s="55" t="n">
        <f aca="false">MIN($F$9,Y83+Z83)</f>
        <v>0</v>
      </c>
      <c r="AB83" s="55" t="n">
        <f aca="false">MAX(0,MIN(Y83+Z83-AA83,$D83-(H83+M83+R83+W83)))</f>
        <v>0</v>
      </c>
      <c r="AC83" s="55" t="n">
        <f aca="false">AA83+AB83</f>
        <v>0</v>
      </c>
      <c r="AD83" s="55" t="n">
        <f aca="false">ROUND(MAX(0,AD82+AE82-AH82),2)</f>
        <v>0</v>
      </c>
      <c r="AE83" s="55" t="n">
        <f aca="false">ROUND(AD83*$E$10/12,2)</f>
        <v>0</v>
      </c>
      <c r="AF83" s="55" t="n">
        <f aca="false">MIN($F$10,AD83+AE83)</f>
        <v>0</v>
      </c>
      <c r="AG83" s="55" t="n">
        <f aca="false">MAX(0,MIN(AD83+AE83-AF83,$D83-(H83+M83+R83+W83+AB83)))</f>
        <v>0</v>
      </c>
      <c r="AH83" s="55" t="n">
        <f aca="false">AF83+AG83</f>
        <v>0</v>
      </c>
      <c r="AI83" s="55" t="n">
        <f aca="false">ROUND(MAX(0,AI82+AJ82-AM82),2)</f>
        <v>0</v>
      </c>
      <c r="AJ83" s="55" t="n">
        <f aca="false">ROUND(AI83*$E$11/12,2)</f>
        <v>0</v>
      </c>
      <c r="AK83" s="55" t="n">
        <f aca="false">MIN($F$11,AI83+AJ83)</f>
        <v>0</v>
      </c>
      <c r="AL83" s="55" t="n">
        <f aca="false">MAX(0,MIN(AI83+AJ83-AK83,$D83-(H83+M83+R83+W83+AB83+AG83)))</f>
        <v>0</v>
      </c>
      <c r="AM83" s="55" t="n">
        <f aca="false">AK83+AL83</f>
        <v>0</v>
      </c>
      <c r="AN83" s="55" t="n">
        <f aca="false">ROUND(MAX(0,AN82+AO82-AR82),2)</f>
        <v>0</v>
      </c>
      <c r="AO83" s="55" t="n">
        <f aca="false">ROUND(AN83*$E$12/12,2)</f>
        <v>0</v>
      </c>
      <c r="AP83" s="55" t="n">
        <f aca="false">MIN($F$12,AN83+AO83)</f>
        <v>0</v>
      </c>
      <c r="AQ83" s="55" t="n">
        <f aca="false">MAX(0,MIN(AN83+AO83-AP83,$D83-(H83+M83+R83+W83+AB83+AG83+AL83)))</f>
        <v>0</v>
      </c>
      <c r="AR83" s="55" t="n">
        <f aca="false">AP83+AQ83</f>
        <v>0</v>
      </c>
      <c r="AS83" s="55" t="n">
        <f aca="false">ROUND(MAX(0,AS82+AT82-AW82),2)</f>
        <v>0</v>
      </c>
      <c r="AT83" s="55" t="n">
        <f aca="false">ROUND(AS83*$E$13/12,2)</f>
        <v>0</v>
      </c>
      <c r="AU83" s="55" t="n">
        <f aca="false">MIN($F$13,AS83+AT83)</f>
        <v>0</v>
      </c>
      <c r="AV83" s="55" t="n">
        <f aca="false">MAX(0,MIN(AS83+AT83-AU83,$D83-(H83+M83+R83+W83+AB83+AG83+AL83+AQ83)))</f>
        <v>0</v>
      </c>
      <c r="AW83" s="55" t="n">
        <f aca="false">AU83+AV83</f>
        <v>0</v>
      </c>
      <c r="AX83" s="55" t="n">
        <f aca="false">ROUND(MAX(0,AX82+AY82-BB82),2)</f>
        <v>0</v>
      </c>
      <c r="AY83" s="55" t="n">
        <f aca="false">ROUND(AX83*$E$14/12,2)</f>
        <v>0</v>
      </c>
      <c r="AZ83" s="55" t="n">
        <f aca="false">MIN($F$14,AX83+AY83)</f>
        <v>0</v>
      </c>
      <c r="BA83" s="55" t="n">
        <f aca="false">MAX(0,MIN(AX83+AY83-AZ83,$D83-(H83+M83+R83+W83+AB83+AG83+AL83+AQ83+AV83)))</f>
        <v>0</v>
      </c>
      <c r="BB83" s="55" t="n">
        <f aca="false">AZ83+BA83</f>
        <v>0</v>
      </c>
      <c r="BC83" s="55" t="n">
        <f aca="false">I83+N83+S83+X83+AC83+AH83+AM83+AR83+AW83+BB83</f>
        <v>0</v>
      </c>
      <c r="BD83" s="55" t="n">
        <f aca="false">ROUND((E83+F83-I83)+(J83+K83-N83)+(O83+P83-S83)+(T83+U83-X83)+(Y83+Z83-AC83)+(AD83+AE83-AH83)+(AI83+AJ83-AM83)+(AN83+AO83-AR83)+(AS83+AT83-AW83)+(AX83+AY83-BB83),2)</f>
        <v>0</v>
      </c>
      <c r="BE83" s="25" t="str">
        <f aca="false">IF(H83&gt;0.005,$C$5,IF(M83&gt;0.005,$C$6,IF(R83&gt;0.005,$C$7,IF(W83&gt;0.005,$C$8,IF(AB83&gt;0.005,$C$9,IF(AG83&gt;0.005,$C$10,IF(AL83&gt;0.005,$C$11,IF(AQ83&gt;0.005,$C$12,IF(AV83&gt;0.005,$C$13,IF(BA83&gt;0.005,$C$14,""))))))))))</f>
        <v/>
      </c>
    </row>
    <row r="84" customFormat="false" ht="15" hidden="false" customHeight="false" outlineLevel="0" collapsed="false">
      <c r="A84" s="24" t="n">
        <v>61</v>
      </c>
      <c r="B84" s="54" t="n">
        <f aca="false">EDATE($C$17,A84-1)</f>
        <v>48153</v>
      </c>
      <c r="C84" s="55" t="n">
        <f aca="false">G84+L84+Q84+V84+AA84+AF84+AK84+AP84+AU84+AZ84</f>
        <v>0</v>
      </c>
      <c r="D84" s="55" t="n">
        <f aca="false">MAX(0,$C$16-C84)</f>
        <v>5822</v>
      </c>
      <c r="E84" s="55" t="n">
        <f aca="false">ROUND(MAX(0,E83+F83-I83),2)</f>
        <v>0</v>
      </c>
      <c r="F84" s="55" t="n">
        <f aca="false">ROUND(E84*$E$5/12,2)</f>
        <v>0</v>
      </c>
      <c r="G84" s="55" t="n">
        <f aca="false">MIN($F$5,E84+F84)</f>
        <v>0</v>
      </c>
      <c r="H84" s="55" t="n">
        <f aca="false">MAX(0,MIN(E84+F84-G84,$D84))</f>
        <v>0</v>
      </c>
      <c r="I84" s="55" t="n">
        <f aca="false">G84+H84</f>
        <v>0</v>
      </c>
      <c r="J84" s="55" t="n">
        <f aca="false">ROUND(MAX(0,J83+K83-N83),2)</f>
        <v>0</v>
      </c>
      <c r="K84" s="55" t="n">
        <f aca="false">ROUND(J84*$E$6/12,2)</f>
        <v>0</v>
      </c>
      <c r="L84" s="55" t="n">
        <f aca="false">MIN($F$6,J84+K84)</f>
        <v>0</v>
      </c>
      <c r="M84" s="55" t="n">
        <f aca="false">MAX(0,MIN(J84+K84-L84,$D84-(H84)))</f>
        <v>0</v>
      </c>
      <c r="N84" s="55" t="n">
        <f aca="false">L84+M84</f>
        <v>0</v>
      </c>
      <c r="O84" s="55" t="n">
        <f aca="false">ROUND(MAX(0,O83+P83-S83),2)</f>
        <v>0</v>
      </c>
      <c r="P84" s="55" t="n">
        <f aca="false">ROUND(O84*$E$7/12,2)</f>
        <v>0</v>
      </c>
      <c r="Q84" s="55" t="n">
        <f aca="false">MIN($F$7,O84+P84)</f>
        <v>0</v>
      </c>
      <c r="R84" s="55" t="n">
        <f aca="false">MAX(0,MIN(O84+P84-Q84,$D84-(H84+M84)))</f>
        <v>0</v>
      </c>
      <c r="S84" s="55" t="n">
        <f aca="false">Q84+R84</f>
        <v>0</v>
      </c>
      <c r="T84" s="55" t="n">
        <f aca="false">ROUND(MAX(0,T83+U83-X83),2)</f>
        <v>0</v>
      </c>
      <c r="U84" s="55" t="n">
        <f aca="false">ROUND(T84*$E$8/12,2)</f>
        <v>0</v>
      </c>
      <c r="V84" s="55" t="n">
        <f aca="false">MIN($F$8,T84+U84)</f>
        <v>0</v>
      </c>
      <c r="W84" s="55" t="n">
        <f aca="false">MAX(0,MIN(T84+U84-V84,$D84-(H84+M84+R84)))</f>
        <v>0</v>
      </c>
      <c r="X84" s="55" t="n">
        <f aca="false">V84+W84</f>
        <v>0</v>
      </c>
      <c r="Y84" s="55" t="n">
        <f aca="false">ROUND(MAX(0,Y83+Z83-AC83),2)</f>
        <v>0</v>
      </c>
      <c r="Z84" s="55" t="n">
        <f aca="false">ROUND(Y84*$E$9/12,2)</f>
        <v>0</v>
      </c>
      <c r="AA84" s="55" t="n">
        <f aca="false">MIN($F$9,Y84+Z84)</f>
        <v>0</v>
      </c>
      <c r="AB84" s="55" t="n">
        <f aca="false">MAX(0,MIN(Y84+Z84-AA84,$D84-(H84+M84+R84+W84)))</f>
        <v>0</v>
      </c>
      <c r="AC84" s="55" t="n">
        <f aca="false">AA84+AB84</f>
        <v>0</v>
      </c>
      <c r="AD84" s="55" t="n">
        <f aca="false">ROUND(MAX(0,AD83+AE83-AH83),2)</f>
        <v>0</v>
      </c>
      <c r="AE84" s="55" t="n">
        <f aca="false">ROUND(AD84*$E$10/12,2)</f>
        <v>0</v>
      </c>
      <c r="AF84" s="55" t="n">
        <f aca="false">MIN($F$10,AD84+AE84)</f>
        <v>0</v>
      </c>
      <c r="AG84" s="55" t="n">
        <f aca="false">MAX(0,MIN(AD84+AE84-AF84,$D84-(H84+M84+R84+W84+AB84)))</f>
        <v>0</v>
      </c>
      <c r="AH84" s="55" t="n">
        <f aca="false">AF84+AG84</f>
        <v>0</v>
      </c>
      <c r="AI84" s="55" t="n">
        <f aca="false">ROUND(MAX(0,AI83+AJ83-AM83),2)</f>
        <v>0</v>
      </c>
      <c r="AJ84" s="55" t="n">
        <f aca="false">ROUND(AI84*$E$11/12,2)</f>
        <v>0</v>
      </c>
      <c r="AK84" s="55" t="n">
        <f aca="false">MIN($F$11,AI84+AJ84)</f>
        <v>0</v>
      </c>
      <c r="AL84" s="55" t="n">
        <f aca="false">MAX(0,MIN(AI84+AJ84-AK84,$D84-(H84+M84+R84+W84+AB84+AG84)))</f>
        <v>0</v>
      </c>
      <c r="AM84" s="55" t="n">
        <f aca="false">AK84+AL84</f>
        <v>0</v>
      </c>
      <c r="AN84" s="55" t="n">
        <f aca="false">ROUND(MAX(0,AN83+AO83-AR83),2)</f>
        <v>0</v>
      </c>
      <c r="AO84" s="55" t="n">
        <f aca="false">ROUND(AN84*$E$12/12,2)</f>
        <v>0</v>
      </c>
      <c r="AP84" s="55" t="n">
        <f aca="false">MIN($F$12,AN84+AO84)</f>
        <v>0</v>
      </c>
      <c r="AQ84" s="55" t="n">
        <f aca="false">MAX(0,MIN(AN84+AO84-AP84,$D84-(H84+M84+R84+W84+AB84+AG84+AL84)))</f>
        <v>0</v>
      </c>
      <c r="AR84" s="55" t="n">
        <f aca="false">AP84+AQ84</f>
        <v>0</v>
      </c>
      <c r="AS84" s="55" t="n">
        <f aca="false">ROUND(MAX(0,AS83+AT83-AW83),2)</f>
        <v>0</v>
      </c>
      <c r="AT84" s="55" t="n">
        <f aca="false">ROUND(AS84*$E$13/12,2)</f>
        <v>0</v>
      </c>
      <c r="AU84" s="55" t="n">
        <f aca="false">MIN($F$13,AS84+AT84)</f>
        <v>0</v>
      </c>
      <c r="AV84" s="55" t="n">
        <f aca="false">MAX(0,MIN(AS84+AT84-AU84,$D84-(H84+M84+R84+W84+AB84+AG84+AL84+AQ84)))</f>
        <v>0</v>
      </c>
      <c r="AW84" s="55" t="n">
        <f aca="false">AU84+AV84</f>
        <v>0</v>
      </c>
      <c r="AX84" s="55" t="n">
        <f aca="false">ROUND(MAX(0,AX83+AY83-BB83),2)</f>
        <v>0</v>
      </c>
      <c r="AY84" s="55" t="n">
        <f aca="false">ROUND(AX84*$E$14/12,2)</f>
        <v>0</v>
      </c>
      <c r="AZ84" s="55" t="n">
        <f aca="false">MIN($F$14,AX84+AY84)</f>
        <v>0</v>
      </c>
      <c r="BA84" s="55" t="n">
        <f aca="false">MAX(0,MIN(AX84+AY84-AZ84,$D84-(H84+M84+R84+W84+AB84+AG84+AL84+AQ84+AV84)))</f>
        <v>0</v>
      </c>
      <c r="BB84" s="55" t="n">
        <f aca="false">AZ84+BA84</f>
        <v>0</v>
      </c>
      <c r="BC84" s="55" t="n">
        <f aca="false">I84+N84+S84+X84+AC84+AH84+AM84+AR84+AW84+BB84</f>
        <v>0</v>
      </c>
      <c r="BD84" s="55" t="n">
        <f aca="false">ROUND((E84+F84-I84)+(J84+K84-N84)+(O84+P84-S84)+(T84+U84-X84)+(Y84+Z84-AC84)+(AD84+AE84-AH84)+(AI84+AJ84-AM84)+(AN84+AO84-AR84)+(AS84+AT84-AW84)+(AX84+AY84-BB84),2)</f>
        <v>0</v>
      </c>
      <c r="BE84" s="25" t="str">
        <f aca="false">IF(H84&gt;0.005,$C$5,IF(M84&gt;0.005,$C$6,IF(R84&gt;0.005,$C$7,IF(W84&gt;0.005,$C$8,IF(AB84&gt;0.005,$C$9,IF(AG84&gt;0.005,$C$10,IF(AL84&gt;0.005,$C$11,IF(AQ84&gt;0.005,$C$12,IF(AV84&gt;0.005,$C$13,IF(BA84&gt;0.005,$C$14,""))))))))))</f>
        <v/>
      </c>
    </row>
    <row r="85" customFormat="false" ht="15" hidden="false" customHeight="false" outlineLevel="0" collapsed="false">
      <c r="A85" s="24" t="n">
        <v>62</v>
      </c>
      <c r="B85" s="54" t="n">
        <f aca="false">EDATE($C$17,A85-1)</f>
        <v>48183</v>
      </c>
      <c r="C85" s="55" t="n">
        <f aca="false">G85+L85+Q85+V85+AA85+AF85+AK85+AP85+AU85+AZ85</f>
        <v>0</v>
      </c>
      <c r="D85" s="55" t="n">
        <f aca="false">MAX(0,$C$16-C85)</f>
        <v>5822</v>
      </c>
      <c r="E85" s="55" t="n">
        <f aca="false">ROUND(MAX(0,E84+F84-I84),2)</f>
        <v>0</v>
      </c>
      <c r="F85" s="55" t="n">
        <f aca="false">ROUND(E85*$E$5/12,2)</f>
        <v>0</v>
      </c>
      <c r="G85" s="55" t="n">
        <f aca="false">MIN($F$5,E85+F85)</f>
        <v>0</v>
      </c>
      <c r="H85" s="55" t="n">
        <f aca="false">MAX(0,MIN(E85+F85-G85,$D85))</f>
        <v>0</v>
      </c>
      <c r="I85" s="55" t="n">
        <f aca="false">G85+H85</f>
        <v>0</v>
      </c>
      <c r="J85" s="55" t="n">
        <f aca="false">ROUND(MAX(0,J84+K84-N84),2)</f>
        <v>0</v>
      </c>
      <c r="K85" s="55" t="n">
        <f aca="false">ROUND(J85*$E$6/12,2)</f>
        <v>0</v>
      </c>
      <c r="L85" s="55" t="n">
        <f aca="false">MIN($F$6,J85+K85)</f>
        <v>0</v>
      </c>
      <c r="M85" s="55" t="n">
        <f aca="false">MAX(0,MIN(J85+K85-L85,$D85-(H85)))</f>
        <v>0</v>
      </c>
      <c r="N85" s="55" t="n">
        <f aca="false">L85+M85</f>
        <v>0</v>
      </c>
      <c r="O85" s="55" t="n">
        <f aca="false">ROUND(MAX(0,O84+P84-S84),2)</f>
        <v>0</v>
      </c>
      <c r="P85" s="55" t="n">
        <f aca="false">ROUND(O85*$E$7/12,2)</f>
        <v>0</v>
      </c>
      <c r="Q85" s="55" t="n">
        <f aca="false">MIN($F$7,O85+P85)</f>
        <v>0</v>
      </c>
      <c r="R85" s="55" t="n">
        <f aca="false">MAX(0,MIN(O85+P85-Q85,$D85-(H85+M85)))</f>
        <v>0</v>
      </c>
      <c r="S85" s="55" t="n">
        <f aca="false">Q85+R85</f>
        <v>0</v>
      </c>
      <c r="T85" s="55" t="n">
        <f aca="false">ROUND(MAX(0,T84+U84-X84),2)</f>
        <v>0</v>
      </c>
      <c r="U85" s="55" t="n">
        <f aca="false">ROUND(T85*$E$8/12,2)</f>
        <v>0</v>
      </c>
      <c r="V85" s="55" t="n">
        <f aca="false">MIN($F$8,T85+U85)</f>
        <v>0</v>
      </c>
      <c r="W85" s="55" t="n">
        <f aca="false">MAX(0,MIN(T85+U85-V85,$D85-(H85+M85+R85)))</f>
        <v>0</v>
      </c>
      <c r="X85" s="55" t="n">
        <f aca="false">V85+W85</f>
        <v>0</v>
      </c>
      <c r="Y85" s="55" t="n">
        <f aca="false">ROUND(MAX(0,Y84+Z84-AC84),2)</f>
        <v>0</v>
      </c>
      <c r="Z85" s="55" t="n">
        <f aca="false">ROUND(Y85*$E$9/12,2)</f>
        <v>0</v>
      </c>
      <c r="AA85" s="55" t="n">
        <f aca="false">MIN($F$9,Y85+Z85)</f>
        <v>0</v>
      </c>
      <c r="AB85" s="55" t="n">
        <f aca="false">MAX(0,MIN(Y85+Z85-AA85,$D85-(H85+M85+R85+W85)))</f>
        <v>0</v>
      </c>
      <c r="AC85" s="55" t="n">
        <f aca="false">AA85+AB85</f>
        <v>0</v>
      </c>
      <c r="AD85" s="55" t="n">
        <f aca="false">ROUND(MAX(0,AD84+AE84-AH84),2)</f>
        <v>0</v>
      </c>
      <c r="AE85" s="55" t="n">
        <f aca="false">ROUND(AD85*$E$10/12,2)</f>
        <v>0</v>
      </c>
      <c r="AF85" s="55" t="n">
        <f aca="false">MIN($F$10,AD85+AE85)</f>
        <v>0</v>
      </c>
      <c r="AG85" s="55" t="n">
        <f aca="false">MAX(0,MIN(AD85+AE85-AF85,$D85-(H85+M85+R85+W85+AB85)))</f>
        <v>0</v>
      </c>
      <c r="AH85" s="55" t="n">
        <f aca="false">AF85+AG85</f>
        <v>0</v>
      </c>
      <c r="AI85" s="55" t="n">
        <f aca="false">ROUND(MAX(0,AI84+AJ84-AM84),2)</f>
        <v>0</v>
      </c>
      <c r="AJ85" s="55" t="n">
        <f aca="false">ROUND(AI85*$E$11/12,2)</f>
        <v>0</v>
      </c>
      <c r="AK85" s="55" t="n">
        <f aca="false">MIN($F$11,AI85+AJ85)</f>
        <v>0</v>
      </c>
      <c r="AL85" s="55" t="n">
        <f aca="false">MAX(0,MIN(AI85+AJ85-AK85,$D85-(H85+M85+R85+W85+AB85+AG85)))</f>
        <v>0</v>
      </c>
      <c r="AM85" s="55" t="n">
        <f aca="false">AK85+AL85</f>
        <v>0</v>
      </c>
      <c r="AN85" s="55" t="n">
        <f aca="false">ROUND(MAX(0,AN84+AO84-AR84),2)</f>
        <v>0</v>
      </c>
      <c r="AO85" s="55" t="n">
        <f aca="false">ROUND(AN85*$E$12/12,2)</f>
        <v>0</v>
      </c>
      <c r="AP85" s="55" t="n">
        <f aca="false">MIN($F$12,AN85+AO85)</f>
        <v>0</v>
      </c>
      <c r="AQ85" s="55" t="n">
        <f aca="false">MAX(0,MIN(AN85+AO85-AP85,$D85-(H85+M85+R85+W85+AB85+AG85+AL85)))</f>
        <v>0</v>
      </c>
      <c r="AR85" s="55" t="n">
        <f aca="false">AP85+AQ85</f>
        <v>0</v>
      </c>
      <c r="AS85" s="55" t="n">
        <f aca="false">ROUND(MAX(0,AS84+AT84-AW84),2)</f>
        <v>0</v>
      </c>
      <c r="AT85" s="55" t="n">
        <f aca="false">ROUND(AS85*$E$13/12,2)</f>
        <v>0</v>
      </c>
      <c r="AU85" s="55" t="n">
        <f aca="false">MIN($F$13,AS85+AT85)</f>
        <v>0</v>
      </c>
      <c r="AV85" s="55" t="n">
        <f aca="false">MAX(0,MIN(AS85+AT85-AU85,$D85-(H85+M85+R85+W85+AB85+AG85+AL85+AQ85)))</f>
        <v>0</v>
      </c>
      <c r="AW85" s="55" t="n">
        <f aca="false">AU85+AV85</f>
        <v>0</v>
      </c>
      <c r="AX85" s="55" t="n">
        <f aca="false">ROUND(MAX(0,AX84+AY84-BB84),2)</f>
        <v>0</v>
      </c>
      <c r="AY85" s="55" t="n">
        <f aca="false">ROUND(AX85*$E$14/12,2)</f>
        <v>0</v>
      </c>
      <c r="AZ85" s="55" t="n">
        <f aca="false">MIN($F$14,AX85+AY85)</f>
        <v>0</v>
      </c>
      <c r="BA85" s="55" t="n">
        <f aca="false">MAX(0,MIN(AX85+AY85-AZ85,$D85-(H85+M85+R85+W85+AB85+AG85+AL85+AQ85+AV85)))</f>
        <v>0</v>
      </c>
      <c r="BB85" s="55" t="n">
        <f aca="false">AZ85+BA85</f>
        <v>0</v>
      </c>
      <c r="BC85" s="55" t="n">
        <f aca="false">I85+N85+S85+X85+AC85+AH85+AM85+AR85+AW85+BB85</f>
        <v>0</v>
      </c>
      <c r="BD85" s="55" t="n">
        <f aca="false">ROUND((E85+F85-I85)+(J85+K85-N85)+(O85+P85-S85)+(T85+U85-X85)+(Y85+Z85-AC85)+(AD85+AE85-AH85)+(AI85+AJ85-AM85)+(AN85+AO85-AR85)+(AS85+AT85-AW85)+(AX85+AY85-BB85),2)</f>
        <v>0</v>
      </c>
      <c r="BE85" s="25" t="str">
        <f aca="false">IF(H85&gt;0.005,$C$5,IF(M85&gt;0.005,$C$6,IF(R85&gt;0.005,$C$7,IF(W85&gt;0.005,$C$8,IF(AB85&gt;0.005,$C$9,IF(AG85&gt;0.005,$C$10,IF(AL85&gt;0.005,$C$11,IF(AQ85&gt;0.005,$C$12,IF(AV85&gt;0.005,$C$13,IF(BA85&gt;0.005,$C$14,""))))))))))</f>
        <v/>
      </c>
    </row>
    <row r="86" customFormat="false" ht="15" hidden="false" customHeight="false" outlineLevel="0" collapsed="false">
      <c r="A86" s="24" t="n">
        <v>63</v>
      </c>
      <c r="B86" s="54" t="n">
        <f aca="false">EDATE($C$17,A86-1)</f>
        <v>48214</v>
      </c>
      <c r="C86" s="55" t="n">
        <f aca="false">G86+L86+Q86+V86+AA86+AF86+AK86+AP86+AU86+AZ86</f>
        <v>0</v>
      </c>
      <c r="D86" s="55" t="n">
        <f aca="false">MAX(0,$C$16-C86)</f>
        <v>5822</v>
      </c>
      <c r="E86" s="55" t="n">
        <f aca="false">ROUND(MAX(0,E85+F85-I85),2)</f>
        <v>0</v>
      </c>
      <c r="F86" s="55" t="n">
        <f aca="false">ROUND(E86*$E$5/12,2)</f>
        <v>0</v>
      </c>
      <c r="G86" s="55" t="n">
        <f aca="false">MIN($F$5,E86+F86)</f>
        <v>0</v>
      </c>
      <c r="H86" s="55" t="n">
        <f aca="false">MAX(0,MIN(E86+F86-G86,$D86))</f>
        <v>0</v>
      </c>
      <c r="I86" s="55" t="n">
        <f aca="false">G86+H86</f>
        <v>0</v>
      </c>
      <c r="J86" s="55" t="n">
        <f aca="false">ROUND(MAX(0,J85+K85-N85),2)</f>
        <v>0</v>
      </c>
      <c r="K86" s="55" t="n">
        <f aca="false">ROUND(J86*$E$6/12,2)</f>
        <v>0</v>
      </c>
      <c r="L86" s="55" t="n">
        <f aca="false">MIN($F$6,J86+K86)</f>
        <v>0</v>
      </c>
      <c r="M86" s="55" t="n">
        <f aca="false">MAX(0,MIN(J86+K86-L86,$D86-(H86)))</f>
        <v>0</v>
      </c>
      <c r="N86" s="55" t="n">
        <f aca="false">L86+M86</f>
        <v>0</v>
      </c>
      <c r="O86" s="55" t="n">
        <f aca="false">ROUND(MAX(0,O85+P85-S85),2)</f>
        <v>0</v>
      </c>
      <c r="P86" s="55" t="n">
        <f aca="false">ROUND(O86*$E$7/12,2)</f>
        <v>0</v>
      </c>
      <c r="Q86" s="55" t="n">
        <f aca="false">MIN($F$7,O86+P86)</f>
        <v>0</v>
      </c>
      <c r="R86" s="55" t="n">
        <f aca="false">MAX(0,MIN(O86+P86-Q86,$D86-(H86+M86)))</f>
        <v>0</v>
      </c>
      <c r="S86" s="55" t="n">
        <f aca="false">Q86+R86</f>
        <v>0</v>
      </c>
      <c r="T86" s="55" t="n">
        <f aca="false">ROUND(MAX(0,T85+U85-X85),2)</f>
        <v>0</v>
      </c>
      <c r="U86" s="55" t="n">
        <f aca="false">ROUND(T86*$E$8/12,2)</f>
        <v>0</v>
      </c>
      <c r="V86" s="55" t="n">
        <f aca="false">MIN($F$8,T86+U86)</f>
        <v>0</v>
      </c>
      <c r="W86" s="55" t="n">
        <f aca="false">MAX(0,MIN(T86+U86-V86,$D86-(H86+M86+R86)))</f>
        <v>0</v>
      </c>
      <c r="X86" s="55" t="n">
        <f aca="false">V86+W86</f>
        <v>0</v>
      </c>
      <c r="Y86" s="55" t="n">
        <f aca="false">ROUND(MAX(0,Y85+Z85-AC85),2)</f>
        <v>0</v>
      </c>
      <c r="Z86" s="55" t="n">
        <f aca="false">ROUND(Y86*$E$9/12,2)</f>
        <v>0</v>
      </c>
      <c r="AA86" s="55" t="n">
        <f aca="false">MIN($F$9,Y86+Z86)</f>
        <v>0</v>
      </c>
      <c r="AB86" s="55" t="n">
        <f aca="false">MAX(0,MIN(Y86+Z86-AA86,$D86-(H86+M86+R86+W86)))</f>
        <v>0</v>
      </c>
      <c r="AC86" s="55" t="n">
        <f aca="false">AA86+AB86</f>
        <v>0</v>
      </c>
      <c r="AD86" s="55" t="n">
        <f aca="false">ROUND(MAX(0,AD85+AE85-AH85),2)</f>
        <v>0</v>
      </c>
      <c r="AE86" s="55" t="n">
        <f aca="false">ROUND(AD86*$E$10/12,2)</f>
        <v>0</v>
      </c>
      <c r="AF86" s="55" t="n">
        <f aca="false">MIN($F$10,AD86+AE86)</f>
        <v>0</v>
      </c>
      <c r="AG86" s="55" t="n">
        <f aca="false">MAX(0,MIN(AD86+AE86-AF86,$D86-(H86+M86+R86+W86+AB86)))</f>
        <v>0</v>
      </c>
      <c r="AH86" s="55" t="n">
        <f aca="false">AF86+AG86</f>
        <v>0</v>
      </c>
      <c r="AI86" s="55" t="n">
        <f aca="false">ROUND(MAX(0,AI85+AJ85-AM85),2)</f>
        <v>0</v>
      </c>
      <c r="AJ86" s="55" t="n">
        <f aca="false">ROUND(AI86*$E$11/12,2)</f>
        <v>0</v>
      </c>
      <c r="AK86" s="55" t="n">
        <f aca="false">MIN($F$11,AI86+AJ86)</f>
        <v>0</v>
      </c>
      <c r="AL86" s="55" t="n">
        <f aca="false">MAX(0,MIN(AI86+AJ86-AK86,$D86-(H86+M86+R86+W86+AB86+AG86)))</f>
        <v>0</v>
      </c>
      <c r="AM86" s="55" t="n">
        <f aca="false">AK86+AL86</f>
        <v>0</v>
      </c>
      <c r="AN86" s="55" t="n">
        <f aca="false">ROUND(MAX(0,AN85+AO85-AR85),2)</f>
        <v>0</v>
      </c>
      <c r="AO86" s="55" t="n">
        <f aca="false">ROUND(AN86*$E$12/12,2)</f>
        <v>0</v>
      </c>
      <c r="AP86" s="55" t="n">
        <f aca="false">MIN($F$12,AN86+AO86)</f>
        <v>0</v>
      </c>
      <c r="AQ86" s="55" t="n">
        <f aca="false">MAX(0,MIN(AN86+AO86-AP86,$D86-(H86+M86+R86+W86+AB86+AG86+AL86)))</f>
        <v>0</v>
      </c>
      <c r="AR86" s="55" t="n">
        <f aca="false">AP86+AQ86</f>
        <v>0</v>
      </c>
      <c r="AS86" s="55" t="n">
        <f aca="false">ROUND(MAX(0,AS85+AT85-AW85),2)</f>
        <v>0</v>
      </c>
      <c r="AT86" s="55" t="n">
        <f aca="false">ROUND(AS86*$E$13/12,2)</f>
        <v>0</v>
      </c>
      <c r="AU86" s="55" t="n">
        <f aca="false">MIN($F$13,AS86+AT86)</f>
        <v>0</v>
      </c>
      <c r="AV86" s="55" t="n">
        <f aca="false">MAX(0,MIN(AS86+AT86-AU86,$D86-(H86+M86+R86+W86+AB86+AG86+AL86+AQ86)))</f>
        <v>0</v>
      </c>
      <c r="AW86" s="55" t="n">
        <f aca="false">AU86+AV86</f>
        <v>0</v>
      </c>
      <c r="AX86" s="55" t="n">
        <f aca="false">ROUND(MAX(0,AX85+AY85-BB85),2)</f>
        <v>0</v>
      </c>
      <c r="AY86" s="55" t="n">
        <f aca="false">ROUND(AX86*$E$14/12,2)</f>
        <v>0</v>
      </c>
      <c r="AZ86" s="55" t="n">
        <f aca="false">MIN($F$14,AX86+AY86)</f>
        <v>0</v>
      </c>
      <c r="BA86" s="55" t="n">
        <f aca="false">MAX(0,MIN(AX86+AY86-AZ86,$D86-(H86+M86+R86+W86+AB86+AG86+AL86+AQ86+AV86)))</f>
        <v>0</v>
      </c>
      <c r="BB86" s="55" t="n">
        <f aca="false">AZ86+BA86</f>
        <v>0</v>
      </c>
      <c r="BC86" s="55" t="n">
        <f aca="false">I86+N86+S86+X86+AC86+AH86+AM86+AR86+AW86+BB86</f>
        <v>0</v>
      </c>
      <c r="BD86" s="55" t="n">
        <f aca="false">ROUND((E86+F86-I86)+(J86+K86-N86)+(O86+P86-S86)+(T86+U86-X86)+(Y86+Z86-AC86)+(AD86+AE86-AH86)+(AI86+AJ86-AM86)+(AN86+AO86-AR86)+(AS86+AT86-AW86)+(AX86+AY86-BB86),2)</f>
        <v>0</v>
      </c>
      <c r="BE86" s="25" t="str">
        <f aca="false">IF(H86&gt;0.005,$C$5,IF(M86&gt;0.005,$C$6,IF(R86&gt;0.005,$C$7,IF(W86&gt;0.005,$C$8,IF(AB86&gt;0.005,$C$9,IF(AG86&gt;0.005,$C$10,IF(AL86&gt;0.005,$C$11,IF(AQ86&gt;0.005,$C$12,IF(AV86&gt;0.005,$C$13,IF(BA86&gt;0.005,$C$14,""))))))))))</f>
        <v/>
      </c>
    </row>
    <row r="87" customFormat="false" ht="15" hidden="false" customHeight="false" outlineLevel="0" collapsed="false">
      <c r="A87" s="24" t="n">
        <v>64</v>
      </c>
      <c r="B87" s="54" t="n">
        <f aca="false">EDATE($C$17,A87-1)</f>
        <v>48245</v>
      </c>
      <c r="C87" s="55" t="n">
        <f aca="false">G87+L87+Q87+V87+AA87+AF87+AK87+AP87+AU87+AZ87</f>
        <v>0</v>
      </c>
      <c r="D87" s="55" t="n">
        <f aca="false">MAX(0,$C$16-C87)</f>
        <v>5822</v>
      </c>
      <c r="E87" s="55" t="n">
        <f aca="false">ROUND(MAX(0,E86+F86-I86),2)</f>
        <v>0</v>
      </c>
      <c r="F87" s="55" t="n">
        <f aca="false">ROUND(E87*$E$5/12,2)</f>
        <v>0</v>
      </c>
      <c r="G87" s="55" t="n">
        <f aca="false">MIN($F$5,E87+F87)</f>
        <v>0</v>
      </c>
      <c r="H87" s="55" t="n">
        <f aca="false">MAX(0,MIN(E87+F87-G87,$D87))</f>
        <v>0</v>
      </c>
      <c r="I87" s="55" t="n">
        <f aca="false">G87+H87</f>
        <v>0</v>
      </c>
      <c r="J87" s="55" t="n">
        <f aca="false">ROUND(MAX(0,J86+K86-N86),2)</f>
        <v>0</v>
      </c>
      <c r="K87" s="55" t="n">
        <f aca="false">ROUND(J87*$E$6/12,2)</f>
        <v>0</v>
      </c>
      <c r="L87" s="55" t="n">
        <f aca="false">MIN($F$6,J87+K87)</f>
        <v>0</v>
      </c>
      <c r="M87" s="55" t="n">
        <f aca="false">MAX(0,MIN(J87+K87-L87,$D87-(H87)))</f>
        <v>0</v>
      </c>
      <c r="N87" s="55" t="n">
        <f aca="false">L87+M87</f>
        <v>0</v>
      </c>
      <c r="O87" s="55" t="n">
        <f aca="false">ROUND(MAX(0,O86+P86-S86),2)</f>
        <v>0</v>
      </c>
      <c r="P87" s="55" t="n">
        <f aca="false">ROUND(O87*$E$7/12,2)</f>
        <v>0</v>
      </c>
      <c r="Q87" s="55" t="n">
        <f aca="false">MIN($F$7,O87+P87)</f>
        <v>0</v>
      </c>
      <c r="R87" s="55" t="n">
        <f aca="false">MAX(0,MIN(O87+P87-Q87,$D87-(H87+M87)))</f>
        <v>0</v>
      </c>
      <c r="S87" s="55" t="n">
        <f aca="false">Q87+R87</f>
        <v>0</v>
      </c>
      <c r="T87" s="55" t="n">
        <f aca="false">ROUND(MAX(0,T86+U86-X86),2)</f>
        <v>0</v>
      </c>
      <c r="U87" s="55" t="n">
        <f aca="false">ROUND(T87*$E$8/12,2)</f>
        <v>0</v>
      </c>
      <c r="V87" s="55" t="n">
        <f aca="false">MIN($F$8,T87+U87)</f>
        <v>0</v>
      </c>
      <c r="W87" s="55" t="n">
        <f aca="false">MAX(0,MIN(T87+U87-V87,$D87-(H87+M87+R87)))</f>
        <v>0</v>
      </c>
      <c r="X87" s="55" t="n">
        <f aca="false">V87+W87</f>
        <v>0</v>
      </c>
      <c r="Y87" s="55" t="n">
        <f aca="false">ROUND(MAX(0,Y86+Z86-AC86),2)</f>
        <v>0</v>
      </c>
      <c r="Z87" s="55" t="n">
        <f aca="false">ROUND(Y87*$E$9/12,2)</f>
        <v>0</v>
      </c>
      <c r="AA87" s="55" t="n">
        <f aca="false">MIN($F$9,Y87+Z87)</f>
        <v>0</v>
      </c>
      <c r="AB87" s="55" t="n">
        <f aca="false">MAX(0,MIN(Y87+Z87-AA87,$D87-(H87+M87+R87+W87)))</f>
        <v>0</v>
      </c>
      <c r="AC87" s="55" t="n">
        <f aca="false">AA87+AB87</f>
        <v>0</v>
      </c>
      <c r="AD87" s="55" t="n">
        <f aca="false">ROUND(MAX(0,AD86+AE86-AH86),2)</f>
        <v>0</v>
      </c>
      <c r="AE87" s="55" t="n">
        <f aca="false">ROUND(AD87*$E$10/12,2)</f>
        <v>0</v>
      </c>
      <c r="AF87" s="55" t="n">
        <f aca="false">MIN($F$10,AD87+AE87)</f>
        <v>0</v>
      </c>
      <c r="AG87" s="55" t="n">
        <f aca="false">MAX(0,MIN(AD87+AE87-AF87,$D87-(H87+M87+R87+W87+AB87)))</f>
        <v>0</v>
      </c>
      <c r="AH87" s="55" t="n">
        <f aca="false">AF87+AG87</f>
        <v>0</v>
      </c>
      <c r="AI87" s="55" t="n">
        <f aca="false">ROUND(MAX(0,AI86+AJ86-AM86),2)</f>
        <v>0</v>
      </c>
      <c r="AJ87" s="55" t="n">
        <f aca="false">ROUND(AI87*$E$11/12,2)</f>
        <v>0</v>
      </c>
      <c r="AK87" s="55" t="n">
        <f aca="false">MIN($F$11,AI87+AJ87)</f>
        <v>0</v>
      </c>
      <c r="AL87" s="55" t="n">
        <f aca="false">MAX(0,MIN(AI87+AJ87-AK87,$D87-(H87+M87+R87+W87+AB87+AG87)))</f>
        <v>0</v>
      </c>
      <c r="AM87" s="55" t="n">
        <f aca="false">AK87+AL87</f>
        <v>0</v>
      </c>
      <c r="AN87" s="55" t="n">
        <f aca="false">ROUND(MAX(0,AN86+AO86-AR86),2)</f>
        <v>0</v>
      </c>
      <c r="AO87" s="55" t="n">
        <f aca="false">ROUND(AN87*$E$12/12,2)</f>
        <v>0</v>
      </c>
      <c r="AP87" s="55" t="n">
        <f aca="false">MIN($F$12,AN87+AO87)</f>
        <v>0</v>
      </c>
      <c r="AQ87" s="55" t="n">
        <f aca="false">MAX(0,MIN(AN87+AO87-AP87,$D87-(H87+M87+R87+W87+AB87+AG87+AL87)))</f>
        <v>0</v>
      </c>
      <c r="AR87" s="55" t="n">
        <f aca="false">AP87+AQ87</f>
        <v>0</v>
      </c>
      <c r="AS87" s="55" t="n">
        <f aca="false">ROUND(MAX(0,AS86+AT86-AW86),2)</f>
        <v>0</v>
      </c>
      <c r="AT87" s="55" t="n">
        <f aca="false">ROUND(AS87*$E$13/12,2)</f>
        <v>0</v>
      </c>
      <c r="AU87" s="55" t="n">
        <f aca="false">MIN($F$13,AS87+AT87)</f>
        <v>0</v>
      </c>
      <c r="AV87" s="55" t="n">
        <f aca="false">MAX(0,MIN(AS87+AT87-AU87,$D87-(H87+M87+R87+W87+AB87+AG87+AL87+AQ87)))</f>
        <v>0</v>
      </c>
      <c r="AW87" s="55" t="n">
        <f aca="false">AU87+AV87</f>
        <v>0</v>
      </c>
      <c r="AX87" s="55" t="n">
        <f aca="false">ROUND(MAX(0,AX86+AY86-BB86),2)</f>
        <v>0</v>
      </c>
      <c r="AY87" s="55" t="n">
        <f aca="false">ROUND(AX87*$E$14/12,2)</f>
        <v>0</v>
      </c>
      <c r="AZ87" s="55" t="n">
        <f aca="false">MIN($F$14,AX87+AY87)</f>
        <v>0</v>
      </c>
      <c r="BA87" s="55" t="n">
        <f aca="false">MAX(0,MIN(AX87+AY87-AZ87,$D87-(H87+M87+R87+W87+AB87+AG87+AL87+AQ87+AV87)))</f>
        <v>0</v>
      </c>
      <c r="BB87" s="55" t="n">
        <f aca="false">AZ87+BA87</f>
        <v>0</v>
      </c>
      <c r="BC87" s="55" t="n">
        <f aca="false">I87+N87+S87+X87+AC87+AH87+AM87+AR87+AW87+BB87</f>
        <v>0</v>
      </c>
      <c r="BD87" s="55" t="n">
        <f aca="false">ROUND((E87+F87-I87)+(J87+K87-N87)+(O87+P87-S87)+(T87+U87-X87)+(Y87+Z87-AC87)+(AD87+AE87-AH87)+(AI87+AJ87-AM87)+(AN87+AO87-AR87)+(AS87+AT87-AW87)+(AX87+AY87-BB87),2)</f>
        <v>0</v>
      </c>
      <c r="BE87" s="25" t="str">
        <f aca="false">IF(H87&gt;0.005,$C$5,IF(M87&gt;0.005,$C$6,IF(R87&gt;0.005,$C$7,IF(W87&gt;0.005,$C$8,IF(AB87&gt;0.005,$C$9,IF(AG87&gt;0.005,$C$10,IF(AL87&gt;0.005,$C$11,IF(AQ87&gt;0.005,$C$12,IF(AV87&gt;0.005,$C$13,IF(BA87&gt;0.005,$C$14,""))))))))))</f>
        <v/>
      </c>
    </row>
    <row r="88" customFormat="false" ht="15" hidden="false" customHeight="false" outlineLevel="0" collapsed="false">
      <c r="A88" s="24" t="n">
        <v>65</v>
      </c>
      <c r="B88" s="54" t="n">
        <f aca="false">EDATE($C$17,A88-1)</f>
        <v>48274</v>
      </c>
      <c r="C88" s="55" t="n">
        <f aca="false">G88+L88+Q88+V88+AA88+AF88+AK88+AP88+AU88+AZ88</f>
        <v>0</v>
      </c>
      <c r="D88" s="55" t="n">
        <f aca="false">MAX(0,$C$16-C88)</f>
        <v>5822</v>
      </c>
      <c r="E88" s="55" t="n">
        <f aca="false">ROUND(MAX(0,E87+F87-I87),2)</f>
        <v>0</v>
      </c>
      <c r="F88" s="55" t="n">
        <f aca="false">ROUND(E88*$E$5/12,2)</f>
        <v>0</v>
      </c>
      <c r="G88" s="55" t="n">
        <f aca="false">MIN($F$5,E88+F88)</f>
        <v>0</v>
      </c>
      <c r="H88" s="55" t="n">
        <f aca="false">MAX(0,MIN(E88+F88-G88,$D88))</f>
        <v>0</v>
      </c>
      <c r="I88" s="55" t="n">
        <f aca="false">G88+H88</f>
        <v>0</v>
      </c>
      <c r="J88" s="55" t="n">
        <f aca="false">ROUND(MAX(0,J87+K87-N87),2)</f>
        <v>0</v>
      </c>
      <c r="K88" s="55" t="n">
        <f aca="false">ROUND(J88*$E$6/12,2)</f>
        <v>0</v>
      </c>
      <c r="L88" s="55" t="n">
        <f aca="false">MIN($F$6,J88+K88)</f>
        <v>0</v>
      </c>
      <c r="M88" s="55" t="n">
        <f aca="false">MAX(0,MIN(J88+K88-L88,$D88-(H88)))</f>
        <v>0</v>
      </c>
      <c r="N88" s="55" t="n">
        <f aca="false">L88+M88</f>
        <v>0</v>
      </c>
      <c r="O88" s="55" t="n">
        <f aca="false">ROUND(MAX(0,O87+P87-S87),2)</f>
        <v>0</v>
      </c>
      <c r="P88" s="55" t="n">
        <f aca="false">ROUND(O88*$E$7/12,2)</f>
        <v>0</v>
      </c>
      <c r="Q88" s="55" t="n">
        <f aca="false">MIN($F$7,O88+P88)</f>
        <v>0</v>
      </c>
      <c r="R88" s="55" t="n">
        <f aca="false">MAX(0,MIN(O88+P88-Q88,$D88-(H88+M88)))</f>
        <v>0</v>
      </c>
      <c r="S88" s="55" t="n">
        <f aca="false">Q88+R88</f>
        <v>0</v>
      </c>
      <c r="T88" s="55" t="n">
        <f aca="false">ROUND(MAX(0,T87+U87-X87),2)</f>
        <v>0</v>
      </c>
      <c r="U88" s="55" t="n">
        <f aca="false">ROUND(T88*$E$8/12,2)</f>
        <v>0</v>
      </c>
      <c r="V88" s="55" t="n">
        <f aca="false">MIN($F$8,T88+U88)</f>
        <v>0</v>
      </c>
      <c r="W88" s="55" t="n">
        <f aca="false">MAX(0,MIN(T88+U88-V88,$D88-(H88+M88+R88)))</f>
        <v>0</v>
      </c>
      <c r="X88" s="55" t="n">
        <f aca="false">V88+W88</f>
        <v>0</v>
      </c>
      <c r="Y88" s="55" t="n">
        <f aca="false">ROUND(MAX(0,Y87+Z87-AC87),2)</f>
        <v>0</v>
      </c>
      <c r="Z88" s="55" t="n">
        <f aca="false">ROUND(Y88*$E$9/12,2)</f>
        <v>0</v>
      </c>
      <c r="AA88" s="55" t="n">
        <f aca="false">MIN($F$9,Y88+Z88)</f>
        <v>0</v>
      </c>
      <c r="AB88" s="55" t="n">
        <f aca="false">MAX(0,MIN(Y88+Z88-AA88,$D88-(H88+M88+R88+W88)))</f>
        <v>0</v>
      </c>
      <c r="AC88" s="55" t="n">
        <f aca="false">AA88+AB88</f>
        <v>0</v>
      </c>
      <c r="AD88" s="55" t="n">
        <f aca="false">ROUND(MAX(0,AD87+AE87-AH87),2)</f>
        <v>0</v>
      </c>
      <c r="AE88" s="55" t="n">
        <f aca="false">ROUND(AD88*$E$10/12,2)</f>
        <v>0</v>
      </c>
      <c r="AF88" s="55" t="n">
        <f aca="false">MIN($F$10,AD88+AE88)</f>
        <v>0</v>
      </c>
      <c r="AG88" s="55" t="n">
        <f aca="false">MAX(0,MIN(AD88+AE88-AF88,$D88-(H88+M88+R88+W88+AB88)))</f>
        <v>0</v>
      </c>
      <c r="AH88" s="55" t="n">
        <f aca="false">AF88+AG88</f>
        <v>0</v>
      </c>
      <c r="AI88" s="55" t="n">
        <f aca="false">ROUND(MAX(0,AI87+AJ87-AM87),2)</f>
        <v>0</v>
      </c>
      <c r="AJ88" s="55" t="n">
        <f aca="false">ROUND(AI88*$E$11/12,2)</f>
        <v>0</v>
      </c>
      <c r="AK88" s="55" t="n">
        <f aca="false">MIN($F$11,AI88+AJ88)</f>
        <v>0</v>
      </c>
      <c r="AL88" s="55" t="n">
        <f aca="false">MAX(0,MIN(AI88+AJ88-AK88,$D88-(H88+M88+R88+W88+AB88+AG88)))</f>
        <v>0</v>
      </c>
      <c r="AM88" s="55" t="n">
        <f aca="false">AK88+AL88</f>
        <v>0</v>
      </c>
      <c r="AN88" s="55" t="n">
        <f aca="false">ROUND(MAX(0,AN87+AO87-AR87),2)</f>
        <v>0</v>
      </c>
      <c r="AO88" s="55" t="n">
        <f aca="false">ROUND(AN88*$E$12/12,2)</f>
        <v>0</v>
      </c>
      <c r="AP88" s="55" t="n">
        <f aca="false">MIN($F$12,AN88+AO88)</f>
        <v>0</v>
      </c>
      <c r="AQ88" s="55" t="n">
        <f aca="false">MAX(0,MIN(AN88+AO88-AP88,$D88-(H88+M88+R88+W88+AB88+AG88+AL88)))</f>
        <v>0</v>
      </c>
      <c r="AR88" s="55" t="n">
        <f aca="false">AP88+AQ88</f>
        <v>0</v>
      </c>
      <c r="AS88" s="55" t="n">
        <f aca="false">ROUND(MAX(0,AS87+AT87-AW87),2)</f>
        <v>0</v>
      </c>
      <c r="AT88" s="55" t="n">
        <f aca="false">ROUND(AS88*$E$13/12,2)</f>
        <v>0</v>
      </c>
      <c r="AU88" s="55" t="n">
        <f aca="false">MIN($F$13,AS88+AT88)</f>
        <v>0</v>
      </c>
      <c r="AV88" s="55" t="n">
        <f aca="false">MAX(0,MIN(AS88+AT88-AU88,$D88-(H88+M88+R88+W88+AB88+AG88+AL88+AQ88)))</f>
        <v>0</v>
      </c>
      <c r="AW88" s="55" t="n">
        <f aca="false">AU88+AV88</f>
        <v>0</v>
      </c>
      <c r="AX88" s="55" t="n">
        <f aca="false">ROUND(MAX(0,AX87+AY87-BB87),2)</f>
        <v>0</v>
      </c>
      <c r="AY88" s="55" t="n">
        <f aca="false">ROUND(AX88*$E$14/12,2)</f>
        <v>0</v>
      </c>
      <c r="AZ88" s="55" t="n">
        <f aca="false">MIN($F$14,AX88+AY88)</f>
        <v>0</v>
      </c>
      <c r="BA88" s="55" t="n">
        <f aca="false">MAX(0,MIN(AX88+AY88-AZ88,$D88-(H88+M88+R88+W88+AB88+AG88+AL88+AQ88+AV88)))</f>
        <v>0</v>
      </c>
      <c r="BB88" s="55" t="n">
        <f aca="false">AZ88+BA88</f>
        <v>0</v>
      </c>
      <c r="BC88" s="55" t="n">
        <f aca="false">I88+N88+S88+X88+AC88+AH88+AM88+AR88+AW88+BB88</f>
        <v>0</v>
      </c>
      <c r="BD88" s="55" t="n">
        <f aca="false">ROUND((E88+F88-I88)+(J88+K88-N88)+(O88+P88-S88)+(T88+U88-X88)+(Y88+Z88-AC88)+(AD88+AE88-AH88)+(AI88+AJ88-AM88)+(AN88+AO88-AR88)+(AS88+AT88-AW88)+(AX88+AY88-BB88),2)</f>
        <v>0</v>
      </c>
      <c r="BE88" s="25" t="str">
        <f aca="false">IF(H88&gt;0.005,$C$5,IF(M88&gt;0.005,$C$6,IF(R88&gt;0.005,$C$7,IF(W88&gt;0.005,$C$8,IF(AB88&gt;0.005,$C$9,IF(AG88&gt;0.005,$C$10,IF(AL88&gt;0.005,$C$11,IF(AQ88&gt;0.005,$C$12,IF(AV88&gt;0.005,$C$13,IF(BA88&gt;0.005,$C$14,""))))))))))</f>
        <v/>
      </c>
    </row>
    <row r="89" customFormat="false" ht="15" hidden="false" customHeight="false" outlineLevel="0" collapsed="false">
      <c r="A89" s="24" t="n">
        <v>66</v>
      </c>
      <c r="B89" s="54" t="n">
        <f aca="false">EDATE($C$17,A89-1)</f>
        <v>48305</v>
      </c>
      <c r="C89" s="55" t="n">
        <f aca="false">G89+L89+Q89+V89+AA89+AF89+AK89+AP89+AU89+AZ89</f>
        <v>0</v>
      </c>
      <c r="D89" s="55" t="n">
        <f aca="false">MAX(0,$C$16-C89)</f>
        <v>5822</v>
      </c>
      <c r="E89" s="55" t="n">
        <f aca="false">ROUND(MAX(0,E88+F88-I88),2)</f>
        <v>0</v>
      </c>
      <c r="F89" s="55" t="n">
        <f aca="false">ROUND(E89*$E$5/12,2)</f>
        <v>0</v>
      </c>
      <c r="G89" s="55" t="n">
        <f aca="false">MIN($F$5,E89+F89)</f>
        <v>0</v>
      </c>
      <c r="H89" s="55" t="n">
        <f aca="false">MAX(0,MIN(E89+F89-G89,$D89))</f>
        <v>0</v>
      </c>
      <c r="I89" s="55" t="n">
        <f aca="false">G89+H89</f>
        <v>0</v>
      </c>
      <c r="J89" s="55" t="n">
        <f aca="false">ROUND(MAX(0,J88+K88-N88),2)</f>
        <v>0</v>
      </c>
      <c r="K89" s="55" t="n">
        <f aca="false">ROUND(J89*$E$6/12,2)</f>
        <v>0</v>
      </c>
      <c r="L89" s="55" t="n">
        <f aca="false">MIN($F$6,J89+K89)</f>
        <v>0</v>
      </c>
      <c r="M89" s="55" t="n">
        <f aca="false">MAX(0,MIN(J89+K89-L89,$D89-(H89)))</f>
        <v>0</v>
      </c>
      <c r="N89" s="55" t="n">
        <f aca="false">L89+M89</f>
        <v>0</v>
      </c>
      <c r="O89" s="55" t="n">
        <f aca="false">ROUND(MAX(0,O88+P88-S88),2)</f>
        <v>0</v>
      </c>
      <c r="P89" s="55" t="n">
        <f aca="false">ROUND(O89*$E$7/12,2)</f>
        <v>0</v>
      </c>
      <c r="Q89" s="55" t="n">
        <f aca="false">MIN($F$7,O89+P89)</f>
        <v>0</v>
      </c>
      <c r="R89" s="55" t="n">
        <f aca="false">MAX(0,MIN(O89+P89-Q89,$D89-(H89+M89)))</f>
        <v>0</v>
      </c>
      <c r="S89" s="55" t="n">
        <f aca="false">Q89+R89</f>
        <v>0</v>
      </c>
      <c r="T89" s="55" t="n">
        <f aca="false">ROUND(MAX(0,T88+U88-X88),2)</f>
        <v>0</v>
      </c>
      <c r="U89" s="55" t="n">
        <f aca="false">ROUND(T89*$E$8/12,2)</f>
        <v>0</v>
      </c>
      <c r="V89" s="55" t="n">
        <f aca="false">MIN($F$8,T89+U89)</f>
        <v>0</v>
      </c>
      <c r="W89" s="55" t="n">
        <f aca="false">MAX(0,MIN(T89+U89-V89,$D89-(H89+M89+R89)))</f>
        <v>0</v>
      </c>
      <c r="X89" s="55" t="n">
        <f aca="false">V89+W89</f>
        <v>0</v>
      </c>
      <c r="Y89" s="55" t="n">
        <f aca="false">ROUND(MAX(0,Y88+Z88-AC88),2)</f>
        <v>0</v>
      </c>
      <c r="Z89" s="55" t="n">
        <f aca="false">ROUND(Y89*$E$9/12,2)</f>
        <v>0</v>
      </c>
      <c r="AA89" s="55" t="n">
        <f aca="false">MIN($F$9,Y89+Z89)</f>
        <v>0</v>
      </c>
      <c r="AB89" s="55" t="n">
        <f aca="false">MAX(0,MIN(Y89+Z89-AA89,$D89-(H89+M89+R89+W89)))</f>
        <v>0</v>
      </c>
      <c r="AC89" s="55" t="n">
        <f aca="false">AA89+AB89</f>
        <v>0</v>
      </c>
      <c r="AD89" s="55" t="n">
        <f aca="false">ROUND(MAX(0,AD88+AE88-AH88),2)</f>
        <v>0</v>
      </c>
      <c r="AE89" s="55" t="n">
        <f aca="false">ROUND(AD89*$E$10/12,2)</f>
        <v>0</v>
      </c>
      <c r="AF89" s="55" t="n">
        <f aca="false">MIN($F$10,AD89+AE89)</f>
        <v>0</v>
      </c>
      <c r="AG89" s="55" t="n">
        <f aca="false">MAX(0,MIN(AD89+AE89-AF89,$D89-(H89+M89+R89+W89+AB89)))</f>
        <v>0</v>
      </c>
      <c r="AH89" s="55" t="n">
        <f aca="false">AF89+AG89</f>
        <v>0</v>
      </c>
      <c r="AI89" s="55" t="n">
        <f aca="false">ROUND(MAX(0,AI88+AJ88-AM88),2)</f>
        <v>0</v>
      </c>
      <c r="AJ89" s="55" t="n">
        <f aca="false">ROUND(AI89*$E$11/12,2)</f>
        <v>0</v>
      </c>
      <c r="AK89" s="55" t="n">
        <f aca="false">MIN($F$11,AI89+AJ89)</f>
        <v>0</v>
      </c>
      <c r="AL89" s="55" t="n">
        <f aca="false">MAX(0,MIN(AI89+AJ89-AK89,$D89-(H89+M89+R89+W89+AB89+AG89)))</f>
        <v>0</v>
      </c>
      <c r="AM89" s="55" t="n">
        <f aca="false">AK89+AL89</f>
        <v>0</v>
      </c>
      <c r="AN89" s="55" t="n">
        <f aca="false">ROUND(MAX(0,AN88+AO88-AR88),2)</f>
        <v>0</v>
      </c>
      <c r="AO89" s="55" t="n">
        <f aca="false">ROUND(AN89*$E$12/12,2)</f>
        <v>0</v>
      </c>
      <c r="AP89" s="55" t="n">
        <f aca="false">MIN($F$12,AN89+AO89)</f>
        <v>0</v>
      </c>
      <c r="AQ89" s="55" t="n">
        <f aca="false">MAX(0,MIN(AN89+AO89-AP89,$D89-(H89+M89+R89+W89+AB89+AG89+AL89)))</f>
        <v>0</v>
      </c>
      <c r="AR89" s="55" t="n">
        <f aca="false">AP89+AQ89</f>
        <v>0</v>
      </c>
      <c r="AS89" s="55" t="n">
        <f aca="false">ROUND(MAX(0,AS88+AT88-AW88),2)</f>
        <v>0</v>
      </c>
      <c r="AT89" s="55" t="n">
        <f aca="false">ROUND(AS89*$E$13/12,2)</f>
        <v>0</v>
      </c>
      <c r="AU89" s="55" t="n">
        <f aca="false">MIN($F$13,AS89+AT89)</f>
        <v>0</v>
      </c>
      <c r="AV89" s="55" t="n">
        <f aca="false">MAX(0,MIN(AS89+AT89-AU89,$D89-(H89+M89+R89+W89+AB89+AG89+AL89+AQ89)))</f>
        <v>0</v>
      </c>
      <c r="AW89" s="55" t="n">
        <f aca="false">AU89+AV89</f>
        <v>0</v>
      </c>
      <c r="AX89" s="55" t="n">
        <f aca="false">ROUND(MAX(0,AX88+AY88-BB88),2)</f>
        <v>0</v>
      </c>
      <c r="AY89" s="55" t="n">
        <f aca="false">ROUND(AX89*$E$14/12,2)</f>
        <v>0</v>
      </c>
      <c r="AZ89" s="55" t="n">
        <f aca="false">MIN($F$14,AX89+AY89)</f>
        <v>0</v>
      </c>
      <c r="BA89" s="55" t="n">
        <f aca="false">MAX(0,MIN(AX89+AY89-AZ89,$D89-(H89+M89+R89+W89+AB89+AG89+AL89+AQ89+AV89)))</f>
        <v>0</v>
      </c>
      <c r="BB89" s="55" t="n">
        <f aca="false">AZ89+BA89</f>
        <v>0</v>
      </c>
      <c r="BC89" s="55" t="n">
        <f aca="false">I89+N89+S89+X89+AC89+AH89+AM89+AR89+AW89+BB89</f>
        <v>0</v>
      </c>
      <c r="BD89" s="55" t="n">
        <f aca="false">ROUND((E89+F89-I89)+(J89+K89-N89)+(O89+P89-S89)+(T89+U89-X89)+(Y89+Z89-AC89)+(AD89+AE89-AH89)+(AI89+AJ89-AM89)+(AN89+AO89-AR89)+(AS89+AT89-AW89)+(AX89+AY89-BB89),2)</f>
        <v>0</v>
      </c>
      <c r="BE89" s="25" t="str">
        <f aca="false">IF(H89&gt;0.005,$C$5,IF(M89&gt;0.005,$C$6,IF(R89&gt;0.005,$C$7,IF(W89&gt;0.005,$C$8,IF(AB89&gt;0.005,$C$9,IF(AG89&gt;0.005,$C$10,IF(AL89&gt;0.005,$C$11,IF(AQ89&gt;0.005,$C$12,IF(AV89&gt;0.005,$C$13,IF(BA89&gt;0.005,$C$14,""))))))))))</f>
        <v/>
      </c>
    </row>
    <row r="90" customFormat="false" ht="15" hidden="false" customHeight="false" outlineLevel="0" collapsed="false">
      <c r="A90" s="24" t="n">
        <v>67</v>
      </c>
      <c r="B90" s="54" t="n">
        <f aca="false">EDATE($C$17,A90-1)</f>
        <v>48335</v>
      </c>
      <c r="C90" s="55" t="n">
        <f aca="false">G90+L90+Q90+V90+AA90+AF90+AK90+AP90+AU90+AZ90</f>
        <v>0</v>
      </c>
      <c r="D90" s="55" t="n">
        <f aca="false">MAX(0,$C$16-C90)</f>
        <v>5822</v>
      </c>
      <c r="E90" s="55" t="n">
        <f aca="false">ROUND(MAX(0,E89+F89-I89),2)</f>
        <v>0</v>
      </c>
      <c r="F90" s="55" t="n">
        <f aca="false">ROUND(E90*$E$5/12,2)</f>
        <v>0</v>
      </c>
      <c r="G90" s="55" t="n">
        <f aca="false">MIN($F$5,E90+F90)</f>
        <v>0</v>
      </c>
      <c r="H90" s="55" t="n">
        <f aca="false">MAX(0,MIN(E90+F90-G90,$D90))</f>
        <v>0</v>
      </c>
      <c r="I90" s="55" t="n">
        <f aca="false">G90+H90</f>
        <v>0</v>
      </c>
      <c r="J90" s="55" t="n">
        <f aca="false">ROUND(MAX(0,J89+K89-N89),2)</f>
        <v>0</v>
      </c>
      <c r="K90" s="55" t="n">
        <f aca="false">ROUND(J90*$E$6/12,2)</f>
        <v>0</v>
      </c>
      <c r="L90" s="55" t="n">
        <f aca="false">MIN($F$6,J90+K90)</f>
        <v>0</v>
      </c>
      <c r="M90" s="55" t="n">
        <f aca="false">MAX(0,MIN(J90+K90-L90,$D90-(H90)))</f>
        <v>0</v>
      </c>
      <c r="N90" s="55" t="n">
        <f aca="false">L90+M90</f>
        <v>0</v>
      </c>
      <c r="O90" s="55" t="n">
        <f aca="false">ROUND(MAX(0,O89+P89-S89),2)</f>
        <v>0</v>
      </c>
      <c r="P90" s="55" t="n">
        <f aca="false">ROUND(O90*$E$7/12,2)</f>
        <v>0</v>
      </c>
      <c r="Q90" s="55" t="n">
        <f aca="false">MIN($F$7,O90+P90)</f>
        <v>0</v>
      </c>
      <c r="R90" s="55" t="n">
        <f aca="false">MAX(0,MIN(O90+P90-Q90,$D90-(H90+M90)))</f>
        <v>0</v>
      </c>
      <c r="S90" s="55" t="n">
        <f aca="false">Q90+R90</f>
        <v>0</v>
      </c>
      <c r="T90" s="55" t="n">
        <f aca="false">ROUND(MAX(0,T89+U89-X89),2)</f>
        <v>0</v>
      </c>
      <c r="U90" s="55" t="n">
        <f aca="false">ROUND(T90*$E$8/12,2)</f>
        <v>0</v>
      </c>
      <c r="V90" s="55" t="n">
        <f aca="false">MIN($F$8,T90+U90)</f>
        <v>0</v>
      </c>
      <c r="W90" s="55" t="n">
        <f aca="false">MAX(0,MIN(T90+U90-V90,$D90-(H90+M90+R90)))</f>
        <v>0</v>
      </c>
      <c r="X90" s="55" t="n">
        <f aca="false">V90+W90</f>
        <v>0</v>
      </c>
      <c r="Y90" s="55" t="n">
        <f aca="false">ROUND(MAX(0,Y89+Z89-AC89),2)</f>
        <v>0</v>
      </c>
      <c r="Z90" s="55" t="n">
        <f aca="false">ROUND(Y90*$E$9/12,2)</f>
        <v>0</v>
      </c>
      <c r="AA90" s="55" t="n">
        <f aca="false">MIN($F$9,Y90+Z90)</f>
        <v>0</v>
      </c>
      <c r="AB90" s="55" t="n">
        <f aca="false">MAX(0,MIN(Y90+Z90-AA90,$D90-(H90+M90+R90+W90)))</f>
        <v>0</v>
      </c>
      <c r="AC90" s="55" t="n">
        <f aca="false">AA90+AB90</f>
        <v>0</v>
      </c>
      <c r="AD90" s="55" t="n">
        <f aca="false">ROUND(MAX(0,AD89+AE89-AH89),2)</f>
        <v>0</v>
      </c>
      <c r="AE90" s="55" t="n">
        <f aca="false">ROUND(AD90*$E$10/12,2)</f>
        <v>0</v>
      </c>
      <c r="AF90" s="55" t="n">
        <f aca="false">MIN($F$10,AD90+AE90)</f>
        <v>0</v>
      </c>
      <c r="AG90" s="55" t="n">
        <f aca="false">MAX(0,MIN(AD90+AE90-AF90,$D90-(H90+M90+R90+W90+AB90)))</f>
        <v>0</v>
      </c>
      <c r="AH90" s="55" t="n">
        <f aca="false">AF90+AG90</f>
        <v>0</v>
      </c>
      <c r="AI90" s="55" t="n">
        <f aca="false">ROUND(MAX(0,AI89+AJ89-AM89),2)</f>
        <v>0</v>
      </c>
      <c r="AJ90" s="55" t="n">
        <f aca="false">ROUND(AI90*$E$11/12,2)</f>
        <v>0</v>
      </c>
      <c r="AK90" s="55" t="n">
        <f aca="false">MIN($F$11,AI90+AJ90)</f>
        <v>0</v>
      </c>
      <c r="AL90" s="55" t="n">
        <f aca="false">MAX(0,MIN(AI90+AJ90-AK90,$D90-(H90+M90+R90+W90+AB90+AG90)))</f>
        <v>0</v>
      </c>
      <c r="AM90" s="55" t="n">
        <f aca="false">AK90+AL90</f>
        <v>0</v>
      </c>
      <c r="AN90" s="55" t="n">
        <f aca="false">ROUND(MAX(0,AN89+AO89-AR89),2)</f>
        <v>0</v>
      </c>
      <c r="AO90" s="55" t="n">
        <f aca="false">ROUND(AN90*$E$12/12,2)</f>
        <v>0</v>
      </c>
      <c r="AP90" s="55" t="n">
        <f aca="false">MIN($F$12,AN90+AO90)</f>
        <v>0</v>
      </c>
      <c r="AQ90" s="55" t="n">
        <f aca="false">MAX(0,MIN(AN90+AO90-AP90,$D90-(H90+M90+R90+W90+AB90+AG90+AL90)))</f>
        <v>0</v>
      </c>
      <c r="AR90" s="55" t="n">
        <f aca="false">AP90+AQ90</f>
        <v>0</v>
      </c>
      <c r="AS90" s="55" t="n">
        <f aca="false">ROUND(MAX(0,AS89+AT89-AW89),2)</f>
        <v>0</v>
      </c>
      <c r="AT90" s="55" t="n">
        <f aca="false">ROUND(AS90*$E$13/12,2)</f>
        <v>0</v>
      </c>
      <c r="AU90" s="55" t="n">
        <f aca="false">MIN($F$13,AS90+AT90)</f>
        <v>0</v>
      </c>
      <c r="AV90" s="55" t="n">
        <f aca="false">MAX(0,MIN(AS90+AT90-AU90,$D90-(H90+M90+R90+W90+AB90+AG90+AL90+AQ90)))</f>
        <v>0</v>
      </c>
      <c r="AW90" s="55" t="n">
        <f aca="false">AU90+AV90</f>
        <v>0</v>
      </c>
      <c r="AX90" s="55" t="n">
        <f aca="false">ROUND(MAX(0,AX89+AY89-BB89),2)</f>
        <v>0</v>
      </c>
      <c r="AY90" s="55" t="n">
        <f aca="false">ROUND(AX90*$E$14/12,2)</f>
        <v>0</v>
      </c>
      <c r="AZ90" s="55" t="n">
        <f aca="false">MIN($F$14,AX90+AY90)</f>
        <v>0</v>
      </c>
      <c r="BA90" s="55" t="n">
        <f aca="false">MAX(0,MIN(AX90+AY90-AZ90,$D90-(H90+M90+R90+W90+AB90+AG90+AL90+AQ90+AV90)))</f>
        <v>0</v>
      </c>
      <c r="BB90" s="55" t="n">
        <f aca="false">AZ90+BA90</f>
        <v>0</v>
      </c>
      <c r="BC90" s="55" t="n">
        <f aca="false">I90+N90+S90+X90+AC90+AH90+AM90+AR90+AW90+BB90</f>
        <v>0</v>
      </c>
      <c r="BD90" s="55" t="n">
        <f aca="false">ROUND((E90+F90-I90)+(J90+K90-N90)+(O90+P90-S90)+(T90+U90-X90)+(Y90+Z90-AC90)+(AD90+AE90-AH90)+(AI90+AJ90-AM90)+(AN90+AO90-AR90)+(AS90+AT90-AW90)+(AX90+AY90-BB90),2)</f>
        <v>0</v>
      </c>
      <c r="BE90" s="25" t="str">
        <f aca="false">IF(H90&gt;0.005,$C$5,IF(M90&gt;0.005,$C$6,IF(R90&gt;0.005,$C$7,IF(W90&gt;0.005,$C$8,IF(AB90&gt;0.005,$C$9,IF(AG90&gt;0.005,$C$10,IF(AL90&gt;0.005,$C$11,IF(AQ90&gt;0.005,$C$12,IF(AV90&gt;0.005,$C$13,IF(BA90&gt;0.005,$C$14,""))))))))))</f>
        <v/>
      </c>
    </row>
    <row r="91" customFormat="false" ht="15" hidden="false" customHeight="false" outlineLevel="0" collapsed="false">
      <c r="A91" s="24" t="n">
        <v>68</v>
      </c>
      <c r="B91" s="54" t="n">
        <f aca="false">EDATE($C$17,A91-1)</f>
        <v>48366</v>
      </c>
      <c r="C91" s="55" t="n">
        <f aca="false">G91+L91+Q91+V91+AA91+AF91+AK91+AP91+AU91+AZ91</f>
        <v>0</v>
      </c>
      <c r="D91" s="55" t="n">
        <f aca="false">MAX(0,$C$16-C91)</f>
        <v>5822</v>
      </c>
      <c r="E91" s="55" t="n">
        <f aca="false">ROUND(MAX(0,E90+F90-I90),2)</f>
        <v>0</v>
      </c>
      <c r="F91" s="55" t="n">
        <f aca="false">ROUND(E91*$E$5/12,2)</f>
        <v>0</v>
      </c>
      <c r="G91" s="55" t="n">
        <f aca="false">MIN($F$5,E91+F91)</f>
        <v>0</v>
      </c>
      <c r="H91" s="55" t="n">
        <f aca="false">MAX(0,MIN(E91+F91-G91,$D91))</f>
        <v>0</v>
      </c>
      <c r="I91" s="55" t="n">
        <f aca="false">G91+H91</f>
        <v>0</v>
      </c>
      <c r="J91" s="55" t="n">
        <f aca="false">ROUND(MAX(0,J90+K90-N90),2)</f>
        <v>0</v>
      </c>
      <c r="K91" s="55" t="n">
        <f aca="false">ROUND(J91*$E$6/12,2)</f>
        <v>0</v>
      </c>
      <c r="L91" s="55" t="n">
        <f aca="false">MIN($F$6,J91+K91)</f>
        <v>0</v>
      </c>
      <c r="M91" s="55" t="n">
        <f aca="false">MAX(0,MIN(J91+K91-L91,$D91-(H91)))</f>
        <v>0</v>
      </c>
      <c r="N91" s="55" t="n">
        <f aca="false">L91+M91</f>
        <v>0</v>
      </c>
      <c r="O91" s="55" t="n">
        <f aca="false">ROUND(MAX(0,O90+P90-S90),2)</f>
        <v>0</v>
      </c>
      <c r="P91" s="55" t="n">
        <f aca="false">ROUND(O91*$E$7/12,2)</f>
        <v>0</v>
      </c>
      <c r="Q91" s="55" t="n">
        <f aca="false">MIN($F$7,O91+P91)</f>
        <v>0</v>
      </c>
      <c r="R91" s="55" t="n">
        <f aca="false">MAX(0,MIN(O91+P91-Q91,$D91-(H91+M91)))</f>
        <v>0</v>
      </c>
      <c r="S91" s="55" t="n">
        <f aca="false">Q91+R91</f>
        <v>0</v>
      </c>
      <c r="T91" s="55" t="n">
        <f aca="false">ROUND(MAX(0,T90+U90-X90),2)</f>
        <v>0</v>
      </c>
      <c r="U91" s="55" t="n">
        <f aca="false">ROUND(T91*$E$8/12,2)</f>
        <v>0</v>
      </c>
      <c r="V91" s="55" t="n">
        <f aca="false">MIN($F$8,T91+U91)</f>
        <v>0</v>
      </c>
      <c r="W91" s="55" t="n">
        <f aca="false">MAX(0,MIN(T91+U91-V91,$D91-(H91+M91+R91)))</f>
        <v>0</v>
      </c>
      <c r="X91" s="55" t="n">
        <f aca="false">V91+W91</f>
        <v>0</v>
      </c>
      <c r="Y91" s="55" t="n">
        <f aca="false">ROUND(MAX(0,Y90+Z90-AC90),2)</f>
        <v>0</v>
      </c>
      <c r="Z91" s="55" t="n">
        <f aca="false">ROUND(Y91*$E$9/12,2)</f>
        <v>0</v>
      </c>
      <c r="AA91" s="55" t="n">
        <f aca="false">MIN($F$9,Y91+Z91)</f>
        <v>0</v>
      </c>
      <c r="AB91" s="55" t="n">
        <f aca="false">MAX(0,MIN(Y91+Z91-AA91,$D91-(H91+M91+R91+W91)))</f>
        <v>0</v>
      </c>
      <c r="AC91" s="55" t="n">
        <f aca="false">AA91+AB91</f>
        <v>0</v>
      </c>
      <c r="AD91" s="55" t="n">
        <f aca="false">ROUND(MAX(0,AD90+AE90-AH90),2)</f>
        <v>0</v>
      </c>
      <c r="AE91" s="55" t="n">
        <f aca="false">ROUND(AD91*$E$10/12,2)</f>
        <v>0</v>
      </c>
      <c r="AF91" s="55" t="n">
        <f aca="false">MIN($F$10,AD91+AE91)</f>
        <v>0</v>
      </c>
      <c r="AG91" s="55" t="n">
        <f aca="false">MAX(0,MIN(AD91+AE91-AF91,$D91-(H91+M91+R91+W91+AB91)))</f>
        <v>0</v>
      </c>
      <c r="AH91" s="55" t="n">
        <f aca="false">AF91+AG91</f>
        <v>0</v>
      </c>
      <c r="AI91" s="55" t="n">
        <f aca="false">ROUND(MAX(0,AI90+AJ90-AM90),2)</f>
        <v>0</v>
      </c>
      <c r="AJ91" s="55" t="n">
        <f aca="false">ROUND(AI91*$E$11/12,2)</f>
        <v>0</v>
      </c>
      <c r="AK91" s="55" t="n">
        <f aca="false">MIN($F$11,AI91+AJ91)</f>
        <v>0</v>
      </c>
      <c r="AL91" s="55" t="n">
        <f aca="false">MAX(0,MIN(AI91+AJ91-AK91,$D91-(H91+M91+R91+W91+AB91+AG91)))</f>
        <v>0</v>
      </c>
      <c r="AM91" s="55" t="n">
        <f aca="false">AK91+AL91</f>
        <v>0</v>
      </c>
      <c r="AN91" s="55" t="n">
        <f aca="false">ROUND(MAX(0,AN90+AO90-AR90),2)</f>
        <v>0</v>
      </c>
      <c r="AO91" s="55" t="n">
        <f aca="false">ROUND(AN91*$E$12/12,2)</f>
        <v>0</v>
      </c>
      <c r="AP91" s="55" t="n">
        <f aca="false">MIN($F$12,AN91+AO91)</f>
        <v>0</v>
      </c>
      <c r="AQ91" s="55" t="n">
        <f aca="false">MAX(0,MIN(AN91+AO91-AP91,$D91-(H91+M91+R91+W91+AB91+AG91+AL91)))</f>
        <v>0</v>
      </c>
      <c r="AR91" s="55" t="n">
        <f aca="false">AP91+AQ91</f>
        <v>0</v>
      </c>
      <c r="AS91" s="55" t="n">
        <f aca="false">ROUND(MAX(0,AS90+AT90-AW90),2)</f>
        <v>0</v>
      </c>
      <c r="AT91" s="55" t="n">
        <f aca="false">ROUND(AS91*$E$13/12,2)</f>
        <v>0</v>
      </c>
      <c r="AU91" s="55" t="n">
        <f aca="false">MIN($F$13,AS91+AT91)</f>
        <v>0</v>
      </c>
      <c r="AV91" s="55" t="n">
        <f aca="false">MAX(0,MIN(AS91+AT91-AU91,$D91-(H91+M91+R91+W91+AB91+AG91+AL91+AQ91)))</f>
        <v>0</v>
      </c>
      <c r="AW91" s="55" t="n">
        <f aca="false">AU91+AV91</f>
        <v>0</v>
      </c>
      <c r="AX91" s="55" t="n">
        <f aca="false">ROUND(MAX(0,AX90+AY90-BB90),2)</f>
        <v>0</v>
      </c>
      <c r="AY91" s="55" t="n">
        <f aca="false">ROUND(AX91*$E$14/12,2)</f>
        <v>0</v>
      </c>
      <c r="AZ91" s="55" t="n">
        <f aca="false">MIN($F$14,AX91+AY91)</f>
        <v>0</v>
      </c>
      <c r="BA91" s="55" t="n">
        <f aca="false">MAX(0,MIN(AX91+AY91-AZ91,$D91-(H91+M91+R91+W91+AB91+AG91+AL91+AQ91+AV91)))</f>
        <v>0</v>
      </c>
      <c r="BB91" s="55" t="n">
        <f aca="false">AZ91+BA91</f>
        <v>0</v>
      </c>
      <c r="BC91" s="55" t="n">
        <f aca="false">I91+N91+S91+X91+AC91+AH91+AM91+AR91+AW91+BB91</f>
        <v>0</v>
      </c>
      <c r="BD91" s="55" t="n">
        <f aca="false">ROUND((E91+F91-I91)+(J91+K91-N91)+(O91+P91-S91)+(T91+U91-X91)+(Y91+Z91-AC91)+(AD91+AE91-AH91)+(AI91+AJ91-AM91)+(AN91+AO91-AR91)+(AS91+AT91-AW91)+(AX91+AY91-BB91),2)</f>
        <v>0</v>
      </c>
      <c r="BE91" s="25" t="str">
        <f aca="false">IF(H91&gt;0.005,$C$5,IF(M91&gt;0.005,$C$6,IF(R91&gt;0.005,$C$7,IF(W91&gt;0.005,$C$8,IF(AB91&gt;0.005,$C$9,IF(AG91&gt;0.005,$C$10,IF(AL91&gt;0.005,$C$11,IF(AQ91&gt;0.005,$C$12,IF(AV91&gt;0.005,$C$13,IF(BA91&gt;0.005,$C$14,""))))))))))</f>
        <v/>
      </c>
    </row>
    <row r="92" customFormat="false" ht="15" hidden="false" customHeight="false" outlineLevel="0" collapsed="false">
      <c r="A92" s="24" t="n">
        <v>69</v>
      </c>
      <c r="B92" s="54" t="n">
        <f aca="false">EDATE($C$17,A92-1)</f>
        <v>48396</v>
      </c>
      <c r="C92" s="55" t="n">
        <f aca="false">G92+L92+Q92+V92+AA92+AF92+AK92+AP92+AU92+AZ92</f>
        <v>0</v>
      </c>
      <c r="D92" s="55" t="n">
        <f aca="false">MAX(0,$C$16-C92)</f>
        <v>5822</v>
      </c>
      <c r="E92" s="55" t="n">
        <f aca="false">ROUND(MAX(0,E91+F91-I91),2)</f>
        <v>0</v>
      </c>
      <c r="F92" s="55" t="n">
        <f aca="false">ROUND(E92*$E$5/12,2)</f>
        <v>0</v>
      </c>
      <c r="G92" s="55" t="n">
        <f aca="false">MIN($F$5,E92+F92)</f>
        <v>0</v>
      </c>
      <c r="H92" s="55" t="n">
        <f aca="false">MAX(0,MIN(E92+F92-G92,$D92))</f>
        <v>0</v>
      </c>
      <c r="I92" s="55" t="n">
        <f aca="false">G92+H92</f>
        <v>0</v>
      </c>
      <c r="J92" s="55" t="n">
        <f aca="false">ROUND(MAX(0,J91+K91-N91),2)</f>
        <v>0</v>
      </c>
      <c r="K92" s="55" t="n">
        <f aca="false">ROUND(J92*$E$6/12,2)</f>
        <v>0</v>
      </c>
      <c r="L92" s="55" t="n">
        <f aca="false">MIN($F$6,J92+K92)</f>
        <v>0</v>
      </c>
      <c r="M92" s="55" t="n">
        <f aca="false">MAX(0,MIN(J92+K92-L92,$D92-(H92)))</f>
        <v>0</v>
      </c>
      <c r="N92" s="55" t="n">
        <f aca="false">L92+M92</f>
        <v>0</v>
      </c>
      <c r="O92" s="55" t="n">
        <f aca="false">ROUND(MAX(0,O91+P91-S91),2)</f>
        <v>0</v>
      </c>
      <c r="P92" s="55" t="n">
        <f aca="false">ROUND(O92*$E$7/12,2)</f>
        <v>0</v>
      </c>
      <c r="Q92" s="55" t="n">
        <f aca="false">MIN($F$7,O92+P92)</f>
        <v>0</v>
      </c>
      <c r="R92" s="55" t="n">
        <f aca="false">MAX(0,MIN(O92+P92-Q92,$D92-(H92+M92)))</f>
        <v>0</v>
      </c>
      <c r="S92" s="55" t="n">
        <f aca="false">Q92+R92</f>
        <v>0</v>
      </c>
      <c r="T92" s="55" t="n">
        <f aca="false">ROUND(MAX(0,T91+U91-X91),2)</f>
        <v>0</v>
      </c>
      <c r="U92" s="55" t="n">
        <f aca="false">ROUND(T92*$E$8/12,2)</f>
        <v>0</v>
      </c>
      <c r="V92" s="55" t="n">
        <f aca="false">MIN($F$8,T92+U92)</f>
        <v>0</v>
      </c>
      <c r="W92" s="55" t="n">
        <f aca="false">MAX(0,MIN(T92+U92-V92,$D92-(H92+M92+R92)))</f>
        <v>0</v>
      </c>
      <c r="X92" s="55" t="n">
        <f aca="false">V92+W92</f>
        <v>0</v>
      </c>
      <c r="Y92" s="55" t="n">
        <f aca="false">ROUND(MAX(0,Y91+Z91-AC91),2)</f>
        <v>0</v>
      </c>
      <c r="Z92" s="55" t="n">
        <f aca="false">ROUND(Y92*$E$9/12,2)</f>
        <v>0</v>
      </c>
      <c r="AA92" s="55" t="n">
        <f aca="false">MIN($F$9,Y92+Z92)</f>
        <v>0</v>
      </c>
      <c r="AB92" s="55" t="n">
        <f aca="false">MAX(0,MIN(Y92+Z92-AA92,$D92-(H92+M92+R92+W92)))</f>
        <v>0</v>
      </c>
      <c r="AC92" s="55" t="n">
        <f aca="false">AA92+AB92</f>
        <v>0</v>
      </c>
      <c r="AD92" s="55" t="n">
        <f aca="false">ROUND(MAX(0,AD91+AE91-AH91),2)</f>
        <v>0</v>
      </c>
      <c r="AE92" s="55" t="n">
        <f aca="false">ROUND(AD92*$E$10/12,2)</f>
        <v>0</v>
      </c>
      <c r="AF92" s="55" t="n">
        <f aca="false">MIN($F$10,AD92+AE92)</f>
        <v>0</v>
      </c>
      <c r="AG92" s="55" t="n">
        <f aca="false">MAX(0,MIN(AD92+AE92-AF92,$D92-(H92+M92+R92+W92+AB92)))</f>
        <v>0</v>
      </c>
      <c r="AH92" s="55" t="n">
        <f aca="false">AF92+AG92</f>
        <v>0</v>
      </c>
      <c r="AI92" s="55" t="n">
        <f aca="false">ROUND(MAX(0,AI91+AJ91-AM91),2)</f>
        <v>0</v>
      </c>
      <c r="AJ92" s="55" t="n">
        <f aca="false">ROUND(AI92*$E$11/12,2)</f>
        <v>0</v>
      </c>
      <c r="AK92" s="55" t="n">
        <f aca="false">MIN($F$11,AI92+AJ92)</f>
        <v>0</v>
      </c>
      <c r="AL92" s="55" t="n">
        <f aca="false">MAX(0,MIN(AI92+AJ92-AK92,$D92-(H92+M92+R92+W92+AB92+AG92)))</f>
        <v>0</v>
      </c>
      <c r="AM92" s="55" t="n">
        <f aca="false">AK92+AL92</f>
        <v>0</v>
      </c>
      <c r="AN92" s="55" t="n">
        <f aca="false">ROUND(MAX(0,AN91+AO91-AR91),2)</f>
        <v>0</v>
      </c>
      <c r="AO92" s="55" t="n">
        <f aca="false">ROUND(AN92*$E$12/12,2)</f>
        <v>0</v>
      </c>
      <c r="AP92" s="55" t="n">
        <f aca="false">MIN($F$12,AN92+AO92)</f>
        <v>0</v>
      </c>
      <c r="AQ92" s="55" t="n">
        <f aca="false">MAX(0,MIN(AN92+AO92-AP92,$D92-(H92+M92+R92+W92+AB92+AG92+AL92)))</f>
        <v>0</v>
      </c>
      <c r="AR92" s="55" t="n">
        <f aca="false">AP92+AQ92</f>
        <v>0</v>
      </c>
      <c r="AS92" s="55" t="n">
        <f aca="false">ROUND(MAX(0,AS91+AT91-AW91),2)</f>
        <v>0</v>
      </c>
      <c r="AT92" s="55" t="n">
        <f aca="false">ROUND(AS92*$E$13/12,2)</f>
        <v>0</v>
      </c>
      <c r="AU92" s="55" t="n">
        <f aca="false">MIN($F$13,AS92+AT92)</f>
        <v>0</v>
      </c>
      <c r="AV92" s="55" t="n">
        <f aca="false">MAX(0,MIN(AS92+AT92-AU92,$D92-(H92+M92+R92+W92+AB92+AG92+AL92+AQ92)))</f>
        <v>0</v>
      </c>
      <c r="AW92" s="55" t="n">
        <f aca="false">AU92+AV92</f>
        <v>0</v>
      </c>
      <c r="AX92" s="55" t="n">
        <f aca="false">ROUND(MAX(0,AX91+AY91-BB91),2)</f>
        <v>0</v>
      </c>
      <c r="AY92" s="55" t="n">
        <f aca="false">ROUND(AX92*$E$14/12,2)</f>
        <v>0</v>
      </c>
      <c r="AZ92" s="55" t="n">
        <f aca="false">MIN($F$14,AX92+AY92)</f>
        <v>0</v>
      </c>
      <c r="BA92" s="55" t="n">
        <f aca="false">MAX(0,MIN(AX92+AY92-AZ92,$D92-(H92+M92+R92+W92+AB92+AG92+AL92+AQ92+AV92)))</f>
        <v>0</v>
      </c>
      <c r="BB92" s="55" t="n">
        <f aca="false">AZ92+BA92</f>
        <v>0</v>
      </c>
      <c r="BC92" s="55" t="n">
        <f aca="false">I92+N92+S92+X92+AC92+AH92+AM92+AR92+AW92+BB92</f>
        <v>0</v>
      </c>
      <c r="BD92" s="55" t="n">
        <f aca="false">ROUND((E92+F92-I92)+(J92+K92-N92)+(O92+P92-S92)+(T92+U92-X92)+(Y92+Z92-AC92)+(AD92+AE92-AH92)+(AI92+AJ92-AM92)+(AN92+AO92-AR92)+(AS92+AT92-AW92)+(AX92+AY92-BB92),2)</f>
        <v>0</v>
      </c>
      <c r="BE92" s="25" t="str">
        <f aca="false">IF(H92&gt;0.005,$C$5,IF(M92&gt;0.005,$C$6,IF(R92&gt;0.005,$C$7,IF(W92&gt;0.005,$C$8,IF(AB92&gt;0.005,$C$9,IF(AG92&gt;0.005,$C$10,IF(AL92&gt;0.005,$C$11,IF(AQ92&gt;0.005,$C$12,IF(AV92&gt;0.005,$C$13,IF(BA92&gt;0.005,$C$14,""))))))))))</f>
        <v/>
      </c>
    </row>
    <row r="93" customFormat="false" ht="15" hidden="false" customHeight="false" outlineLevel="0" collapsed="false">
      <c r="A93" s="24" t="n">
        <v>70</v>
      </c>
      <c r="B93" s="54" t="n">
        <f aca="false">EDATE($C$17,A93-1)</f>
        <v>48427</v>
      </c>
      <c r="C93" s="55" t="n">
        <f aca="false">G93+L93+Q93+V93+AA93+AF93+AK93+AP93+AU93+AZ93</f>
        <v>0</v>
      </c>
      <c r="D93" s="55" t="n">
        <f aca="false">MAX(0,$C$16-C93)</f>
        <v>5822</v>
      </c>
      <c r="E93" s="55" t="n">
        <f aca="false">ROUND(MAX(0,E92+F92-I92),2)</f>
        <v>0</v>
      </c>
      <c r="F93" s="55" t="n">
        <f aca="false">ROUND(E93*$E$5/12,2)</f>
        <v>0</v>
      </c>
      <c r="G93" s="55" t="n">
        <f aca="false">MIN($F$5,E93+F93)</f>
        <v>0</v>
      </c>
      <c r="H93" s="55" t="n">
        <f aca="false">MAX(0,MIN(E93+F93-G93,$D93))</f>
        <v>0</v>
      </c>
      <c r="I93" s="55" t="n">
        <f aca="false">G93+H93</f>
        <v>0</v>
      </c>
      <c r="J93" s="55" t="n">
        <f aca="false">ROUND(MAX(0,J92+K92-N92),2)</f>
        <v>0</v>
      </c>
      <c r="K93" s="55" t="n">
        <f aca="false">ROUND(J93*$E$6/12,2)</f>
        <v>0</v>
      </c>
      <c r="L93" s="55" t="n">
        <f aca="false">MIN($F$6,J93+K93)</f>
        <v>0</v>
      </c>
      <c r="M93" s="55" t="n">
        <f aca="false">MAX(0,MIN(J93+K93-L93,$D93-(H93)))</f>
        <v>0</v>
      </c>
      <c r="N93" s="55" t="n">
        <f aca="false">L93+M93</f>
        <v>0</v>
      </c>
      <c r="O93" s="55" t="n">
        <f aca="false">ROUND(MAX(0,O92+P92-S92),2)</f>
        <v>0</v>
      </c>
      <c r="P93" s="55" t="n">
        <f aca="false">ROUND(O93*$E$7/12,2)</f>
        <v>0</v>
      </c>
      <c r="Q93" s="55" t="n">
        <f aca="false">MIN($F$7,O93+P93)</f>
        <v>0</v>
      </c>
      <c r="R93" s="55" t="n">
        <f aca="false">MAX(0,MIN(O93+P93-Q93,$D93-(H93+M93)))</f>
        <v>0</v>
      </c>
      <c r="S93" s="55" t="n">
        <f aca="false">Q93+R93</f>
        <v>0</v>
      </c>
      <c r="T93" s="55" t="n">
        <f aca="false">ROUND(MAX(0,T92+U92-X92),2)</f>
        <v>0</v>
      </c>
      <c r="U93" s="55" t="n">
        <f aca="false">ROUND(T93*$E$8/12,2)</f>
        <v>0</v>
      </c>
      <c r="V93" s="55" t="n">
        <f aca="false">MIN($F$8,T93+U93)</f>
        <v>0</v>
      </c>
      <c r="W93" s="55" t="n">
        <f aca="false">MAX(0,MIN(T93+U93-V93,$D93-(H93+M93+R93)))</f>
        <v>0</v>
      </c>
      <c r="X93" s="55" t="n">
        <f aca="false">V93+W93</f>
        <v>0</v>
      </c>
      <c r="Y93" s="55" t="n">
        <f aca="false">ROUND(MAX(0,Y92+Z92-AC92),2)</f>
        <v>0</v>
      </c>
      <c r="Z93" s="55" t="n">
        <f aca="false">ROUND(Y93*$E$9/12,2)</f>
        <v>0</v>
      </c>
      <c r="AA93" s="55" t="n">
        <f aca="false">MIN($F$9,Y93+Z93)</f>
        <v>0</v>
      </c>
      <c r="AB93" s="55" t="n">
        <f aca="false">MAX(0,MIN(Y93+Z93-AA93,$D93-(H93+M93+R93+W93)))</f>
        <v>0</v>
      </c>
      <c r="AC93" s="55" t="n">
        <f aca="false">AA93+AB93</f>
        <v>0</v>
      </c>
      <c r="AD93" s="55" t="n">
        <f aca="false">ROUND(MAX(0,AD92+AE92-AH92),2)</f>
        <v>0</v>
      </c>
      <c r="AE93" s="55" t="n">
        <f aca="false">ROUND(AD93*$E$10/12,2)</f>
        <v>0</v>
      </c>
      <c r="AF93" s="55" t="n">
        <f aca="false">MIN($F$10,AD93+AE93)</f>
        <v>0</v>
      </c>
      <c r="AG93" s="55" t="n">
        <f aca="false">MAX(0,MIN(AD93+AE93-AF93,$D93-(H93+M93+R93+W93+AB93)))</f>
        <v>0</v>
      </c>
      <c r="AH93" s="55" t="n">
        <f aca="false">AF93+AG93</f>
        <v>0</v>
      </c>
      <c r="AI93" s="55" t="n">
        <f aca="false">ROUND(MAX(0,AI92+AJ92-AM92),2)</f>
        <v>0</v>
      </c>
      <c r="AJ93" s="55" t="n">
        <f aca="false">ROUND(AI93*$E$11/12,2)</f>
        <v>0</v>
      </c>
      <c r="AK93" s="55" t="n">
        <f aca="false">MIN($F$11,AI93+AJ93)</f>
        <v>0</v>
      </c>
      <c r="AL93" s="55" t="n">
        <f aca="false">MAX(0,MIN(AI93+AJ93-AK93,$D93-(H93+M93+R93+W93+AB93+AG93)))</f>
        <v>0</v>
      </c>
      <c r="AM93" s="55" t="n">
        <f aca="false">AK93+AL93</f>
        <v>0</v>
      </c>
      <c r="AN93" s="55" t="n">
        <f aca="false">ROUND(MAX(0,AN92+AO92-AR92),2)</f>
        <v>0</v>
      </c>
      <c r="AO93" s="55" t="n">
        <f aca="false">ROUND(AN93*$E$12/12,2)</f>
        <v>0</v>
      </c>
      <c r="AP93" s="55" t="n">
        <f aca="false">MIN($F$12,AN93+AO93)</f>
        <v>0</v>
      </c>
      <c r="AQ93" s="55" t="n">
        <f aca="false">MAX(0,MIN(AN93+AO93-AP93,$D93-(H93+M93+R93+W93+AB93+AG93+AL93)))</f>
        <v>0</v>
      </c>
      <c r="AR93" s="55" t="n">
        <f aca="false">AP93+AQ93</f>
        <v>0</v>
      </c>
      <c r="AS93" s="55" t="n">
        <f aca="false">ROUND(MAX(0,AS92+AT92-AW92),2)</f>
        <v>0</v>
      </c>
      <c r="AT93" s="55" t="n">
        <f aca="false">ROUND(AS93*$E$13/12,2)</f>
        <v>0</v>
      </c>
      <c r="AU93" s="55" t="n">
        <f aca="false">MIN($F$13,AS93+AT93)</f>
        <v>0</v>
      </c>
      <c r="AV93" s="55" t="n">
        <f aca="false">MAX(0,MIN(AS93+AT93-AU93,$D93-(H93+M93+R93+W93+AB93+AG93+AL93+AQ93)))</f>
        <v>0</v>
      </c>
      <c r="AW93" s="55" t="n">
        <f aca="false">AU93+AV93</f>
        <v>0</v>
      </c>
      <c r="AX93" s="55" t="n">
        <f aca="false">ROUND(MAX(0,AX92+AY92-BB92),2)</f>
        <v>0</v>
      </c>
      <c r="AY93" s="55" t="n">
        <f aca="false">ROUND(AX93*$E$14/12,2)</f>
        <v>0</v>
      </c>
      <c r="AZ93" s="55" t="n">
        <f aca="false">MIN($F$14,AX93+AY93)</f>
        <v>0</v>
      </c>
      <c r="BA93" s="55" t="n">
        <f aca="false">MAX(0,MIN(AX93+AY93-AZ93,$D93-(H93+M93+R93+W93+AB93+AG93+AL93+AQ93+AV93)))</f>
        <v>0</v>
      </c>
      <c r="BB93" s="55" t="n">
        <f aca="false">AZ93+BA93</f>
        <v>0</v>
      </c>
      <c r="BC93" s="55" t="n">
        <f aca="false">I93+N93+S93+X93+AC93+AH93+AM93+AR93+AW93+BB93</f>
        <v>0</v>
      </c>
      <c r="BD93" s="55" t="n">
        <f aca="false">ROUND((E93+F93-I93)+(J93+K93-N93)+(O93+P93-S93)+(T93+U93-X93)+(Y93+Z93-AC93)+(AD93+AE93-AH93)+(AI93+AJ93-AM93)+(AN93+AO93-AR93)+(AS93+AT93-AW93)+(AX93+AY93-BB93),2)</f>
        <v>0</v>
      </c>
      <c r="BE93" s="25" t="str">
        <f aca="false">IF(H93&gt;0.005,$C$5,IF(M93&gt;0.005,$C$6,IF(R93&gt;0.005,$C$7,IF(W93&gt;0.005,$C$8,IF(AB93&gt;0.005,$C$9,IF(AG93&gt;0.005,$C$10,IF(AL93&gt;0.005,$C$11,IF(AQ93&gt;0.005,$C$12,IF(AV93&gt;0.005,$C$13,IF(BA93&gt;0.005,$C$14,""))))))))))</f>
        <v/>
      </c>
    </row>
    <row r="94" customFormat="false" ht="15" hidden="false" customHeight="false" outlineLevel="0" collapsed="false">
      <c r="A94" s="24" t="n">
        <v>71</v>
      </c>
      <c r="B94" s="54" t="n">
        <f aca="false">EDATE($C$17,A94-1)</f>
        <v>48458</v>
      </c>
      <c r="C94" s="55" t="n">
        <f aca="false">G94+L94+Q94+V94+AA94+AF94+AK94+AP94+AU94+AZ94</f>
        <v>0</v>
      </c>
      <c r="D94" s="55" t="n">
        <f aca="false">MAX(0,$C$16-C94)</f>
        <v>5822</v>
      </c>
      <c r="E94" s="55" t="n">
        <f aca="false">ROUND(MAX(0,E93+F93-I93),2)</f>
        <v>0</v>
      </c>
      <c r="F94" s="55" t="n">
        <f aca="false">ROUND(E94*$E$5/12,2)</f>
        <v>0</v>
      </c>
      <c r="G94" s="55" t="n">
        <f aca="false">MIN($F$5,E94+F94)</f>
        <v>0</v>
      </c>
      <c r="H94" s="55" t="n">
        <f aca="false">MAX(0,MIN(E94+F94-G94,$D94))</f>
        <v>0</v>
      </c>
      <c r="I94" s="55" t="n">
        <f aca="false">G94+H94</f>
        <v>0</v>
      </c>
      <c r="J94" s="55" t="n">
        <f aca="false">ROUND(MAX(0,J93+K93-N93),2)</f>
        <v>0</v>
      </c>
      <c r="K94" s="55" t="n">
        <f aca="false">ROUND(J94*$E$6/12,2)</f>
        <v>0</v>
      </c>
      <c r="L94" s="55" t="n">
        <f aca="false">MIN($F$6,J94+K94)</f>
        <v>0</v>
      </c>
      <c r="M94" s="55" t="n">
        <f aca="false">MAX(0,MIN(J94+K94-L94,$D94-(H94)))</f>
        <v>0</v>
      </c>
      <c r="N94" s="55" t="n">
        <f aca="false">L94+M94</f>
        <v>0</v>
      </c>
      <c r="O94" s="55" t="n">
        <f aca="false">ROUND(MAX(0,O93+P93-S93),2)</f>
        <v>0</v>
      </c>
      <c r="P94" s="55" t="n">
        <f aca="false">ROUND(O94*$E$7/12,2)</f>
        <v>0</v>
      </c>
      <c r="Q94" s="55" t="n">
        <f aca="false">MIN($F$7,O94+P94)</f>
        <v>0</v>
      </c>
      <c r="R94" s="55" t="n">
        <f aca="false">MAX(0,MIN(O94+P94-Q94,$D94-(H94+M94)))</f>
        <v>0</v>
      </c>
      <c r="S94" s="55" t="n">
        <f aca="false">Q94+R94</f>
        <v>0</v>
      </c>
      <c r="T94" s="55" t="n">
        <f aca="false">ROUND(MAX(0,T93+U93-X93),2)</f>
        <v>0</v>
      </c>
      <c r="U94" s="55" t="n">
        <f aca="false">ROUND(T94*$E$8/12,2)</f>
        <v>0</v>
      </c>
      <c r="V94" s="55" t="n">
        <f aca="false">MIN($F$8,T94+U94)</f>
        <v>0</v>
      </c>
      <c r="W94" s="55" t="n">
        <f aca="false">MAX(0,MIN(T94+U94-V94,$D94-(H94+M94+R94)))</f>
        <v>0</v>
      </c>
      <c r="X94" s="55" t="n">
        <f aca="false">V94+W94</f>
        <v>0</v>
      </c>
      <c r="Y94" s="55" t="n">
        <f aca="false">ROUND(MAX(0,Y93+Z93-AC93),2)</f>
        <v>0</v>
      </c>
      <c r="Z94" s="55" t="n">
        <f aca="false">ROUND(Y94*$E$9/12,2)</f>
        <v>0</v>
      </c>
      <c r="AA94" s="55" t="n">
        <f aca="false">MIN($F$9,Y94+Z94)</f>
        <v>0</v>
      </c>
      <c r="AB94" s="55" t="n">
        <f aca="false">MAX(0,MIN(Y94+Z94-AA94,$D94-(H94+M94+R94+W94)))</f>
        <v>0</v>
      </c>
      <c r="AC94" s="55" t="n">
        <f aca="false">AA94+AB94</f>
        <v>0</v>
      </c>
      <c r="AD94" s="55" t="n">
        <f aca="false">ROUND(MAX(0,AD93+AE93-AH93),2)</f>
        <v>0</v>
      </c>
      <c r="AE94" s="55" t="n">
        <f aca="false">ROUND(AD94*$E$10/12,2)</f>
        <v>0</v>
      </c>
      <c r="AF94" s="55" t="n">
        <f aca="false">MIN($F$10,AD94+AE94)</f>
        <v>0</v>
      </c>
      <c r="AG94" s="55" t="n">
        <f aca="false">MAX(0,MIN(AD94+AE94-AF94,$D94-(H94+M94+R94+W94+AB94)))</f>
        <v>0</v>
      </c>
      <c r="AH94" s="55" t="n">
        <f aca="false">AF94+AG94</f>
        <v>0</v>
      </c>
      <c r="AI94" s="55" t="n">
        <f aca="false">ROUND(MAX(0,AI93+AJ93-AM93),2)</f>
        <v>0</v>
      </c>
      <c r="AJ94" s="55" t="n">
        <f aca="false">ROUND(AI94*$E$11/12,2)</f>
        <v>0</v>
      </c>
      <c r="AK94" s="55" t="n">
        <f aca="false">MIN($F$11,AI94+AJ94)</f>
        <v>0</v>
      </c>
      <c r="AL94" s="55" t="n">
        <f aca="false">MAX(0,MIN(AI94+AJ94-AK94,$D94-(H94+M94+R94+W94+AB94+AG94)))</f>
        <v>0</v>
      </c>
      <c r="AM94" s="55" t="n">
        <f aca="false">AK94+AL94</f>
        <v>0</v>
      </c>
      <c r="AN94" s="55" t="n">
        <f aca="false">ROUND(MAX(0,AN93+AO93-AR93),2)</f>
        <v>0</v>
      </c>
      <c r="AO94" s="55" t="n">
        <f aca="false">ROUND(AN94*$E$12/12,2)</f>
        <v>0</v>
      </c>
      <c r="AP94" s="55" t="n">
        <f aca="false">MIN($F$12,AN94+AO94)</f>
        <v>0</v>
      </c>
      <c r="AQ94" s="55" t="n">
        <f aca="false">MAX(0,MIN(AN94+AO94-AP94,$D94-(H94+M94+R94+W94+AB94+AG94+AL94)))</f>
        <v>0</v>
      </c>
      <c r="AR94" s="55" t="n">
        <f aca="false">AP94+AQ94</f>
        <v>0</v>
      </c>
      <c r="AS94" s="55" t="n">
        <f aca="false">ROUND(MAX(0,AS93+AT93-AW93),2)</f>
        <v>0</v>
      </c>
      <c r="AT94" s="55" t="n">
        <f aca="false">ROUND(AS94*$E$13/12,2)</f>
        <v>0</v>
      </c>
      <c r="AU94" s="55" t="n">
        <f aca="false">MIN($F$13,AS94+AT94)</f>
        <v>0</v>
      </c>
      <c r="AV94" s="55" t="n">
        <f aca="false">MAX(0,MIN(AS94+AT94-AU94,$D94-(H94+M94+R94+W94+AB94+AG94+AL94+AQ94)))</f>
        <v>0</v>
      </c>
      <c r="AW94" s="55" t="n">
        <f aca="false">AU94+AV94</f>
        <v>0</v>
      </c>
      <c r="AX94" s="55" t="n">
        <f aca="false">ROUND(MAX(0,AX93+AY93-BB93),2)</f>
        <v>0</v>
      </c>
      <c r="AY94" s="55" t="n">
        <f aca="false">ROUND(AX94*$E$14/12,2)</f>
        <v>0</v>
      </c>
      <c r="AZ94" s="55" t="n">
        <f aca="false">MIN($F$14,AX94+AY94)</f>
        <v>0</v>
      </c>
      <c r="BA94" s="55" t="n">
        <f aca="false">MAX(0,MIN(AX94+AY94-AZ94,$D94-(H94+M94+R94+W94+AB94+AG94+AL94+AQ94+AV94)))</f>
        <v>0</v>
      </c>
      <c r="BB94" s="55" t="n">
        <f aca="false">AZ94+BA94</f>
        <v>0</v>
      </c>
      <c r="BC94" s="55" t="n">
        <f aca="false">I94+N94+S94+X94+AC94+AH94+AM94+AR94+AW94+BB94</f>
        <v>0</v>
      </c>
      <c r="BD94" s="55" t="n">
        <f aca="false">ROUND((E94+F94-I94)+(J94+K94-N94)+(O94+P94-S94)+(T94+U94-X94)+(Y94+Z94-AC94)+(AD94+AE94-AH94)+(AI94+AJ94-AM94)+(AN94+AO94-AR94)+(AS94+AT94-AW94)+(AX94+AY94-BB94),2)</f>
        <v>0</v>
      </c>
      <c r="BE94" s="25" t="str">
        <f aca="false">IF(H94&gt;0.005,$C$5,IF(M94&gt;0.005,$C$6,IF(R94&gt;0.005,$C$7,IF(W94&gt;0.005,$C$8,IF(AB94&gt;0.005,$C$9,IF(AG94&gt;0.005,$C$10,IF(AL94&gt;0.005,$C$11,IF(AQ94&gt;0.005,$C$12,IF(AV94&gt;0.005,$C$13,IF(BA94&gt;0.005,$C$14,""))))))))))</f>
        <v/>
      </c>
    </row>
    <row r="95" customFormat="false" ht="15" hidden="false" customHeight="false" outlineLevel="0" collapsed="false">
      <c r="A95" s="24" t="n">
        <v>72</v>
      </c>
      <c r="B95" s="54" t="n">
        <f aca="false">EDATE($C$17,A95-1)</f>
        <v>48488</v>
      </c>
      <c r="C95" s="55" t="n">
        <f aca="false">G95+L95+Q95+V95+AA95+AF95+AK95+AP95+AU95+AZ95</f>
        <v>0</v>
      </c>
      <c r="D95" s="55" t="n">
        <f aca="false">MAX(0,$C$16-C95)</f>
        <v>5822</v>
      </c>
      <c r="E95" s="55" t="n">
        <f aca="false">ROUND(MAX(0,E94+F94-I94),2)</f>
        <v>0</v>
      </c>
      <c r="F95" s="55" t="n">
        <f aca="false">ROUND(E95*$E$5/12,2)</f>
        <v>0</v>
      </c>
      <c r="G95" s="55" t="n">
        <f aca="false">MIN($F$5,E95+F95)</f>
        <v>0</v>
      </c>
      <c r="H95" s="55" t="n">
        <f aca="false">MAX(0,MIN(E95+F95-G95,$D95))</f>
        <v>0</v>
      </c>
      <c r="I95" s="55" t="n">
        <f aca="false">G95+H95</f>
        <v>0</v>
      </c>
      <c r="J95" s="55" t="n">
        <f aca="false">ROUND(MAX(0,J94+K94-N94),2)</f>
        <v>0</v>
      </c>
      <c r="K95" s="55" t="n">
        <f aca="false">ROUND(J95*$E$6/12,2)</f>
        <v>0</v>
      </c>
      <c r="L95" s="55" t="n">
        <f aca="false">MIN($F$6,J95+K95)</f>
        <v>0</v>
      </c>
      <c r="M95" s="55" t="n">
        <f aca="false">MAX(0,MIN(J95+K95-L95,$D95-(H95)))</f>
        <v>0</v>
      </c>
      <c r="N95" s="55" t="n">
        <f aca="false">L95+M95</f>
        <v>0</v>
      </c>
      <c r="O95" s="55" t="n">
        <f aca="false">ROUND(MAX(0,O94+P94-S94),2)</f>
        <v>0</v>
      </c>
      <c r="P95" s="55" t="n">
        <f aca="false">ROUND(O95*$E$7/12,2)</f>
        <v>0</v>
      </c>
      <c r="Q95" s="55" t="n">
        <f aca="false">MIN($F$7,O95+P95)</f>
        <v>0</v>
      </c>
      <c r="R95" s="55" t="n">
        <f aca="false">MAX(0,MIN(O95+P95-Q95,$D95-(H95+M95)))</f>
        <v>0</v>
      </c>
      <c r="S95" s="55" t="n">
        <f aca="false">Q95+R95</f>
        <v>0</v>
      </c>
      <c r="T95" s="55" t="n">
        <f aca="false">ROUND(MAX(0,T94+U94-X94),2)</f>
        <v>0</v>
      </c>
      <c r="U95" s="55" t="n">
        <f aca="false">ROUND(T95*$E$8/12,2)</f>
        <v>0</v>
      </c>
      <c r="V95" s="55" t="n">
        <f aca="false">MIN($F$8,T95+U95)</f>
        <v>0</v>
      </c>
      <c r="W95" s="55" t="n">
        <f aca="false">MAX(0,MIN(T95+U95-V95,$D95-(H95+M95+R95)))</f>
        <v>0</v>
      </c>
      <c r="X95" s="55" t="n">
        <f aca="false">V95+W95</f>
        <v>0</v>
      </c>
      <c r="Y95" s="55" t="n">
        <f aca="false">ROUND(MAX(0,Y94+Z94-AC94),2)</f>
        <v>0</v>
      </c>
      <c r="Z95" s="55" t="n">
        <f aca="false">ROUND(Y95*$E$9/12,2)</f>
        <v>0</v>
      </c>
      <c r="AA95" s="55" t="n">
        <f aca="false">MIN($F$9,Y95+Z95)</f>
        <v>0</v>
      </c>
      <c r="AB95" s="55" t="n">
        <f aca="false">MAX(0,MIN(Y95+Z95-AA95,$D95-(H95+M95+R95+W95)))</f>
        <v>0</v>
      </c>
      <c r="AC95" s="55" t="n">
        <f aca="false">AA95+AB95</f>
        <v>0</v>
      </c>
      <c r="AD95" s="55" t="n">
        <f aca="false">ROUND(MAX(0,AD94+AE94-AH94),2)</f>
        <v>0</v>
      </c>
      <c r="AE95" s="55" t="n">
        <f aca="false">ROUND(AD95*$E$10/12,2)</f>
        <v>0</v>
      </c>
      <c r="AF95" s="55" t="n">
        <f aca="false">MIN($F$10,AD95+AE95)</f>
        <v>0</v>
      </c>
      <c r="AG95" s="55" t="n">
        <f aca="false">MAX(0,MIN(AD95+AE95-AF95,$D95-(H95+M95+R95+W95+AB95)))</f>
        <v>0</v>
      </c>
      <c r="AH95" s="55" t="n">
        <f aca="false">AF95+AG95</f>
        <v>0</v>
      </c>
      <c r="AI95" s="55" t="n">
        <f aca="false">ROUND(MAX(0,AI94+AJ94-AM94),2)</f>
        <v>0</v>
      </c>
      <c r="AJ95" s="55" t="n">
        <f aca="false">ROUND(AI95*$E$11/12,2)</f>
        <v>0</v>
      </c>
      <c r="AK95" s="55" t="n">
        <f aca="false">MIN($F$11,AI95+AJ95)</f>
        <v>0</v>
      </c>
      <c r="AL95" s="55" t="n">
        <f aca="false">MAX(0,MIN(AI95+AJ95-AK95,$D95-(H95+M95+R95+W95+AB95+AG95)))</f>
        <v>0</v>
      </c>
      <c r="AM95" s="55" t="n">
        <f aca="false">AK95+AL95</f>
        <v>0</v>
      </c>
      <c r="AN95" s="55" t="n">
        <f aca="false">ROUND(MAX(0,AN94+AO94-AR94),2)</f>
        <v>0</v>
      </c>
      <c r="AO95" s="55" t="n">
        <f aca="false">ROUND(AN95*$E$12/12,2)</f>
        <v>0</v>
      </c>
      <c r="AP95" s="55" t="n">
        <f aca="false">MIN($F$12,AN95+AO95)</f>
        <v>0</v>
      </c>
      <c r="AQ95" s="55" t="n">
        <f aca="false">MAX(0,MIN(AN95+AO95-AP95,$D95-(H95+M95+R95+W95+AB95+AG95+AL95)))</f>
        <v>0</v>
      </c>
      <c r="AR95" s="55" t="n">
        <f aca="false">AP95+AQ95</f>
        <v>0</v>
      </c>
      <c r="AS95" s="55" t="n">
        <f aca="false">ROUND(MAX(0,AS94+AT94-AW94),2)</f>
        <v>0</v>
      </c>
      <c r="AT95" s="55" t="n">
        <f aca="false">ROUND(AS95*$E$13/12,2)</f>
        <v>0</v>
      </c>
      <c r="AU95" s="55" t="n">
        <f aca="false">MIN($F$13,AS95+AT95)</f>
        <v>0</v>
      </c>
      <c r="AV95" s="55" t="n">
        <f aca="false">MAX(0,MIN(AS95+AT95-AU95,$D95-(H95+M95+R95+W95+AB95+AG95+AL95+AQ95)))</f>
        <v>0</v>
      </c>
      <c r="AW95" s="55" t="n">
        <f aca="false">AU95+AV95</f>
        <v>0</v>
      </c>
      <c r="AX95" s="55" t="n">
        <f aca="false">ROUND(MAX(0,AX94+AY94-BB94),2)</f>
        <v>0</v>
      </c>
      <c r="AY95" s="55" t="n">
        <f aca="false">ROUND(AX95*$E$14/12,2)</f>
        <v>0</v>
      </c>
      <c r="AZ95" s="55" t="n">
        <f aca="false">MIN($F$14,AX95+AY95)</f>
        <v>0</v>
      </c>
      <c r="BA95" s="55" t="n">
        <f aca="false">MAX(0,MIN(AX95+AY95-AZ95,$D95-(H95+M95+R95+W95+AB95+AG95+AL95+AQ95+AV95)))</f>
        <v>0</v>
      </c>
      <c r="BB95" s="55" t="n">
        <f aca="false">AZ95+BA95</f>
        <v>0</v>
      </c>
      <c r="BC95" s="55" t="n">
        <f aca="false">I95+N95+S95+X95+AC95+AH95+AM95+AR95+AW95+BB95</f>
        <v>0</v>
      </c>
      <c r="BD95" s="55" t="n">
        <f aca="false">ROUND((E95+F95-I95)+(J95+K95-N95)+(O95+P95-S95)+(T95+U95-X95)+(Y95+Z95-AC95)+(AD95+AE95-AH95)+(AI95+AJ95-AM95)+(AN95+AO95-AR95)+(AS95+AT95-AW95)+(AX95+AY95-BB95),2)</f>
        <v>0</v>
      </c>
      <c r="BE95" s="25" t="str">
        <f aca="false">IF(H95&gt;0.005,$C$5,IF(M95&gt;0.005,$C$6,IF(R95&gt;0.005,$C$7,IF(W95&gt;0.005,$C$8,IF(AB95&gt;0.005,$C$9,IF(AG95&gt;0.005,$C$10,IF(AL95&gt;0.005,$C$11,IF(AQ95&gt;0.005,$C$12,IF(AV95&gt;0.005,$C$13,IF(BA95&gt;0.005,$C$14,""))))))))))</f>
        <v/>
      </c>
    </row>
    <row r="96" customFormat="false" ht="15" hidden="false" customHeight="false" outlineLevel="0" collapsed="false">
      <c r="A96" s="24" t="n">
        <v>73</v>
      </c>
      <c r="B96" s="54" t="n">
        <f aca="false">EDATE($C$17,A96-1)</f>
        <v>48519</v>
      </c>
      <c r="C96" s="55" t="n">
        <f aca="false">G96+L96+Q96+V96+AA96+AF96+AK96+AP96+AU96+AZ96</f>
        <v>0</v>
      </c>
      <c r="D96" s="55" t="n">
        <f aca="false">MAX(0,$C$16-C96)</f>
        <v>5822</v>
      </c>
      <c r="E96" s="55" t="n">
        <f aca="false">ROUND(MAX(0,E95+F95-I95),2)</f>
        <v>0</v>
      </c>
      <c r="F96" s="55" t="n">
        <f aca="false">ROUND(E96*$E$5/12,2)</f>
        <v>0</v>
      </c>
      <c r="G96" s="55" t="n">
        <f aca="false">MIN($F$5,E96+F96)</f>
        <v>0</v>
      </c>
      <c r="H96" s="55" t="n">
        <f aca="false">MAX(0,MIN(E96+F96-G96,$D96))</f>
        <v>0</v>
      </c>
      <c r="I96" s="55" t="n">
        <f aca="false">G96+H96</f>
        <v>0</v>
      </c>
      <c r="J96" s="55" t="n">
        <f aca="false">ROUND(MAX(0,J95+K95-N95),2)</f>
        <v>0</v>
      </c>
      <c r="K96" s="55" t="n">
        <f aca="false">ROUND(J96*$E$6/12,2)</f>
        <v>0</v>
      </c>
      <c r="L96" s="55" t="n">
        <f aca="false">MIN($F$6,J96+K96)</f>
        <v>0</v>
      </c>
      <c r="M96" s="55" t="n">
        <f aca="false">MAX(0,MIN(J96+K96-L96,$D96-(H96)))</f>
        <v>0</v>
      </c>
      <c r="N96" s="55" t="n">
        <f aca="false">L96+M96</f>
        <v>0</v>
      </c>
      <c r="O96" s="55" t="n">
        <f aca="false">ROUND(MAX(0,O95+P95-S95),2)</f>
        <v>0</v>
      </c>
      <c r="P96" s="55" t="n">
        <f aca="false">ROUND(O96*$E$7/12,2)</f>
        <v>0</v>
      </c>
      <c r="Q96" s="55" t="n">
        <f aca="false">MIN($F$7,O96+P96)</f>
        <v>0</v>
      </c>
      <c r="R96" s="55" t="n">
        <f aca="false">MAX(0,MIN(O96+P96-Q96,$D96-(H96+M96)))</f>
        <v>0</v>
      </c>
      <c r="S96" s="55" t="n">
        <f aca="false">Q96+R96</f>
        <v>0</v>
      </c>
      <c r="T96" s="55" t="n">
        <f aca="false">ROUND(MAX(0,T95+U95-X95),2)</f>
        <v>0</v>
      </c>
      <c r="U96" s="55" t="n">
        <f aca="false">ROUND(T96*$E$8/12,2)</f>
        <v>0</v>
      </c>
      <c r="V96" s="55" t="n">
        <f aca="false">MIN($F$8,T96+U96)</f>
        <v>0</v>
      </c>
      <c r="W96" s="55" t="n">
        <f aca="false">MAX(0,MIN(T96+U96-V96,$D96-(H96+M96+R96)))</f>
        <v>0</v>
      </c>
      <c r="X96" s="55" t="n">
        <f aca="false">V96+W96</f>
        <v>0</v>
      </c>
      <c r="Y96" s="55" t="n">
        <f aca="false">ROUND(MAX(0,Y95+Z95-AC95),2)</f>
        <v>0</v>
      </c>
      <c r="Z96" s="55" t="n">
        <f aca="false">ROUND(Y96*$E$9/12,2)</f>
        <v>0</v>
      </c>
      <c r="AA96" s="55" t="n">
        <f aca="false">MIN($F$9,Y96+Z96)</f>
        <v>0</v>
      </c>
      <c r="AB96" s="55" t="n">
        <f aca="false">MAX(0,MIN(Y96+Z96-AA96,$D96-(H96+M96+R96+W96)))</f>
        <v>0</v>
      </c>
      <c r="AC96" s="55" t="n">
        <f aca="false">AA96+AB96</f>
        <v>0</v>
      </c>
      <c r="AD96" s="55" t="n">
        <f aca="false">ROUND(MAX(0,AD95+AE95-AH95),2)</f>
        <v>0</v>
      </c>
      <c r="AE96" s="55" t="n">
        <f aca="false">ROUND(AD96*$E$10/12,2)</f>
        <v>0</v>
      </c>
      <c r="AF96" s="55" t="n">
        <f aca="false">MIN($F$10,AD96+AE96)</f>
        <v>0</v>
      </c>
      <c r="AG96" s="55" t="n">
        <f aca="false">MAX(0,MIN(AD96+AE96-AF96,$D96-(H96+M96+R96+W96+AB96)))</f>
        <v>0</v>
      </c>
      <c r="AH96" s="55" t="n">
        <f aca="false">AF96+AG96</f>
        <v>0</v>
      </c>
      <c r="AI96" s="55" t="n">
        <f aca="false">ROUND(MAX(0,AI95+AJ95-AM95),2)</f>
        <v>0</v>
      </c>
      <c r="AJ96" s="55" t="n">
        <f aca="false">ROUND(AI96*$E$11/12,2)</f>
        <v>0</v>
      </c>
      <c r="AK96" s="55" t="n">
        <f aca="false">MIN($F$11,AI96+AJ96)</f>
        <v>0</v>
      </c>
      <c r="AL96" s="55" t="n">
        <f aca="false">MAX(0,MIN(AI96+AJ96-AK96,$D96-(H96+M96+R96+W96+AB96+AG96)))</f>
        <v>0</v>
      </c>
      <c r="AM96" s="55" t="n">
        <f aca="false">AK96+AL96</f>
        <v>0</v>
      </c>
      <c r="AN96" s="55" t="n">
        <f aca="false">ROUND(MAX(0,AN95+AO95-AR95),2)</f>
        <v>0</v>
      </c>
      <c r="AO96" s="55" t="n">
        <f aca="false">ROUND(AN96*$E$12/12,2)</f>
        <v>0</v>
      </c>
      <c r="AP96" s="55" t="n">
        <f aca="false">MIN($F$12,AN96+AO96)</f>
        <v>0</v>
      </c>
      <c r="AQ96" s="55" t="n">
        <f aca="false">MAX(0,MIN(AN96+AO96-AP96,$D96-(H96+M96+R96+W96+AB96+AG96+AL96)))</f>
        <v>0</v>
      </c>
      <c r="AR96" s="55" t="n">
        <f aca="false">AP96+AQ96</f>
        <v>0</v>
      </c>
      <c r="AS96" s="55" t="n">
        <f aca="false">ROUND(MAX(0,AS95+AT95-AW95),2)</f>
        <v>0</v>
      </c>
      <c r="AT96" s="55" t="n">
        <f aca="false">ROUND(AS96*$E$13/12,2)</f>
        <v>0</v>
      </c>
      <c r="AU96" s="55" t="n">
        <f aca="false">MIN($F$13,AS96+AT96)</f>
        <v>0</v>
      </c>
      <c r="AV96" s="55" t="n">
        <f aca="false">MAX(0,MIN(AS96+AT96-AU96,$D96-(H96+M96+R96+W96+AB96+AG96+AL96+AQ96)))</f>
        <v>0</v>
      </c>
      <c r="AW96" s="55" t="n">
        <f aca="false">AU96+AV96</f>
        <v>0</v>
      </c>
      <c r="AX96" s="55" t="n">
        <f aca="false">ROUND(MAX(0,AX95+AY95-BB95),2)</f>
        <v>0</v>
      </c>
      <c r="AY96" s="55" t="n">
        <f aca="false">ROUND(AX96*$E$14/12,2)</f>
        <v>0</v>
      </c>
      <c r="AZ96" s="55" t="n">
        <f aca="false">MIN($F$14,AX96+AY96)</f>
        <v>0</v>
      </c>
      <c r="BA96" s="55" t="n">
        <f aca="false">MAX(0,MIN(AX96+AY96-AZ96,$D96-(H96+M96+R96+W96+AB96+AG96+AL96+AQ96+AV96)))</f>
        <v>0</v>
      </c>
      <c r="BB96" s="55" t="n">
        <f aca="false">AZ96+BA96</f>
        <v>0</v>
      </c>
      <c r="BC96" s="55" t="n">
        <f aca="false">I96+N96+S96+X96+AC96+AH96+AM96+AR96+AW96+BB96</f>
        <v>0</v>
      </c>
      <c r="BD96" s="55" t="n">
        <f aca="false">ROUND((E96+F96-I96)+(J96+K96-N96)+(O96+P96-S96)+(T96+U96-X96)+(Y96+Z96-AC96)+(AD96+AE96-AH96)+(AI96+AJ96-AM96)+(AN96+AO96-AR96)+(AS96+AT96-AW96)+(AX96+AY96-BB96),2)</f>
        <v>0</v>
      </c>
      <c r="BE96" s="25" t="str">
        <f aca="false">IF(H96&gt;0.005,$C$5,IF(M96&gt;0.005,$C$6,IF(R96&gt;0.005,$C$7,IF(W96&gt;0.005,$C$8,IF(AB96&gt;0.005,$C$9,IF(AG96&gt;0.005,$C$10,IF(AL96&gt;0.005,$C$11,IF(AQ96&gt;0.005,$C$12,IF(AV96&gt;0.005,$C$13,IF(BA96&gt;0.005,$C$14,""))))))))))</f>
        <v/>
      </c>
    </row>
    <row r="97" customFormat="false" ht="15" hidden="false" customHeight="false" outlineLevel="0" collapsed="false">
      <c r="A97" s="24" t="n">
        <v>74</v>
      </c>
      <c r="B97" s="54" t="n">
        <f aca="false">EDATE($C$17,A97-1)</f>
        <v>48549</v>
      </c>
      <c r="C97" s="55" t="n">
        <f aca="false">G97+L97+Q97+V97+AA97+AF97+AK97+AP97+AU97+AZ97</f>
        <v>0</v>
      </c>
      <c r="D97" s="55" t="n">
        <f aca="false">MAX(0,$C$16-C97)</f>
        <v>5822</v>
      </c>
      <c r="E97" s="55" t="n">
        <f aca="false">ROUND(MAX(0,E96+F96-I96),2)</f>
        <v>0</v>
      </c>
      <c r="F97" s="55" t="n">
        <f aca="false">ROUND(E97*$E$5/12,2)</f>
        <v>0</v>
      </c>
      <c r="G97" s="55" t="n">
        <f aca="false">MIN($F$5,E97+F97)</f>
        <v>0</v>
      </c>
      <c r="H97" s="55" t="n">
        <f aca="false">MAX(0,MIN(E97+F97-G97,$D97))</f>
        <v>0</v>
      </c>
      <c r="I97" s="55" t="n">
        <f aca="false">G97+H97</f>
        <v>0</v>
      </c>
      <c r="J97" s="55" t="n">
        <f aca="false">ROUND(MAX(0,J96+K96-N96),2)</f>
        <v>0</v>
      </c>
      <c r="K97" s="55" t="n">
        <f aca="false">ROUND(J97*$E$6/12,2)</f>
        <v>0</v>
      </c>
      <c r="L97" s="55" t="n">
        <f aca="false">MIN($F$6,J97+K97)</f>
        <v>0</v>
      </c>
      <c r="M97" s="55" t="n">
        <f aca="false">MAX(0,MIN(J97+K97-L97,$D97-(H97)))</f>
        <v>0</v>
      </c>
      <c r="N97" s="55" t="n">
        <f aca="false">L97+M97</f>
        <v>0</v>
      </c>
      <c r="O97" s="55" t="n">
        <f aca="false">ROUND(MAX(0,O96+P96-S96),2)</f>
        <v>0</v>
      </c>
      <c r="P97" s="55" t="n">
        <f aca="false">ROUND(O97*$E$7/12,2)</f>
        <v>0</v>
      </c>
      <c r="Q97" s="55" t="n">
        <f aca="false">MIN($F$7,O97+P97)</f>
        <v>0</v>
      </c>
      <c r="R97" s="55" t="n">
        <f aca="false">MAX(0,MIN(O97+P97-Q97,$D97-(H97+M97)))</f>
        <v>0</v>
      </c>
      <c r="S97" s="55" t="n">
        <f aca="false">Q97+R97</f>
        <v>0</v>
      </c>
      <c r="T97" s="55" t="n">
        <f aca="false">ROUND(MAX(0,T96+U96-X96),2)</f>
        <v>0</v>
      </c>
      <c r="U97" s="55" t="n">
        <f aca="false">ROUND(T97*$E$8/12,2)</f>
        <v>0</v>
      </c>
      <c r="V97" s="55" t="n">
        <f aca="false">MIN($F$8,T97+U97)</f>
        <v>0</v>
      </c>
      <c r="W97" s="55" t="n">
        <f aca="false">MAX(0,MIN(T97+U97-V97,$D97-(H97+M97+R97)))</f>
        <v>0</v>
      </c>
      <c r="X97" s="55" t="n">
        <f aca="false">V97+W97</f>
        <v>0</v>
      </c>
      <c r="Y97" s="55" t="n">
        <f aca="false">ROUND(MAX(0,Y96+Z96-AC96),2)</f>
        <v>0</v>
      </c>
      <c r="Z97" s="55" t="n">
        <f aca="false">ROUND(Y97*$E$9/12,2)</f>
        <v>0</v>
      </c>
      <c r="AA97" s="55" t="n">
        <f aca="false">MIN($F$9,Y97+Z97)</f>
        <v>0</v>
      </c>
      <c r="AB97" s="55" t="n">
        <f aca="false">MAX(0,MIN(Y97+Z97-AA97,$D97-(H97+M97+R97+W97)))</f>
        <v>0</v>
      </c>
      <c r="AC97" s="55" t="n">
        <f aca="false">AA97+AB97</f>
        <v>0</v>
      </c>
      <c r="AD97" s="55" t="n">
        <f aca="false">ROUND(MAX(0,AD96+AE96-AH96),2)</f>
        <v>0</v>
      </c>
      <c r="AE97" s="55" t="n">
        <f aca="false">ROUND(AD97*$E$10/12,2)</f>
        <v>0</v>
      </c>
      <c r="AF97" s="55" t="n">
        <f aca="false">MIN($F$10,AD97+AE97)</f>
        <v>0</v>
      </c>
      <c r="AG97" s="55" t="n">
        <f aca="false">MAX(0,MIN(AD97+AE97-AF97,$D97-(H97+M97+R97+W97+AB97)))</f>
        <v>0</v>
      </c>
      <c r="AH97" s="55" t="n">
        <f aca="false">AF97+AG97</f>
        <v>0</v>
      </c>
      <c r="AI97" s="55" t="n">
        <f aca="false">ROUND(MAX(0,AI96+AJ96-AM96),2)</f>
        <v>0</v>
      </c>
      <c r="AJ97" s="55" t="n">
        <f aca="false">ROUND(AI97*$E$11/12,2)</f>
        <v>0</v>
      </c>
      <c r="AK97" s="55" t="n">
        <f aca="false">MIN($F$11,AI97+AJ97)</f>
        <v>0</v>
      </c>
      <c r="AL97" s="55" t="n">
        <f aca="false">MAX(0,MIN(AI97+AJ97-AK97,$D97-(H97+M97+R97+W97+AB97+AG97)))</f>
        <v>0</v>
      </c>
      <c r="AM97" s="55" t="n">
        <f aca="false">AK97+AL97</f>
        <v>0</v>
      </c>
      <c r="AN97" s="55" t="n">
        <f aca="false">ROUND(MAX(0,AN96+AO96-AR96),2)</f>
        <v>0</v>
      </c>
      <c r="AO97" s="55" t="n">
        <f aca="false">ROUND(AN97*$E$12/12,2)</f>
        <v>0</v>
      </c>
      <c r="AP97" s="55" t="n">
        <f aca="false">MIN($F$12,AN97+AO97)</f>
        <v>0</v>
      </c>
      <c r="AQ97" s="55" t="n">
        <f aca="false">MAX(0,MIN(AN97+AO97-AP97,$D97-(H97+M97+R97+W97+AB97+AG97+AL97)))</f>
        <v>0</v>
      </c>
      <c r="AR97" s="55" t="n">
        <f aca="false">AP97+AQ97</f>
        <v>0</v>
      </c>
      <c r="AS97" s="55" t="n">
        <f aca="false">ROUND(MAX(0,AS96+AT96-AW96),2)</f>
        <v>0</v>
      </c>
      <c r="AT97" s="55" t="n">
        <f aca="false">ROUND(AS97*$E$13/12,2)</f>
        <v>0</v>
      </c>
      <c r="AU97" s="55" t="n">
        <f aca="false">MIN($F$13,AS97+AT97)</f>
        <v>0</v>
      </c>
      <c r="AV97" s="55" t="n">
        <f aca="false">MAX(0,MIN(AS97+AT97-AU97,$D97-(H97+M97+R97+W97+AB97+AG97+AL97+AQ97)))</f>
        <v>0</v>
      </c>
      <c r="AW97" s="55" t="n">
        <f aca="false">AU97+AV97</f>
        <v>0</v>
      </c>
      <c r="AX97" s="55" t="n">
        <f aca="false">ROUND(MAX(0,AX96+AY96-BB96),2)</f>
        <v>0</v>
      </c>
      <c r="AY97" s="55" t="n">
        <f aca="false">ROUND(AX97*$E$14/12,2)</f>
        <v>0</v>
      </c>
      <c r="AZ97" s="55" t="n">
        <f aca="false">MIN($F$14,AX97+AY97)</f>
        <v>0</v>
      </c>
      <c r="BA97" s="55" t="n">
        <f aca="false">MAX(0,MIN(AX97+AY97-AZ97,$D97-(H97+M97+R97+W97+AB97+AG97+AL97+AQ97+AV97)))</f>
        <v>0</v>
      </c>
      <c r="BB97" s="55" t="n">
        <f aca="false">AZ97+BA97</f>
        <v>0</v>
      </c>
      <c r="BC97" s="55" t="n">
        <f aca="false">I97+N97+S97+X97+AC97+AH97+AM97+AR97+AW97+BB97</f>
        <v>0</v>
      </c>
      <c r="BD97" s="55" t="n">
        <f aca="false">ROUND((E97+F97-I97)+(J97+K97-N97)+(O97+P97-S97)+(T97+U97-X97)+(Y97+Z97-AC97)+(AD97+AE97-AH97)+(AI97+AJ97-AM97)+(AN97+AO97-AR97)+(AS97+AT97-AW97)+(AX97+AY97-BB97),2)</f>
        <v>0</v>
      </c>
      <c r="BE97" s="25" t="str">
        <f aca="false">IF(H97&gt;0.005,$C$5,IF(M97&gt;0.005,$C$6,IF(R97&gt;0.005,$C$7,IF(W97&gt;0.005,$C$8,IF(AB97&gt;0.005,$C$9,IF(AG97&gt;0.005,$C$10,IF(AL97&gt;0.005,$C$11,IF(AQ97&gt;0.005,$C$12,IF(AV97&gt;0.005,$C$13,IF(BA97&gt;0.005,$C$14,""))))))))))</f>
        <v/>
      </c>
    </row>
    <row r="98" customFormat="false" ht="15" hidden="false" customHeight="false" outlineLevel="0" collapsed="false">
      <c r="A98" s="24" t="n">
        <v>75</v>
      </c>
      <c r="B98" s="54" t="n">
        <f aca="false">EDATE($C$17,A98-1)</f>
        <v>48580</v>
      </c>
      <c r="C98" s="55" t="n">
        <f aca="false">G98+L98+Q98+V98+AA98+AF98+AK98+AP98+AU98+AZ98</f>
        <v>0</v>
      </c>
      <c r="D98" s="55" t="n">
        <f aca="false">MAX(0,$C$16-C98)</f>
        <v>5822</v>
      </c>
      <c r="E98" s="55" t="n">
        <f aca="false">ROUND(MAX(0,E97+F97-I97),2)</f>
        <v>0</v>
      </c>
      <c r="F98" s="55" t="n">
        <f aca="false">ROUND(E98*$E$5/12,2)</f>
        <v>0</v>
      </c>
      <c r="G98" s="55" t="n">
        <f aca="false">MIN($F$5,E98+F98)</f>
        <v>0</v>
      </c>
      <c r="H98" s="55" t="n">
        <f aca="false">MAX(0,MIN(E98+F98-G98,$D98))</f>
        <v>0</v>
      </c>
      <c r="I98" s="55" t="n">
        <f aca="false">G98+H98</f>
        <v>0</v>
      </c>
      <c r="J98" s="55" t="n">
        <f aca="false">ROUND(MAX(0,J97+K97-N97),2)</f>
        <v>0</v>
      </c>
      <c r="K98" s="55" t="n">
        <f aca="false">ROUND(J98*$E$6/12,2)</f>
        <v>0</v>
      </c>
      <c r="L98" s="55" t="n">
        <f aca="false">MIN($F$6,J98+K98)</f>
        <v>0</v>
      </c>
      <c r="M98" s="55" t="n">
        <f aca="false">MAX(0,MIN(J98+K98-L98,$D98-(H98)))</f>
        <v>0</v>
      </c>
      <c r="N98" s="55" t="n">
        <f aca="false">L98+M98</f>
        <v>0</v>
      </c>
      <c r="O98" s="55" t="n">
        <f aca="false">ROUND(MAX(0,O97+P97-S97),2)</f>
        <v>0</v>
      </c>
      <c r="P98" s="55" t="n">
        <f aca="false">ROUND(O98*$E$7/12,2)</f>
        <v>0</v>
      </c>
      <c r="Q98" s="55" t="n">
        <f aca="false">MIN($F$7,O98+P98)</f>
        <v>0</v>
      </c>
      <c r="R98" s="55" t="n">
        <f aca="false">MAX(0,MIN(O98+P98-Q98,$D98-(H98+M98)))</f>
        <v>0</v>
      </c>
      <c r="S98" s="55" t="n">
        <f aca="false">Q98+R98</f>
        <v>0</v>
      </c>
      <c r="T98" s="55" t="n">
        <f aca="false">ROUND(MAX(0,T97+U97-X97),2)</f>
        <v>0</v>
      </c>
      <c r="U98" s="55" t="n">
        <f aca="false">ROUND(T98*$E$8/12,2)</f>
        <v>0</v>
      </c>
      <c r="V98" s="55" t="n">
        <f aca="false">MIN($F$8,T98+U98)</f>
        <v>0</v>
      </c>
      <c r="W98" s="55" t="n">
        <f aca="false">MAX(0,MIN(T98+U98-V98,$D98-(H98+M98+R98)))</f>
        <v>0</v>
      </c>
      <c r="X98" s="55" t="n">
        <f aca="false">V98+W98</f>
        <v>0</v>
      </c>
      <c r="Y98" s="55" t="n">
        <f aca="false">ROUND(MAX(0,Y97+Z97-AC97),2)</f>
        <v>0</v>
      </c>
      <c r="Z98" s="55" t="n">
        <f aca="false">ROUND(Y98*$E$9/12,2)</f>
        <v>0</v>
      </c>
      <c r="AA98" s="55" t="n">
        <f aca="false">MIN($F$9,Y98+Z98)</f>
        <v>0</v>
      </c>
      <c r="AB98" s="55" t="n">
        <f aca="false">MAX(0,MIN(Y98+Z98-AA98,$D98-(H98+M98+R98+W98)))</f>
        <v>0</v>
      </c>
      <c r="AC98" s="55" t="n">
        <f aca="false">AA98+AB98</f>
        <v>0</v>
      </c>
      <c r="AD98" s="55" t="n">
        <f aca="false">ROUND(MAX(0,AD97+AE97-AH97),2)</f>
        <v>0</v>
      </c>
      <c r="AE98" s="55" t="n">
        <f aca="false">ROUND(AD98*$E$10/12,2)</f>
        <v>0</v>
      </c>
      <c r="AF98" s="55" t="n">
        <f aca="false">MIN($F$10,AD98+AE98)</f>
        <v>0</v>
      </c>
      <c r="AG98" s="55" t="n">
        <f aca="false">MAX(0,MIN(AD98+AE98-AF98,$D98-(H98+M98+R98+W98+AB98)))</f>
        <v>0</v>
      </c>
      <c r="AH98" s="55" t="n">
        <f aca="false">AF98+AG98</f>
        <v>0</v>
      </c>
      <c r="AI98" s="55" t="n">
        <f aca="false">ROUND(MAX(0,AI97+AJ97-AM97),2)</f>
        <v>0</v>
      </c>
      <c r="AJ98" s="55" t="n">
        <f aca="false">ROUND(AI98*$E$11/12,2)</f>
        <v>0</v>
      </c>
      <c r="AK98" s="55" t="n">
        <f aca="false">MIN($F$11,AI98+AJ98)</f>
        <v>0</v>
      </c>
      <c r="AL98" s="55" t="n">
        <f aca="false">MAX(0,MIN(AI98+AJ98-AK98,$D98-(H98+M98+R98+W98+AB98+AG98)))</f>
        <v>0</v>
      </c>
      <c r="AM98" s="55" t="n">
        <f aca="false">AK98+AL98</f>
        <v>0</v>
      </c>
      <c r="AN98" s="55" t="n">
        <f aca="false">ROUND(MAX(0,AN97+AO97-AR97),2)</f>
        <v>0</v>
      </c>
      <c r="AO98" s="55" t="n">
        <f aca="false">ROUND(AN98*$E$12/12,2)</f>
        <v>0</v>
      </c>
      <c r="AP98" s="55" t="n">
        <f aca="false">MIN($F$12,AN98+AO98)</f>
        <v>0</v>
      </c>
      <c r="AQ98" s="55" t="n">
        <f aca="false">MAX(0,MIN(AN98+AO98-AP98,$D98-(H98+M98+R98+W98+AB98+AG98+AL98)))</f>
        <v>0</v>
      </c>
      <c r="AR98" s="55" t="n">
        <f aca="false">AP98+AQ98</f>
        <v>0</v>
      </c>
      <c r="AS98" s="55" t="n">
        <f aca="false">ROUND(MAX(0,AS97+AT97-AW97),2)</f>
        <v>0</v>
      </c>
      <c r="AT98" s="55" t="n">
        <f aca="false">ROUND(AS98*$E$13/12,2)</f>
        <v>0</v>
      </c>
      <c r="AU98" s="55" t="n">
        <f aca="false">MIN($F$13,AS98+AT98)</f>
        <v>0</v>
      </c>
      <c r="AV98" s="55" t="n">
        <f aca="false">MAX(0,MIN(AS98+AT98-AU98,$D98-(H98+M98+R98+W98+AB98+AG98+AL98+AQ98)))</f>
        <v>0</v>
      </c>
      <c r="AW98" s="55" t="n">
        <f aca="false">AU98+AV98</f>
        <v>0</v>
      </c>
      <c r="AX98" s="55" t="n">
        <f aca="false">ROUND(MAX(0,AX97+AY97-BB97),2)</f>
        <v>0</v>
      </c>
      <c r="AY98" s="55" t="n">
        <f aca="false">ROUND(AX98*$E$14/12,2)</f>
        <v>0</v>
      </c>
      <c r="AZ98" s="55" t="n">
        <f aca="false">MIN($F$14,AX98+AY98)</f>
        <v>0</v>
      </c>
      <c r="BA98" s="55" t="n">
        <f aca="false">MAX(0,MIN(AX98+AY98-AZ98,$D98-(H98+M98+R98+W98+AB98+AG98+AL98+AQ98+AV98)))</f>
        <v>0</v>
      </c>
      <c r="BB98" s="55" t="n">
        <f aca="false">AZ98+BA98</f>
        <v>0</v>
      </c>
      <c r="BC98" s="55" t="n">
        <f aca="false">I98+N98+S98+X98+AC98+AH98+AM98+AR98+AW98+BB98</f>
        <v>0</v>
      </c>
      <c r="BD98" s="55" t="n">
        <f aca="false">ROUND((E98+F98-I98)+(J98+K98-N98)+(O98+P98-S98)+(T98+U98-X98)+(Y98+Z98-AC98)+(AD98+AE98-AH98)+(AI98+AJ98-AM98)+(AN98+AO98-AR98)+(AS98+AT98-AW98)+(AX98+AY98-BB98),2)</f>
        <v>0</v>
      </c>
      <c r="BE98" s="25" t="str">
        <f aca="false">IF(H98&gt;0.005,$C$5,IF(M98&gt;0.005,$C$6,IF(R98&gt;0.005,$C$7,IF(W98&gt;0.005,$C$8,IF(AB98&gt;0.005,$C$9,IF(AG98&gt;0.005,$C$10,IF(AL98&gt;0.005,$C$11,IF(AQ98&gt;0.005,$C$12,IF(AV98&gt;0.005,$C$13,IF(BA98&gt;0.005,$C$14,""))))))))))</f>
        <v/>
      </c>
    </row>
    <row r="99" customFormat="false" ht="15" hidden="false" customHeight="false" outlineLevel="0" collapsed="false">
      <c r="A99" s="24" t="n">
        <v>76</v>
      </c>
      <c r="B99" s="54" t="n">
        <f aca="false">EDATE($C$17,A99-1)</f>
        <v>48611</v>
      </c>
      <c r="C99" s="55" t="n">
        <f aca="false">G99+L99+Q99+V99+AA99+AF99+AK99+AP99+AU99+AZ99</f>
        <v>0</v>
      </c>
      <c r="D99" s="55" t="n">
        <f aca="false">MAX(0,$C$16-C99)</f>
        <v>5822</v>
      </c>
      <c r="E99" s="55" t="n">
        <f aca="false">ROUND(MAX(0,E98+F98-I98),2)</f>
        <v>0</v>
      </c>
      <c r="F99" s="55" t="n">
        <f aca="false">ROUND(E99*$E$5/12,2)</f>
        <v>0</v>
      </c>
      <c r="G99" s="55" t="n">
        <f aca="false">MIN($F$5,E99+F99)</f>
        <v>0</v>
      </c>
      <c r="H99" s="55" t="n">
        <f aca="false">MAX(0,MIN(E99+F99-G99,$D99))</f>
        <v>0</v>
      </c>
      <c r="I99" s="55" t="n">
        <f aca="false">G99+H99</f>
        <v>0</v>
      </c>
      <c r="J99" s="55" t="n">
        <f aca="false">ROUND(MAX(0,J98+K98-N98),2)</f>
        <v>0</v>
      </c>
      <c r="K99" s="55" t="n">
        <f aca="false">ROUND(J99*$E$6/12,2)</f>
        <v>0</v>
      </c>
      <c r="L99" s="55" t="n">
        <f aca="false">MIN($F$6,J99+K99)</f>
        <v>0</v>
      </c>
      <c r="M99" s="55" t="n">
        <f aca="false">MAX(0,MIN(J99+K99-L99,$D99-(H99)))</f>
        <v>0</v>
      </c>
      <c r="N99" s="55" t="n">
        <f aca="false">L99+M99</f>
        <v>0</v>
      </c>
      <c r="O99" s="55" t="n">
        <f aca="false">ROUND(MAX(0,O98+P98-S98),2)</f>
        <v>0</v>
      </c>
      <c r="P99" s="55" t="n">
        <f aca="false">ROUND(O99*$E$7/12,2)</f>
        <v>0</v>
      </c>
      <c r="Q99" s="55" t="n">
        <f aca="false">MIN($F$7,O99+P99)</f>
        <v>0</v>
      </c>
      <c r="R99" s="55" t="n">
        <f aca="false">MAX(0,MIN(O99+P99-Q99,$D99-(H99+M99)))</f>
        <v>0</v>
      </c>
      <c r="S99" s="55" t="n">
        <f aca="false">Q99+R99</f>
        <v>0</v>
      </c>
      <c r="T99" s="55" t="n">
        <f aca="false">ROUND(MAX(0,T98+U98-X98),2)</f>
        <v>0</v>
      </c>
      <c r="U99" s="55" t="n">
        <f aca="false">ROUND(T99*$E$8/12,2)</f>
        <v>0</v>
      </c>
      <c r="V99" s="55" t="n">
        <f aca="false">MIN($F$8,T99+U99)</f>
        <v>0</v>
      </c>
      <c r="W99" s="55" t="n">
        <f aca="false">MAX(0,MIN(T99+U99-V99,$D99-(H99+M99+R99)))</f>
        <v>0</v>
      </c>
      <c r="X99" s="55" t="n">
        <f aca="false">V99+W99</f>
        <v>0</v>
      </c>
      <c r="Y99" s="55" t="n">
        <f aca="false">ROUND(MAX(0,Y98+Z98-AC98),2)</f>
        <v>0</v>
      </c>
      <c r="Z99" s="55" t="n">
        <f aca="false">ROUND(Y99*$E$9/12,2)</f>
        <v>0</v>
      </c>
      <c r="AA99" s="55" t="n">
        <f aca="false">MIN($F$9,Y99+Z99)</f>
        <v>0</v>
      </c>
      <c r="AB99" s="55" t="n">
        <f aca="false">MAX(0,MIN(Y99+Z99-AA99,$D99-(H99+M99+R99+W99)))</f>
        <v>0</v>
      </c>
      <c r="AC99" s="55" t="n">
        <f aca="false">AA99+AB99</f>
        <v>0</v>
      </c>
      <c r="AD99" s="55" t="n">
        <f aca="false">ROUND(MAX(0,AD98+AE98-AH98),2)</f>
        <v>0</v>
      </c>
      <c r="AE99" s="55" t="n">
        <f aca="false">ROUND(AD99*$E$10/12,2)</f>
        <v>0</v>
      </c>
      <c r="AF99" s="55" t="n">
        <f aca="false">MIN($F$10,AD99+AE99)</f>
        <v>0</v>
      </c>
      <c r="AG99" s="55" t="n">
        <f aca="false">MAX(0,MIN(AD99+AE99-AF99,$D99-(H99+M99+R99+W99+AB99)))</f>
        <v>0</v>
      </c>
      <c r="AH99" s="55" t="n">
        <f aca="false">AF99+AG99</f>
        <v>0</v>
      </c>
      <c r="AI99" s="55" t="n">
        <f aca="false">ROUND(MAX(0,AI98+AJ98-AM98),2)</f>
        <v>0</v>
      </c>
      <c r="AJ99" s="55" t="n">
        <f aca="false">ROUND(AI99*$E$11/12,2)</f>
        <v>0</v>
      </c>
      <c r="AK99" s="55" t="n">
        <f aca="false">MIN($F$11,AI99+AJ99)</f>
        <v>0</v>
      </c>
      <c r="AL99" s="55" t="n">
        <f aca="false">MAX(0,MIN(AI99+AJ99-AK99,$D99-(H99+M99+R99+W99+AB99+AG99)))</f>
        <v>0</v>
      </c>
      <c r="AM99" s="55" t="n">
        <f aca="false">AK99+AL99</f>
        <v>0</v>
      </c>
      <c r="AN99" s="55" t="n">
        <f aca="false">ROUND(MAX(0,AN98+AO98-AR98),2)</f>
        <v>0</v>
      </c>
      <c r="AO99" s="55" t="n">
        <f aca="false">ROUND(AN99*$E$12/12,2)</f>
        <v>0</v>
      </c>
      <c r="AP99" s="55" t="n">
        <f aca="false">MIN($F$12,AN99+AO99)</f>
        <v>0</v>
      </c>
      <c r="AQ99" s="55" t="n">
        <f aca="false">MAX(0,MIN(AN99+AO99-AP99,$D99-(H99+M99+R99+W99+AB99+AG99+AL99)))</f>
        <v>0</v>
      </c>
      <c r="AR99" s="55" t="n">
        <f aca="false">AP99+AQ99</f>
        <v>0</v>
      </c>
      <c r="AS99" s="55" t="n">
        <f aca="false">ROUND(MAX(0,AS98+AT98-AW98),2)</f>
        <v>0</v>
      </c>
      <c r="AT99" s="55" t="n">
        <f aca="false">ROUND(AS99*$E$13/12,2)</f>
        <v>0</v>
      </c>
      <c r="AU99" s="55" t="n">
        <f aca="false">MIN($F$13,AS99+AT99)</f>
        <v>0</v>
      </c>
      <c r="AV99" s="55" t="n">
        <f aca="false">MAX(0,MIN(AS99+AT99-AU99,$D99-(H99+M99+R99+W99+AB99+AG99+AL99+AQ99)))</f>
        <v>0</v>
      </c>
      <c r="AW99" s="55" t="n">
        <f aca="false">AU99+AV99</f>
        <v>0</v>
      </c>
      <c r="AX99" s="55" t="n">
        <f aca="false">ROUND(MAX(0,AX98+AY98-BB98),2)</f>
        <v>0</v>
      </c>
      <c r="AY99" s="55" t="n">
        <f aca="false">ROUND(AX99*$E$14/12,2)</f>
        <v>0</v>
      </c>
      <c r="AZ99" s="55" t="n">
        <f aca="false">MIN($F$14,AX99+AY99)</f>
        <v>0</v>
      </c>
      <c r="BA99" s="55" t="n">
        <f aca="false">MAX(0,MIN(AX99+AY99-AZ99,$D99-(H99+M99+R99+W99+AB99+AG99+AL99+AQ99+AV99)))</f>
        <v>0</v>
      </c>
      <c r="BB99" s="55" t="n">
        <f aca="false">AZ99+BA99</f>
        <v>0</v>
      </c>
      <c r="BC99" s="55" t="n">
        <f aca="false">I99+N99+S99+X99+AC99+AH99+AM99+AR99+AW99+BB99</f>
        <v>0</v>
      </c>
      <c r="BD99" s="55" t="n">
        <f aca="false">ROUND((E99+F99-I99)+(J99+K99-N99)+(O99+P99-S99)+(T99+U99-X99)+(Y99+Z99-AC99)+(AD99+AE99-AH99)+(AI99+AJ99-AM99)+(AN99+AO99-AR99)+(AS99+AT99-AW99)+(AX99+AY99-BB99),2)</f>
        <v>0</v>
      </c>
      <c r="BE99" s="25" t="str">
        <f aca="false">IF(H99&gt;0.005,$C$5,IF(M99&gt;0.005,$C$6,IF(R99&gt;0.005,$C$7,IF(W99&gt;0.005,$C$8,IF(AB99&gt;0.005,$C$9,IF(AG99&gt;0.005,$C$10,IF(AL99&gt;0.005,$C$11,IF(AQ99&gt;0.005,$C$12,IF(AV99&gt;0.005,$C$13,IF(BA99&gt;0.005,$C$14,""))))))))))</f>
        <v/>
      </c>
    </row>
    <row r="100" customFormat="false" ht="15" hidden="false" customHeight="false" outlineLevel="0" collapsed="false">
      <c r="A100" s="24" t="n">
        <v>77</v>
      </c>
      <c r="B100" s="54" t="n">
        <f aca="false">EDATE($C$17,A100-1)</f>
        <v>48639</v>
      </c>
      <c r="C100" s="55" t="n">
        <f aca="false">G100+L100+Q100+V100+AA100+AF100+AK100+AP100+AU100+AZ100</f>
        <v>0</v>
      </c>
      <c r="D100" s="55" t="n">
        <f aca="false">MAX(0,$C$16-C100)</f>
        <v>5822</v>
      </c>
      <c r="E100" s="55" t="n">
        <f aca="false">ROUND(MAX(0,E99+F99-I99),2)</f>
        <v>0</v>
      </c>
      <c r="F100" s="55" t="n">
        <f aca="false">ROUND(E100*$E$5/12,2)</f>
        <v>0</v>
      </c>
      <c r="G100" s="55" t="n">
        <f aca="false">MIN($F$5,E100+F100)</f>
        <v>0</v>
      </c>
      <c r="H100" s="55" t="n">
        <f aca="false">MAX(0,MIN(E100+F100-G100,$D100))</f>
        <v>0</v>
      </c>
      <c r="I100" s="55" t="n">
        <f aca="false">G100+H100</f>
        <v>0</v>
      </c>
      <c r="J100" s="55" t="n">
        <f aca="false">ROUND(MAX(0,J99+K99-N99),2)</f>
        <v>0</v>
      </c>
      <c r="K100" s="55" t="n">
        <f aca="false">ROUND(J100*$E$6/12,2)</f>
        <v>0</v>
      </c>
      <c r="L100" s="55" t="n">
        <f aca="false">MIN($F$6,J100+K100)</f>
        <v>0</v>
      </c>
      <c r="M100" s="55" t="n">
        <f aca="false">MAX(0,MIN(J100+K100-L100,$D100-(H100)))</f>
        <v>0</v>
      </c>
      <c r="N100" s="55" t="n">
        <f aca="false">L100+M100</f>
        <v>0</v>
      </c>
      <c r="O100" s="55" t="n">
        <f aca="false">ROUND(MAX(0,O99+P99-S99),2)</f>
        <v>0</v>
      </c>
      <c r="P100" s="55" t="n">
        <f aca="false">ROUND(O100*$E$7/12,2)</f>
        <v>0</v>
      </c>
      <c r="Q100" s="55" t="n">
        <f aca="false">MIN($F$7,O100+P100)</f>
        <v>0</v>
      </c>
      <c r="R100" s="55" t="n">
        <f aca="false">MAX(0,MIN(O100+P100-Q100,$D100-(H100+M100)))</f>
        <v>0</v>
      </c>
      <c r="S100" s="55" t="n">
        <f aca="false">Q100+R100</f>
        <v>0</v>
      </c>
      <c r="T100" s="55" t="n">
        <f aca="false">ROUND(MAX(0,T99+U99-X99),2)</f>
        <v>0</v>
      </c>
      <c r="U100" s="55" t="n">
        <f aca="false">ROUND(T100*$E$8/12,2)</f>
        <v>0</v>
      </c>
      <c r="V100" s="55" t="n">
        <f aca="false">MIN($F$8,T100+U100)</f>
        <v>0</v>
      </c>
      <c r="W100" s="55" t="n">
        <f aca="false">MAX(0,MIN(T100+U100-V100,$D100-(H100+M100+R100)))</f>
        <v>0</v>
      </c>
      <c r="X100" s="55" t="n">
        <f aca="false">V100+W100</f>
        <v>0</v>
      </c>
      <c r="Y100" s="55" t="n">
        <f aca="false">ROUND(MAX(0,Y99+Z99-AC99),2)</f>
        <v>0</v>
      </c>
      <c r="Z100" s="55" t="n">
        <f aca="false">ROUND(Y100*$E$9/12,2)</f>
        <v>0</v>
      </c>
      <c r="AA100" s="55" t="n">
        <f aca="false">MIN($F$9,Y100+Z100)</f>
        <v>0</v>
      </c>
      <c r="AB100" s="55" t="n">
        <f aca="false">MAX(0,MIN(Y100+Z100-AA100,$D100-(H100+M100+R100+W100)))</f>
        <v>0</v>
      </c>
      <c r="AC100" s="55" t="n">
        <f aca="false">AA100+AB100</f>
        <v>0</v>
      </c>
      <c r="AD100" s="55" t="n">
        <f aca="false">ROUND(MAX(0,AD99+AE99-AH99),2)</f>
        <v>0</v>
      </c>
      <c r="AE100" s="55" t="n">
        <f aca="false">ROUND(AD100*$E$10/12,2)</f>
        <v>0</v>
      </c>
      <c r="AF100" s="55" t="n">
        <f aca="false">MIN($F$10,AD100+AE100)</f>
        <v>0</v>
      </c>
      <c r="AG100" s="55" t="n">
        <f aca="false">MAX(0,MIN(AD100+AE100-AF100,$D100-(H100+M100+R100+W100+AB100)))</f>
        <v>0</v>
      </c>
      <c r="AH100" s="55" t="n">
        <f aca="false">AF100+AG100</f>
        <v>0</v>
      </c>
      <c r="AI100" s="55" t="n">
        <f aca="false">ROUND(MAX(0,AI99+AJ99-AM99),2)</f>
        <v>0</v>
      </c>
      <c r="AJ100" s="55" t="n">
        <f aca="false">ROUND(AI100*$E$11/12,2)</f>
        <v>0</v>
      </c>
      <c r="AK100" s="55" t="n">
        <f aca="false">MIN($F$11,AI100+AJ100)</f>
        <v>0</v>
      </c>
      <c r="AL100" s="55" t="n">
        <f aca="false">MAX(0,MIN(AI100+AJ100-AK100,$D100-(H100+M100+R100+W100+AB100+AG100)))</f>
        <v>0</v>
      </c>
      <c r="AM100" s="55" t="n">
        <f aca="false">AK100+AL100</f>
        <v>0</v>
      </c>
      <c r="AN100" s="55" t="n">
        <f aca="false">ROUND(MAX(0,AN99+AO99-AR99),2)</f>
        <v>0</v>
      </c>
      <c r="AO100" s="55" t="n">
        <f aca="false">ROUND(AN100*$E$12/12,2)</f>
        <v>0</v>
      </c>
      <c r="AP100" s="55" t="n">
        <f aca="false">MIN($F$12,AN100+AO100)</f>
        <v>0</v>
      </c>
      <c r="AQ100" s="55" t="n">
        <f aca="false">MAX(0,MIN(AN100+AO100-AP100,$D100-(H100+M100+R100+W100+AB100+AG100+AL100)))</f>
        <v>0</v>
      </c>
      <c r="AR100" s="55" t="n">
        <f aca="false">AP100+AQ100</f>
        <v>0</v>
      </c>
      <c r="AS100" s="55" t="n">
        <f aca="false">ROUND(MAX(0,AS99+AT99-AW99),2)</f>
        <v>0</v>
      </c>
      <c r="AT100" s="55" t="n">
        <f aca="false">ROUND(AS100*$E$13/12,2)</f>
        <v>0</v>
      </c>
      <c r="AU100" s="55" t="n">
        <f aca="false">MIN($F$13,AS100+AT100)</f>
        <v>0</v>
      </c>
      <c r="AV100" s="55" t="n">
        <f aca="false">MAX(0,MIN(AS100+AT100-AU100,$D100-(H100+M100+R100+W100+AB100+AG100+AL100+AQ100)))</f>
        <v>0</v>
      </c>
      <c r="AW100" s="55" t="n">
        <f aca="false">AU100+AV100</f>
        <v>0</v>
      </c>
      <c r="AX100" s="55" t="n">
        <f aca="false">ROUND(MAX(0,AX99+AY99-BB99),2)</f>
        <v>0</v>
      </c>
      <c r="AY100" s="55" t="n">
        <f aca="false">ROUND(AX100*$E$14/12,2)</f>
        <v>0</v>
      </c>
      <c r="AZ100" s="55" t="n">
        <f aca="false">MIN($F$14,AX100+AY100)</f>
        <v>0</v>
      </c>
      <c r="BA100" s="55" t="n">
        <f aca="false">MAX(0,MIN(AX100+AY100-AZ100,$D100-(H100+M100+R100+W100+AB100+AG100+AL100+AQ100+AV100)))</f>
        <v>0</v>
      </c>
      <c r="BB100" s="55" t="n">
        <f aca="false">AZ100+BA100</f>
        <v>0</v>
      </c>
      <c r="BC100" s="55" t="n">
        <f aca="false">I100+N100+S100+X100+AC100+AH100+AM100+AR100+AW100+BB100</f>
        <v>0</v>
      </c>
      <c r="BD100" s="55" t="n">
        <f aca="false">ROUND((E100+F100-I100)+(J100+K100-N100)+(O100+P100-S100)+(T100+U100-X100)+(Y100+Z100-AC100)+(AD100+AE100-AH100)+(AI100+AJ100-AM100)+(AN100+AO100-AR100)+(AS100+AT100-AW100)+(AX100+AY100-BB100),2)</f>
        <v>0</v>
      </c>
      <c r="BE100" s="25" t="str">
        <f aca="false">IF(H100&gt;0.005,$C$5,IF(M100&gt;0.005,$C$6,IF(R100&gt;0.005,$C$7,IF(W100&gt;0.005,$C$8,IF(AB100&gt;0.005,$C$9,IF(AG100&gt;0.005,$C$10,IF(AL100&gt;0.005,$C$11,IF(AQ100&gt;0.005,$C$12,IF(AV100&gt;0.005,$C$13,IF(BA100&gt;0.005,$C$14,""))))))))))</f>
        <v/>
      </c>
    </row>
    <row r="101" customFormat="false" ht="15" hidden="false" customHeight="false" outlineLevel="0" collapsed="false">
      <c r="A101" s="24" t="n">
        <v>78</v>
      </c>
      <c r="B101" s="54" t="n">
        <f aca="false">EDATE($C$17,A101-1)</f>
        <v>48670</v>
      </c>
      <c r="C101" s="55" t="n">
        <f aca="false">G101+L101+Q101+V101+AA101+AF101+AK101+AP101+AU101+AZ101</f>
        <v>0</v>
      </c>
      <c r="D101" s="55" t="n">
        <f aca="false">MAX(0,$C$16-C101)</f>
        <v>5822</v>
      </c>
      <c r="E101" s="55" t="n">
        <f aca="false">ROUND(MAX(0,E100+F100-I100),2)</f>
        <v>0</v>
      </c>
      <c r="F101" s="55" t="n">
        <f aca="false">ROUND(E101*$E$5/12,2)</f>
        <v>0</v>
      </c>
      <c r="G101" s="55" t="n">
        <f aca="false">MIN($F$5,E101+F101)</f>
        <v>0</v>
      </c>
      <c r="H101" s="55" t="n">
        <f aca="false">MAX(0,MIN(E101+F101-G101,$D101))</f>
        <v>0</v>
      </c>
      <c r="I101" s="55" t="n">
        <f aca="false">G101+H101</f>
        <v>0</v>
      </c>
      <c r="J101" s="55" t="n">
        <f aca="false">ROUND(MAX(0,J100+K100-N100),2)</f>
        <v>0</v>
      </c>
      <c r="K101" s="55" t="n">
        <f aca="false">ROUND(J101*$E$6/12,2)</f>
        <v>0</v>
      </c>
      <c r="L101" s="55" t="n">
        <f aca="false">MIN($F$6,J101+K101)</f>
        <v>0</v>
      </c>
      <c r="M101" s="55" t="n">
        <f aca="false">MAX(0,MIN(J101+K101-L101,$D101-(H101)))</f>
        <v>0</v>
      </c>
      <c r="N101" s="55" t="n">
        <f aca="false">L101+M101</f>
        <v>0</v>
      </c>
      <c r="O101" s="55" t="n">
        <f aca="false">ROUND(MAX(0,O100+P100-S100),2)</f>
        <v>0</v>
      </c>
      <c r="P101" s="55" t="n">
        <f aca="false">ROUND(O101*$E$7/12,2)</f>
        <v>0</v>
      </c>
      <c r="Q101" s="55" t="n">
        <f aca="false">MIN($F$7,O101+P101)</f>
        <v>0</v>
      </c>
      <c r="R101" s="55" t="n">
        <f aca="false">MAX(0,MIN(O101+P101-Q101,$D101-(H101+M101)))</f>
        <v>0</v>
      </c>
      <c r="S101" s="55" t="n">
        <f aca="false">Q101+R101</f>
        <v>0</v>
      </c>
      <c r="T101" s="55" t="n">
        <f aca="false">ROUND(MAX(0,T100+U100-X100),2)</f>
        <v>0</v>
      </c>
      <c r="U101" s="55" t="n">
        <f aca="false">ROUND(T101*$E$8/12,2)</f>
        <v>0</v>
      </c>
      <c r="V101" s="55" t="n">
        <f aca="false">MIN($F$8,T101+U101)</f>
        <v>0</v>
      </c>
      <c r="W101" s="55" t="n">
        <f aca="false">MAX(0,MIN(T101+U101-V101,$D101-(H101+M101+R101)))</f>
        <v>0</v>
      </c>
      <c r="X101" s="55" t="n">
        <f aca="false">V101+W101</f>
        <v>0</v>
      </c>
      <c r="Y101" s="55" t="n">
        <f aca="false">ROUND(MAX(0,Y100+Z100-AC100),2)</f>
        <v>0</v>
      </c>
      <c r="Z101" s="55" t="n">
        <f aca="false">ROUND(Y101*$E$9/12,2)</f>
        <v>0</v>
      </c>
      <c r="AA101" s="55" t="n">
        <f aca="false">MIN($F$9,Y101+Z101)</f>
        <v>0</v>
      </c>
      <c r="AB101" s="55" t="n">
        <f aca="false">MAX(0,MIN(Y101+Z101-AA101,$D101-(H101+M101+R101+W101)))</f>
        <v>0</v>
      </c>
      <c r="AC101" s="55" t="n">
        <f aca="false">AA101+AB101</f>
        <v>0</v>
      </c>
      <c r="AD101" s="55" t="n">
        <f aca="false">ROUND(MAX(0,AD100+AE100-AH100),2)</f>
        <v>0</v>
      </c>
      <c r="AE101" s="55" t="n">
        <f aca="false">ROUND(AD101*$E$10/12,2)</f>
        <v>0</v>
      </c>
      <c r="AF101" s="55" t="n">
        <f aca="false">MIN($F$10,AD101+AE101)</f>
        <v>0</v>
      </c>
      <c r="AG101" s="55" t="n">
        <f aca="false">MAX(0,MIN(AD101+AE101-AF101,$D101-(H101+M101+R101+W101+AB101)))</f>
        <v>0</v>
      </c>
      <c r="AH101" s="55" t="n">
        <f aca="false">AF101+AG101</f>
        <v>0</v>
      </c>
      <c r="AI101" s="55" t="n">
        <f aca="false">ROUND(MAX(0,AI100+AJ100-AM100),2)</f>
        <v>0</v>
      </c>
      <c r="AJ101" s="55" t="n">
        <f aca="false">ROUND(AI101*$E$11/12,2)</f>
        <v>0</v>
      </c>
      <c r="AK101" s="55" t="n">
        <f aca="false">MIN($F$11,AI101+AJ101)</f>
        <v>0</v>
      </c>
      <c r="AL101" s="55" t="n">
        <f aca="false">MAX(0,MIN(AI101+AJ101-AK101,$D101-(H101+M101+R101+W101+AB101+AG101)))</f>
        <v>0</v>
      </c>
      <c r="AM101" s="55" t="n">
        <f aca="false">AK101+AL101</f>
        <v>0</v>
      </c>
      <c r="AN101" s="55" t="n">
        <f aca="false">ROUND(MAX(0,AN100+AO100-AR100),2)</f>
        <v>0</v>
      </c>
      <c r="AO101" s="55" t="n">
        <f aca="false">ROUND(AN101*$E$12/12,2)</f>
        <v>0</v>
      </c>
      <c r="AP101" s="55" t="n">
        <f aca="false">MIN($F$12,AN101+AO101)</f>
        <v>0</v>
      </c>
      <c r="AQ101" s="55" t="n">
        <f aca="false">MAX(0,MIN(AN101+AO101-AP101,$D101-(H101+M101+R101+W101+AB101+AG101+AL101)))</f>
        <v>0</v>
      </c>
      <c r="AR101" s="55" t="n">
        <f aca="false">AP101+AQ101</f>
        <v>0</v>
      </c>
      <c r="AS101" s="55" t="n">
        <f aca="false">ROUND(MAX(0,AS100+AT100-AW100),2)</f>
        <v>0</v>
      </c>
      <c r="AT101" s="55" t="n">
        <f aca="false">ROUND(AS101*$E$13/12,2)</f>
        <v>0</v>
      </c>
      <c r="AU101" s="55" t="n">
        <f aca="false">MIN($F$13,AS101+AT101)</f>
        <v>0</v>
      </c>
      <c r="AV101" s="55" t="n">
        <f aca="false">MAX(0,MIN(AS101+AT101-AU101,$D101-(H101+M101+R101+W101+AB101+AG101+AL101+AQ101)))</f>
        <v>0</v>
      </c>
      <c r="AW101" s="55" t="n">
        <f aca="false">AU101+AV101</f>
        <v>0</v>
      </c>
      <c r="AX101" s="55" t="n">
        <f aca="false">ROUND(MAX(0,AX100+AY100-BB100),2)</f>
        <v>0</v>
      </c>
      <c r="AY101" s="55" t="n">
        <f aca="false">ROUND(AX101*$E$14/12,2)</f>
        <v>0</v>
      </c>
      <c r="AZ101" s="55" t="n">
        <f aca="false">MIN($F$14,AX101+AY101)</f>
        <v>0</v>
      </c>
      <c r="BA101" s="55" t="n">
        <f aca="false">MAX(0,MIN(AX101+AY101-AZ101,$D101-(H101+M101+R101+W101+AB101+AG101+AL101+AQ101+AV101)))</f>
        <v>0</v>
      </c>
      <c r="BB101" s="55" t="n">
        <f aca="false">AZ101+BA101</f>
        <v>0</v>
      </c>
      <c r="BC101" s="55" t="n">
        <f aca="false">I101+N101+S101+X101+AC101+AH101+AM101+AR101+AW101+BB101</f>
        <v>0</v>
      </c>
      <c r="BD101" s="55" t="n">
        <f aca="false">ROUND((E101+F101-I101)+(J101+K101-N101)+(O101+P101-S101)+(T101+U101-X101)+(Y101+Z101-AC101)+(AD101+AE101-AH101)+(AI101+AJ101-AM101)+(AN101+AO101-AR101)+(AS101+AT101-AW101)+(AX101+AY101-BB101),2)</f>
        <v>0</v>
      </c>
      <c r="BE101" s="25" t="str">
        <f aca="false">IF(H101&gt;0.005,$C$5,IF(M101&gt;0.005,$C$6,IF(R101&gt;0.005,$C$7,IF(W101&gt;0.005,$C$8,IF(AB101&gt;0.005,$C$9,IF(AG101&gt;0.005,$C$10,IF(AL101&gt;0.005,$C$11,IF(AQ101&gt;0.005,$C$12,IF(AV101&gt;0.005,$C$13,IF(BA101&gt;0.005,$C$14,""))))))))))</f>
        <v/>
      </c>
    </row>
    <row r="102" customFormat="false" ht="15" hidden="false" customHeight="false" outlineLevel="0" collapsed="false">
      <c r="A102" s="24" t="n">
        <v>79</v>
      </c>
      <c r="B102" s="54" t="n">
        <f aca="false">EDATE($C$17,A102-1)</f>
        <v>48700</v>
      </c>
      <c r="C102" s="55" t="n">
        <f aca="false">G102+L102+Q102+V102+AA102+AF102+AK102+AP102+AU102+AZ102</f>
        <v>0</v>
      </c>
      <c r="D102" s="55" t="n">
        <f aca="false">MAX(0,$C$16-C102)</f>
        <v>5822</v>
      </c>
      <c r="E102" s="55" t="n">
        <f aca="false">ROUND(MAX(0,E101+F101-I101),2)</f>
        <v>0</v>
      </c>
      <c r="F102" s="55" t="n">
        <f aca="false">ROUND(E102*$E$5/12,2)</f>
        <v>0</v>
      </c>
      <c r="G102" s="55" t="n">
        <f aca="false">MIN($F$5,E102+F102)</f>
        <v>0</v>
      </c>
      <c r="H102" s="55" t="n">
        <f aca="false">MAX(0,MIN(E102+F102-G102,$D102))</f>
        <v>0</v>
      </c>
      <c r="I102" s="55" t="n">
        <f aca="false">G102+H102</f>
        <v>0</v>
      </c>
      <c r="J102" s="55" t="n">
        <f aca="false">ROUND(MAX(0,J101+K101-N101),2)</f>
        <v>0</v>
      </c>
      <c r="K102" s="55" t="n">
        <f aca="false">ROUND(J102*$E$6/12,2)</f>
        <v>0</v>
      </c>
      <c r="L102" s="55" t="n">
        <f aca="false">MIN($F$6,J102+K102)</f>
        <v>0</v>
      </c>
      <c r="M102" s="55" t="n">
        <f aca="false">MAX(0,MIN(J102+K102-L102,$D102-(H102)))</f>
        <v>0</v>
      </c>
      <c r="N102" s="55" t="n">
        <f aca="false">L102+M102</f>
        <v>0</v>
      </c>
      <c r="O102" s="55" t="n">
        <f aca="false">ROUND(MAX(0,O101+P101-S101),2)</f>
        <v>0</v>
      </c>
      <c r="P102" s="55" t="n">
        <f aca="false">ROUND(O102*$E$7/12,2)</f>
        <v>0</v>
      </c>
      <c r="Q102" s="55" t="n">
        <f aca="false">MIN($F$7,O102+P102)</f>
        <v>0</v>
      </c>
      <c r="R102" s="55" t="n">
        <f aca="false">MAX(0,MIN(O102+P102-Q102,$D102-(H102+M102)))</f>
        <v>0</v>
      </c>
      <c r="S102" s="55" t="n">
        <f aca="false">Q102+R102</f>
        <v>0</v>
      </c>
      <c r="T102" s="55" t="n">
        <f aca="false">ROUND(MAX(0,T101+U101-X101),2)</f>
        <v>0</v>
      </c>
      <c r="U102" s="55" t="n">
        <f aca="false">ROUND(T102*$E$8/12,2)</f>
        <v>0</v>
      </c>
      <c r="V102" s="55" t="n">
        <f aca="false">MIN($F$8,T102+U102)</f>
        <v>0</v>
      </c>
      <c r="W102" s="55" t="n">
        <f aca="false">MAX(0,MIN(T102+U102-V102,$D102-(H102+M102+R102)))</f>
        <v>0</v>
      </c>
      <c r="X102" s="55" t="n">
        <f aca="false">V102+W102</f>
        <v>0</v>
      </c>
      <c r="Y102" s="55" t="n">
        <f aca="false">ROUND(MAX(0,Y101+Z101-AC101),2)</f>
        <v>0</v>
      </c>
      <c r="Z102" s="55" t="n">
        <f aca="false">ROUND(Y102*$E$9/12,2)</f>
        <v>0</v>
      </c>
      <c r="AA102" s="55" t="n">
        <f aca="false">MIN($F$9,Y102+Z102)</f>
        <v>0</v>
      </c>
      <c r="AB102" s="55" t="n">
        <f aca="false">MAX(0,MIN(Y102+Z102-AA102,$D102-(H102+M102+R102+W102)))</f>
        <v>0</v>
      </c>
      <c r="AC102" s="55" t="n">
        <f aca="false">AA102+AB102</f>
        <v>0</v>
      </c>
      <c r="AD102" s="55" t="n">
        <f aca="false">ROUND(MAX(0,AD101+AE101-AH101),2)</f>
        <v>0</v>
      </c>
      <c r="AE102" s="55" t="n">
        <f aca="false">ROUND(AD102*$E$10/12,2)</f>
        <v>0</v>
      </c>
      <c r="AF102" s="55" t="n">
        <f aca="false">MIN($F$10,AD102+AE102)</f>
        <v>0</v>
      </c>
      <c r="AG102" s="55" t="n">
        <f aca="false">MAX(0,MIN(AD102+AE102-AF102,$D102-(H102+M102+R102+W102+AB102)))</f>
        <v>0</v>
      </c>
      <c r="AH102" s="55" t="n">
        <f aca="false">AF102+AG102</f>
        <v>0</v>
      </c>
      <c r="AI102" s="55" t="n">
        <f aca="false">ROUND(MAX(0,AI101+AJ101-AM101),2)</f>
        <v>0</v>
      </c>
      <c r="AJ102" s="55" t="n">
        <f aca="false">ROUND(AI102*$E$11/12,2)</f>
        <v>0</v>
      </c>
      <c r="AK102" s="55" t="n">
        <f aca="false">MIN($F$11,AI102+AJ102)</f>
        <v>0</v>
      </c>
      <c r="AL102" s="55" t="n">
        <f aca="false">MAX(0,MIN(AI102+AJ102-AK102,$D102-(H102+M102+R102+W102+AB102+AG102)))</f>
        <v>0</v>
      </c>
      <c r="AM102" s="55" t="n">
        <f aca="false">AK102+AL102</f>
        <v>0</v>
      </c>
      <c r="AN102" s="55" t="n">
        <f aca="false">ROUND(MAX(0,AN101+AO101-AR101),2)</f>
        <v>0</v>
      </c>
      <c r="AO102" s="55" t="n">
        <f aca="false">ROUND(AN102*$E$12/12,2)</f>
        <v>0</v>
      </c>
      <c r="AP102" s="55" t="n">
        <f aca="false">MIN($F$12,AN102+AO102)</f>
        <v>0</v>
      </c>
      <c r="AQ102" s="55" t="n">
        <f aca="false">MAX(0,MIN(AN102+AO102-AP102,$D102-(H102+M102+R102+W102+AB102+AG102+AL102)))</f>
        <v>0</v>
      </c>
      <c r="AR102" s="55" t="n">
        <f aca="false">AP102+AQ102</f>
        <v>0</v>
      </c>
      <c r="AS102" s="55" t="n">
        <f aca="false">ROUND(MAX(0,AS101+AT101-AW101),2)</f>
        <v>0</v>
      </c>
      <c r="AT102" s="55" t="n">
        <f aca="false">ROUND(AS102*$E$13/12,2)</f>
        <v>0</v>
      </c>
      <c r="AU102" s="55" t="n">
        <f aca="false">MIN($F$13,AS102+AT102)</f>
        <v>0</v>
      </c>
      <c r="AV102" s="55" t="n">
        <f aca="false">MAX(0,MIN(AS102+AT102-AU102,$D102-(H102+M102+R102+W102+AB102+AG102+AL102+AQ102)))</f>
        <v>0</v>
      </c>
      <c r="AW102" s="55" t="n">
        <f aca="false">AU102+AV102</f>
        <v>0</v>
      </c>
      <c r="AX102" s="55" t="n">
        <f aca="false">ROUND(MAX(0,AX101+AY101-BB101),2)</f>
        <v>0</v>
      </c>
      <c r="AY102" s="55" t="n">
        <f aca="false">ROUND(AX102*$E$14/12,2)</f>
        <v>0</v>
      </c>
      <c r="AZ102" s="55" t="n">
        <f aca="false">MIN($F$14,AX102+AY102)</f>
        <v>0</v>
      </c>
      <c r="BA102" s="55" t="n">
        <f aca="false">MAX(0,MIN(AX102+AY102-AZ102,$D102-(H102+M102+R102+W102+AB102+AG102+AL102+AQ102+AV102)))</f>
        <v>0</v>
      </c>
      <c r="BB102" s="55" t="n">
        <f aca="false">AZ102+BA102</f>
        <v>0</v>
      </c>
      <c r="BC102" s="55" t="n">
        <f aca="false">I102+N102+S102+X102+AC102+AH102+AM102+AR102+AW102+BB102</f>
        <v>0</v>
      </c>
      <c r="BD102" s="55" t="n">
        <f aca="false">ROUND((E102+F102-I102)+(J102+K102-N102)+(O102+P102-S102)+(T102+U102-X102)+(Y102+Z102-AC102)+(AD102+AE102-AH102)+(AI102+AJ102-AM102)+(AN102+AO102-AR102)+(AS102+AT102-AW102)+(AX102+AY102-BB102),2)</f>
        <v>0</v>
      </c>
      <c r="BE102" s="25" t="str">
        <f aca="false">IF(H102&gt;0.005,$C$5,IF(M102&gt;0.005,$C$6,IF(R102&gt;0.005,$C$7,IF(W102&gt;0.005,$C$8,IF(AB102&gt;0.005,$C$9,IF(AG102&gt;0.005,$C$10,IF(AL102&gt;0.005,$C$11,IF(AQ102&gt;0.005,$C$12,IF(AV102&gt;0.005,$C$13,IF(BA102&gt;0.005,$C$14,""))))))))))</f>
        <v/>
      </c>
    </row>
    <row r="103" customFormat="false" ht="15" hidden="false" customHeight="false" outlineLevel="0" collapsed="false">
      <c r="A103" s="24" t="n">
        <v>80</v>
      </c>
      <c r="B103" s="54" t="n">
        <f aca="false">EDATE($C$17,A103-1)</f>
        <v>48731</v>
      </c>
      <c r="C103" s="55" t="n">
        <f aca="false">G103+L103+Q103+V103+AA103+AF103+AK103+AP103+AU103+AZ103</f>
        <v>0</v>
      </c>
      <c r="D103" s="55" t="n">
        <f aca="false">MAX(0,$C$16-C103)</f>
        <v>5822</v>
      </c>
      <c r="E103" s="55" t="n">
        <f aca="false">ROUND(MAX(0,E102+F102-I102),2)</f>
        <v>0</v>
      </c>
      <c r="F103" s="55" t="n">
        <f aca="false">ROUND(E103*$E$5/12,2)</f>
        <v>0</v>
      </c>
      <c r="G103" s="55" t="n">
        <f aca="false">MIN($F$5,E103+F103)</f>
        <v>0</v>
      </c>
      <c r="H103" s="55" t="n">
        <f aca="false">MAX(0,MIN(E103+F103-G103,$D103))</f>
        <v>0</v>
      </c>
      <c r="I103" s="55" t="n">
        <f aca="false">G103+H103</f>
        <v>0</v>
      </c>
      <c r="J103" s="55" t="n">
        <f aca="false">ROUND(MAX(0,J102+K102-N102),2)</f>
        <v>0</v>
      </c>
      <c r="K103" s="55" t="n">
        <f aca="false">ROUND(J103*$E$6/12,2)</f>
        <v>0</v>
      </c>
      <c r="L103" s="55" t="n">
        <f aca="false">MIN($F$6,J103+K103)</f>
        <v>0</v>
      </c>
      <c r="M103" s="55" t="n">
        <f aca="false">MAX(0,MIN(J103+K103-L103,$D103-(H103)))</f>
        <v>0</v>
      </c>
      <c r="N103" s="55" t="n">
        <f aca="false">L103+M103</f>
        <v>0</v>
      </c>
      <c r="O103" s="55" t="n">
        <f aca="false">ROUND(MAX(0,O102+P102-S102),2)</f>
        <v>0</v>
      </c>
      <c r="P103" s="55" t="n">
        <f aca="false">ROUND(O103*$E$7/12,2)</f>
        <v>0</v>
      </c>
      <c r="Q103" s="55" t="n">
        <f aca="false">MIN($F$7,O103+P103)</f>
        <v>0</v>
      </c>
      <c r="R103" s="55" t="n">
        <f aca="false">MAX(0,MIN(O103+P103-Q103,$D103-(H103+M103)))</f>
        <v>0</v>
      </c>
      <c r="S103" s="55" t="n">
        <f aca="false">Q103+R103</f>
        <v>0</v>
      </c>
      <c r="T103" s="55" t="n">
        <f aca="false">ROUND(MAX(0,T102+U102-X102),2)</f>
        <v>0</v>
      </c>
      <c r="U103" s="55" t="n">
        <f aca="false">ROUND(T103*$E$8/12,2)</f>
        <v>0</v>
      </c>
      <c r="V103" s="55" t="n">
        <f aca="false">MIN($F$8,T103+U103)</f>
        <v>0</v>
      </c>
      <c r="W103" s="55" t="n">
        <f aca="false">MAX(0,MIN(T103+U103-V103,$D103-(H103+M103+R103)))</f>
        <v>0</v>
      </c>
      <c r="X103" s="55" t="n">
        <f aca="false">V103+W103</f>
        <v>0</v>
      </c>
      <c r="Y103" s="55" t="n">
        <f aca="false">ROUND(MAX(0,Y102+Z102-AC102),2)</f>
        <v>0</v>
      </c>
      <c r="Z103" s="55" t="n">
        <f aca="false">ROUND(Y103*$E$9/12,2)</f>
        <v>0</v>
      </c>
      <c r="AA103" s="55" t="n">
        <f aca="false">MIN($F$9,Y103+Z103)</f>
        <v>0</v>
      </c>
      <c r="AB103" s="55" t="n">
        <f aca="false">MAX(0,MIN(Y103+Z103-AA103,$D103-(H103+M103+R103+W103)))</f>
        <v>0</v>
      </c>
      <c r="AC103" s="55" t="n">
        <f aca="false">AA103+AB103</f>
        <v>0</v>
      </c>
      <c r="AD103" s="55" t="n">
        <f aca="false">ROUND(MAX(0,AD102+AE102-AH102),2)</f>
        <v>0</v>
      </c>
      <c r="AE103" s="55" t="n">
        <f aca="false">ROUND(AD103*$E$10/12,2)</f>
        <v>0</v>
      </c>
      <c r="AF103" s="55" t="n">
        <f aca="false">MIN($F$10,AD103+AE103)</f>
        <v>0</v>
      </c>
      <c r="AG103" s="55" t="n">
        <f aca="false">MAX(0,MIN(AD103+AE103-AF103,$D103-(H103+M103+R103+W103+AB103)))</f>
        <v>0</v>
      </c>
      <c r="AH103" s="55" t="n">
        <f aca="false">AF103+AG103</f>
        <v>0</v>
      </c>
      <c r="AI103" s="55" t="n">
        <f aca="false">ROUND(MAX(0,AI102+AJ102-AM102),2)</f>
        <v>0</v>
      </c>
      <c r="AJ103" s="55" t="n">
        <f aca="false">ROUND(AI103*$E$11/12,2)</f>
        <v>0</v>
      </c>
      <c r="AK103" s="55" t="n">
        <f aca="false">MIN($F$11,AI103+AJ103)</f>
        <v>0</v>
      </c>
      <c r="AL103" s="55" t="n">
        <f aca="false">MAX(0,MIN(AI103+AJ103-AK103,$D103-(H103+M103+R103+W103+AB103+AG103)))</f>
        <v>0</v>
      </c>
      <c r="AM103" s="55" t="n">
        <f aca="false">AK103+AL103</f>
        <v>0</v>
      </c>
      <c r="AN103" s="55" t="n">
        <f aca="false">ROUND(MAX(0,AN102+AO102-AR102),2)</f>
        <v>0</v>
      </c>
      <c r="AO103" s="55" t="n">
        <f aca="false">ROUND(AN103*$E$12/12,2)</f>
        <v>0</v>
      </c>
      <c r="AP103" s="55" t="n">
        <f aca="false">MIN($F$12,AN103+AO103)</f>
        <v>0</v>
      </c>
      <c r="AQ103" s="55" t="n">
        <f aca="false">MAX(0,MIN(AN103+AO103-AP103,$D103-(H103+M103+R103+W103+AB103+AG103+AL103)))</f>
        <v>0</v>
      </c>
      <c r="AR103" s="55" t="n">
        <f aca="false">AP103+AQ103</f>
        <v>0</v>
      </c>
      <c r="AS103" s="55" t="n">
        <f aca="false">ROUND(MAX(0,AS102+AT102-AW102),2)</f>
        <v>0</v>
      </c>
      <c r="AT103" s="55" t="n">
        <f aca="false">ROUND(AS103*$E$13/12,2)</f>
        <v>0</v>
      </c>
      <c r="AU103" s="55" t="n">
        <f aca="false">MIN($F$13,AS103+AT103)</f>
        <v>0</v>
      </c>
      <c r="AV103" s="55" t="n">
        <f aca="false">MAX(0,MIN(AS103+AT103-AU103,$D103-(H103+M103+R103+W103+AB103+AG103+AL103+AQ103)))</f>
        <v>0</v>
      </c>
      <c r="AW103" s="55" t="n">
        <f aca="false">AU103+AV103</f>
        <v>0</v>
      </c>
      <c r="AX103" s="55" t="n">
        <f aca="false">ROUND(MAX(0,AX102+AY102-BB102),2)</f>
        <v>0</v>
      </c>
      <c r="AY103" s="55" t="n">
        <f aca="false">ROUND(AX103*$E$14/12,2)</f>
        <v>0</v>
      </c>
      <c r="AZ103" s="55" t="n">
        <f aca="false">MIN($F$14,AX103+AY103)</f>
        <v>0</v>
      </c>
      <c r="BA103" s="55" t="n">
        <f aca="false">MAX(0,MIN(AX103+AY103-AZ103,$D103-(H103+M103+R103+W103+AB103+AG103+AL103+AQ103+AV103)))</f>
        <v>0</v>
      </c>
      <c r="BB103" s="55" t="n">
        <f aca="false">AZ103+BA103</f>
        <v>0</v>
      </c>
      <c r="BC103" s="55" t="n">
        <f aca="false">I103+N103+S103+X103+AC103+AH103+AM103+AR103+AW103+BB103</f>
        <v>0</v>
      </c>
      <c r="BD103" s="55" t="n">
        <f aca="false">ROUND((E103+F103-I103)+(J103+K103-N103)+(O103+P103-S103)+(T103+U103-X103)+(Y103+Z103-AC103)+(AD103+AE103-AH103)+(AI103+AJ103-AM103)+(AN103+AO103-AR103)+(AS103+AT103-AW103)+(AX103+AY103-BB103),2)</f>
        <v>0</v>
      </c>
      <c r="BE103" s="25" t="str">
        <f aca="false">IF(H103&gt;0.005,$C$5,IF(M103&gt;0.005,$C$6,IF(R103&gt;0.005,$C$7,IF(W103&gt;0.005,$C$8,IF(AB103&gt;0.005,$C$9,IF(AG103&gt;0.005,$C$10,IF(AL103&gt;0.005,$C$11,IF(AQ103&gt;0.005,$C$12,IF(AV103&gt;0.005,$C$13,IF(BA103&gt;0.005,$C$14,""))))))))))</f>
        <v/>
      </c>
    </row>
    <row r="104" customFormat="false" ht="15" hidden="false" customHeight="false" outlineLevel="0" collapsed="false">
      <c r="A104" s="24" t="n">
        <v>81</v>
      </c>
      <c r="B104" s="54" t="n">
        <f aca="false">EDATE($C$17,A104-1)</f>
        <v>48761</v>
      </c>
      <c r="C104" s="55" t="n">
        <f aca="false">G104+L104+Q104+V104+AA104+AF104+AK104+AP104+AU104+AZ104</f>
        <v>0</v>
      </c>
      <c r="D104" s="55" t="n">
        <f aca="false">MAX(0,$C$16-C104)</f>
        <v>5822</v>
      </c>
      <c r="E104" s="55" t="n">
        <f aca="false">ROUND(MAX(0,E103+F103-I103),2)</f>
        <v>0</v>
      </c>
      <c r="F104" s="55" t="n">
        <f aca="false">ROUND(E104*$E$5/12,2)</f>
        <v>0</v>
      </c>
      <c r="G104" s="55" t="n">
        <f aca="false">MIN($F$5,E104+F104)</f>
        <v>0</v>
      </c>
      <c r="H104" s="55" t="n">
        <f aca="false">MAX(0,MIN(E104+F104-G104,$D104))</f>
        <v>0</v>
      </c>
      <c r="I104" s="55" t="n">
        <f aca="false">G104+H104</f>
        <v>0</v>
      </c>
      <c r="J104" s="55" t="n">
        <f aca="false">ROUND(MAX(0,J103+K103-N103),2)</f>
        <v>0</v>
      </c>
      <c r="K104" s="55" t="n">
        <f aca="false">ROUND(J104*$E$6/12,2)</f>
        <v>0</v>
      </c>
      <c r="L104" s="55" t="n">
        <f aca="false">MIN($F$6,J104+K104)</f>
        <v>0</v>
      </c>
      <c r="M104" s="55" t="n">
        <f aca="false">MAX(0,MIN(J104+K104-L104,$D104-(H104)))</f>
        <v>0</v>
      </c>
      <c r="N104" s="55" t="n">
        <f aca="false">L104+M104</f>
        <v>0</v>
      </c>
      <c r="O104" s="55" t="n">
        <f aca="false">ROUND(MAX(0,O103+P103-S103),2)</f>
        <v>0</v>
      </c>
      <c r="P104" s="55" t="n">
        <f aca="false">ROUND(O104*$E$7/12,2)</f>
        <v>0</v>
      </c>
      <c r="Q104" s="55" t="n">
        <f aca="false">MIN($F$7,O104+P104)</f>
        <v>0</v>
      </c>
      <c r="R104" s="55" t="n">
        <f aca="false">MAX(0,MIN(O104+P104-Q104,$D104-(H104+M104)))</f>
        <v>0</v>
      </c>
      <c r="S104" s="55" t="n">
        <f aca="false">Q104+R104</f>
        <v>0</v>
      </c>
      <c r="T104" s="55" t="n">
        <f aca="false">ROUND(MAX(0,T103+U103-X103),2)</f>
        <v>0</v>
      </c>
      <c r="U104" s="55" t="n">
        <f aca="false">ROUND(T104*$E$8/12,2)</f>
        <v>0</v>
      </c>
      <c r="V104" s="55" t="n">
        <f aca="false">MIN($F$8,T104+U104)</f>
        <v>0</v>
      </c>
      <c r="W104" s="55" t="n">
        <f aca="false">MAX(0,MIN(T104+U104-V104,$D104-(H104+M104+R104)))</f>
        <v>0</v>
      </c>
      <c r="X104" s="55" t="n">
        <f aca="false">V104+W104</f>
        <v>0</v>
      </c>
      <c r="Y104" s="55" t="n">
        <f aca="false">ROUND(MAX(0,Y103+Z103-AC103),2)</f>
        <v>0</v>
      </c>
      <c r="Z104" s="55" t="n">
        <f aca="false">ROUND(Y104*$E$9/12,2)</f>
        <v>0</v>
      </c>
      <c r="AA104" s="55" t="n">
        <f aca="false">MIN($F$9,Y104+Z104)</f>
        <v>0</v>
      </c>
      <c r="AB104" s="55" t="n">
        <f aca="false">MAX(0,MIN(Y104+Z104-AA104,$D104-(H104+M104+R104+W104)))</f>
        <v>0</v>
      </c>
      <c r="AC104" s="55" t="n">
        <f aca="false">AA104+AB104</f>
        <v>0</v>
      </c>
      <c r="AD104" s="55" t="n">
        <f aca="false">ROUND(MAX(0,AD103+AE103-AH103),2)</f>
        <v>0</v>
      </c>
      <c r="AE104" s="55" t="n">
        <f aca="false">ROUND(AD104*$E$10/12,2)</f>
        <v>0</v>
      </c>
      <c r="AF104" s="55" t="n">
        <f aca="false">MIN($F$10,AD104+AE104)</f>
        <v>0</v>
      </c>
      <c r="AG104" s="55" t="n">
        <f aca="false">MAX(0,MIN(AD104+AE104-AF104,$D104-(H104+M104+R104+W104+AB104)))</f>
        <v>0</v>
      </c>
      <c r="AH104" s="55" t="n">
        <f aca="false">AF104+AG104</f>
        <v>0</v>
      </c>
      <c r="AI104" s="55" t="n">
        <f aca="false">ROUND(MAX(0,AI103+AJ103-AM103),2)</f>
        <v>0</v>
      </c>
      <c r="AJ104" s="55" t="n">
        <f aca="false">ROUND(AI104*$E$11/12,2)</f>
        <v>0</v>
      </c>
      <c r="AK104" s="55" t="n">
        <f aca="false">MIN($F$11,AI104+AJ104)</f>
        <v>0</v>
      </c>
      <c r="AL104" s="55" t="n">
        <f aca="false">MAX(0,MIN(AI104+AJ104-AK104,$D104-(H104+M104+R104+W104+AB104+AG104)))</f>
        <v>0</v>
      </c>
      <c r="AM104" s="55" t="n">
        <f aca="false">AK104+AL104</f>
        <v>0</v>
      </c>
      <c r="AN104" s="55" t="n">
        <f aca="false">ROUND(MAX(0,AN103+AO103-AR103),2)</f>
        <v>0</v>
      </c>
      <c r="AO104" s="55" t="n">
        <f aca="false">ROUND(AN104*$E$12/12,2)</f>
        <v>0</v>
      </c>
      <c r="AP104" s="55" t="n">
        <f aca="false">MIN($F$12,AN104+AO104)</f>
        <v>0</v>
      </c>
      <c r="AQ104" s="55" t="n">
        <f aca="false">MAX(0,MIN(AN104+AO104-AP104,$D104-(H104+M104+R104+W104+AB104+AG104+AL104)))</f>
        <v>0</v>
      </c>
      <c r="AR104" s="55" t="n">
        <f aca="false">AP104+AQ104</f>
        <v>0</v>
      </c>
      <c r="AS104" s="55" t="n">
        <f aca="false">ROUND(MAX(0,AS103+AT103-AW103),2)</f>
        <v>0</v>
      </c>
      <c r="AT104" s="55" t="n">
        <f aca="false">ROUND(AS104*$E$13/12,2)</f>
        <v>0</v>
      </c>
      <c r="AU104" s="55" t="n">
        <f aca="false">MIN($F$13,AS104+AT104)</f>
        <v>0</v>
      </c>
      <c r="AV104" s="55" t="n">
        <f aca="false">MAX(0,MIN(AS104+AT104-AU104,$D104-(H104+M104+R104+W104+AB104+AG104+AL104+AQ104)))</f>
        <v>0</v>
      </c>
      <c r="AW104" s="55" t="n">
        <f aca="false">AU104+AV104</f>
        <v>0</v>
      </c>
      <c r="AX104" s="55" t="n">
        <f aca="false">ROUND(MAX(0,AX103+AY103-BB103),2)</f>
        <v>0</v>
      </c>
      <c r="AY104" s="55" t="n">
        <f aca="false">ROUND(AX104*$E$14/12,2)</f>
        <v>0</v>
      </c>
      <c r="AZ104" s="55" t="n">
        <f aca="false">MIN($F$14,AX104+AY104)</f>
        <v>0</v>
      </c>
      <c r="BA104" s="55" t="n">
        <f aca="false">MAX(0,MIN(AX104+AY104-AZ104,$D104-(H104+M104+R104+W104+AB104+AG104+AL104+AQ104+AV104)))</f>
        <v>0</v>
      </c>
      <c r="BB104" s="55" t="n">
        <f aca="false">AZ104+BA104</f>
        <v>0</v>
      </c>
      <c r="BC104" s="55" t="n">
        <f aca="false">I104+N104+S104+X104+AC104+AH104+AM104+AR104+AW104+BB104</f>
        <v>0</v>
      </c>
      <c r="BD104" s="55" t="n">
        <f aca="false">ROUND((E104+F104-I104)+(J104+K104-N104)+(O104+P104-S104)+(T104+U104-X104)+(Y104+Z104-AC104)+(AD104+AE104-AH104)+(AI104+AJ104-AM104)+(AN104+AO104-AR104)+(AS104+AT104-AW104)+(AX104+AY104-BB104),2)</f>
        <v>0</v>
      </c>
      <c r="BE104" s="25" t="str">
        <f aca="false">IF(H104&gt;0.005,$C$5,IF(M104&gt;0.005,$C$6,IF(R104&gt;0.005,$C$7,IF(W104&gt;0.005,$C$8,IF(AB104&gt;0.005,$C$9,IF(AG104&gt;0.005,$C$10,IF(AL104&gt;0.005,$C$11,IF(AQ104&gt;0.005,$C$12,IF(AV104&gt;0.005,$C$13,IF(BA104&gt;0.005,$C$14,""))))))))))</f>
        <v/>
      </c>
    </row>
    <row r="105" customFormat="false" ht="15" hidden="false" customHeight="false" outlineLevel="0" collapsed="false">
      <c r="A105" s="24" t="n">
        <v>82</v>
      </c>
      <c r="B105" s="54" t="n">
        <f aca="false">EDATE($C$17,A105-1)</f>
        <v>48792</v>
      </c>
      <c r="C105" s="55" t="n">
        <f aca="false">G105+L105+Q105+V105+AA105+AF105+AK105+AP105+AU105+AZ105</f>
        <v>0</v>
      </c>
      <c r="D105" s="55" t="n">
        <f aca="false">MAX(0,$C$16-C105)</f>
        <v>5822</v>
      </c>
      <c r="E105" s="55" t="n">
        <f aca="false">ROUND(MAX(0,E104+F104-I104),2)</f>
        <v>0</v>
      </c>
      <c r="F105" s="55" t="n">
        <f aca="false">ROUND(E105*$E$5/12,2)</f>
        <v>0</v>
      </c>
      <c r="G105" s="55" t="n">
        <f aca="false">MIN($F$5,E105+F105)</f>
        <v>0</v>
      </c>
      <c r="H105" s="55" t="n">
        <f aca="false">MAX(0,MIN(E105+F105-G105,$D105))</f>
        <v>0</v>
      </c>
      <c r="I105" s="55" t="n">
        <f aca="false">G105+H105</f>
        <v>0</v>
      </c>
      <c r="J105" s="55" t="n">
        <f aca="false">ROUND(MAX(0,J104+K104-N104),2)</f>
        <v>0</v>
      </c>
      <c r="K105" s="55" t="n">
        <f aca="false">ROUND(J105*$E$6/12,2)</f>
        <v>0</v>
      </c>
      <c r="L105" s="55" t="n">
        <f aca="false">MIN($F$6,J105+K105)</f>
        <v>0</v>
      </c>
      <c r="M105" s="55" t="n">
        <f aca="false">MAX(0,MIN(J105+K105-L105,$D105-(H105)))</f>
        <v>0</v>
      </c>
      <c r="N105" s="55" t="n">
        <f aca="false">L105+M105</f>
        <v>0</v>
      </c>
      <c r="O105" s="55" t="n">
        <f aca="false">ROUND(MAX(0,O104+P104-S104),2)</f>
        <v>0</v>
      </c>
      <c r="P105" s="55" t="n">
        <f aca="false">ROUND(O105*$E$7/12,2)</f>
        <v>0</v>
      </c>
      <c r="Q105" s="55" t="n">
        <f aca="false">MIN($F$7,O105+P105)</f>
        <v>0</v>
      </c>
      <c r="R105" s="55" t="n">
        <f aca="false">MAX(0,MIN(O105+P105-Q105,$D105-(H105+M105)))</f>
        <v>0</v>
      </c>
      <c r="S105" s="55" t="n">
        <f aca="false">Q105+R105</f>
        <v>0</v>
      </c>
      <c r="T105" s="55" t="n">
        <f aca="false">ROUND(MAX(0,T104+U104-X104),2)</f>
        <v>0</v>
      </c>
      <c r="U105" s="55" t="n">
        <f aca="false">ROUND(T105*$E$8/12,2)</f>
        <v>0</v>
      </c>
      <c r="V105" s="55" t="n">
        <f aca="false">MIN($F$8,T105+U105)</f>
        <v>0</v>
      </c>
      <c r="W105" s="55" t="n">
        <f aca="false">MAX(0,MIN(T105+U105-V105,$D105-(H105+M105+R105)))</f>
        <v>0</v>
      </c>
      <c r="X105" s="55" t="n">
        <f aca="false">V105+W105</f>
        <v>0</v>
      </c>
      <c r="Y105" s="55" t="n">
        <f aca="false">ROUND(MAX(0,Y104+Z104-AC104),2)</f>
        <v>0</v>
      </c>
      <c r="Z105" s="55" t="n">
        <f aca="false">ROUND(Y105*$E$9/12,2)</f>
        <v>0</v>
      </c>
      <c r="AA105" s="55" t="n">
        <f aca="false">MIN($F$9,Y105+Z105)</f>
        <v>0</v>
      </c>
      <c r="AB105" s="55" t="n">
        <f aca="false">MAX(0,MIN(Y105+Z105-AA105,$D105-(H105+M105+R105+W105)))</f>
        <v>0</v>
      </c>
      <c r="AC105" s="55" t="n">
        <f aca="false">AA105+AB105</f>
        <v>0</v>
      </c>
      <c r="AD105" s="55" t="n">
        <f aca="false">ROUND(MAX(0,AD104+AE104-AH104),2)</f>
        <v>0</v>
      </c>
      <c r="AE105" s="55" t="n">
        <f aca="false">ROUND(AD105*$E$10/12,2)</f>
        <v>0</v>
      </c>
      <c r="AF105" s="55" t="n">
        <f aca="false">MIN($F$10,AD105+AE105)</f>
        <v>0</v>
      </c>
      <c r="AG105" s="55" t="n">
        <f aca="false">MAX(0,MIN(AD105+AE105-AF105,$D105-(H105+M105+R105+W105+AB105)))</f>
        <v>0</v>
      </c>
      <c r="AH105" s="55" t="n">
        <f aca="false">AF105+AG105</f>
        <v>0</v>
      </c>
      <c r="AI105" s="55" t="n">
        <f aca="false">ROUND(MAX(0,AI104+AJ104-AM104),2)</f>
        <v>0</v>
      </c>
      <c r="AJ105" s="55" t="n">
        <f aca="false">ROUND(AI105*$E$11/12,2)</f>
        <v>0</v>
      </c>
      <c r="AK105" s="55" t="n">
        <f aca="false">MIN($F$11,AI105+AJ105)</f>
        <v>0</v>
      </c>
      <c r="AL105" s="55" t="n">
        <f aca="false">MAX(0,MIN(AI105+AJ105-AK105,$D105-(H105+M105+R105+W105+AB105+AG105)))</f>
        <v>0</v>
      </c>
      <c r="AM105" s="55" t="n">
        <f aca="false">AK105+AL105</f>
        <v>0</v>
      </c>
      <c r="AN105" s="55" t="n">
        <f aca="false">ROUND(MAX(0,AN104+AO104-AR104),2)</f>
        <v>0</v>
      </c>
      <c r="AO105" s="55" t="n">
        <f aca="false">ROUND(AN105*$E$12/12,2)</f>
        <v>0</v>
      </c>
      <c r="AP105" s="55" t="n">
        <f aca="false">MIN($F$12,AN105+AO105)</f>
        <v>0</v>
      </c>
      <c r="AQ105" s="55" t="n">
        <f aca="false">MAX(0,MIN(AN105+AO105-AP105,$D105-(H105+M105+R105+W105+AB105+AG105+AL105)))</f>
        <v>0</v>
      </c>
      <c r="AR105" s="55" t="n">
        <f aca="false">AP105+AQ105</f>
        <v>0</v>
      </c>
      <c r="AS105" s="55" t="n">
        <f aca="false">ROUND(MAX(0,AS104+AT104-AW104),2)</f>
        <v>0</v>
      </c>
      <c r="AT105" s="55" t="n">
        <f aca="false">ROUND(AS105*$E$13/12,2)</f>
        <v>0</v>
      </c>
      <c r="AU105" s="55" t="n">
        <f aca="false">MIN($F$13,AS105+AT105)</f>
        <v>0</v>
      </c>
      <c r="AV105" s="55" t="n">
        <f aca="false">MAX(0,MIN(AS105+AT105-AU105,$D105-(H105+M105+R105+W105+AB105+AG105+AL105+AQ105)))</f>
        <v>0</v>
      </c>
      <c r="AW105" s="55" t="n">
        <f aca="false">AU105+AV105</f>
        <v>0</v>
      </c>
      <c r="AX105" s="55" t="n">
        <f aca="false">ROUND(MAX(0,AX104+AY104-BB104),2)</f>
        <v>0</v>
      </c>
      <c r="AY105" s="55" t="n">
        <f aca="false">ROUND(AX105*$E$14/12,2)</f>
        <v>0</v>
      </c>
      <c r="AZ105" s="55" t="n">
        <f aca="false">MIN($F$14,AX105+AY105)</f>
        <v>0</v>
      </c>
      <c r="BA105" s="55" t="n">
        <f aca="false">MAX(0,MIN(AX105+AY105-AZ105,$D105-(H105+M105+R105+W105+AB105+AG105+AL105+AQ105+AV105)))</f>
        <v>0</v>
      </c>
      <c r="BB105" s="55" t="n">
        <f aca="false">AZ105+BA105</f>
        <v>0</v>
      </c>
      <c r="BC105" s="55" t="n">
        <f aca="false">I105+N105+S105+X105+AC105+AH105+AM105+AR105+AW105+BB105</f>
        <v>0</v>
      </c>
      <c r="BD105" s="55" t="n">
        <f aca="false">ROUND((E105+F105-I105)+(J105+K105-N105)+(O105+P105-S105)+(T105+U105-X105)+(Y105+Z105-AC105)+(AD105+AE105-AH105)+(AI105+AJ105-AM105)+(AN105+AO105-AR105)+(AS105+AT105-AW105)+(AX105+AY105-BB105),2)</f>
        <v>0</v>
      </c>
      <c r="BE105" s="25" t="str">
        <f aca="false">IF(H105&gt;0.005,$C$5,IF(M105&gt;0.005,$C$6,IF(R105&gt;0.005,$C$7,IF(W105&gt;0.005,$C$8,IF(AB105&gt;0.005,$C$9,IF(AG105&gt;0.005,$C$10,IF(AL105&gt;0.005,$C$11,IF(AQ105&gt;0.005,$C$12,IF(AV105&gt;0.005,$C$13,IF(BA105&gt;0.005,$C$14,""))))))))))</f>
        <v/>
      </c>
    </row>
    <row r="106" customFormat="false" ht="15" hidden="false" customHeight="false" outlineLevel="0" collapsed="false">
      <c r="A106" s="24" t="n">
        <v>83</v>
      </c>
      <c r="B106" s="54" t="n">
        <f aca="false">EDATE($C$17,A106-1)</f>
        <v>48823</v>
      </c>
      <c r="C106" s="55" t="n">
        <f aca="false">G106+L106+Q106+V106+AA106+AF106+AK106+AP106+AU106+AZ106</f>
        <v>0</v>
      </c>
      <c r="D106" s="55" t="n">
        <f aca="false">MAX(0,$C$16-C106)</f>
        <v>5822</v>
      </c>
      <c r="E106" s="55" t="n">
        <f aca="false">ROUND(MAX(0,E105+F105-I105),2)</f>
        <v>0</v>
      </c>
      <c r="F106" s="55" t="n">
        <f aca="false">ROUND(E106*$E$5/12,2)</f>
        <v>0</v>
      </c>
      <c r="G106" s="55" t="n">
        <f aca="false">MIN($F$5,E106+F106)</f>
        <v>0</v>
      </c>
      <c r="H106" s="55" t="n">
        <f aca="false">MAX(0,MIN(E106+F106-G106,$D106))</f>
        <v>0</v>
      </c>
      <c r="I106" s="55" t="n">
        <f aca="false">G106+H106</f>
        <v>0</v>
      </c>
      <c r="J106" s="55" t="n">
        <f aca="false">ROUND(MAX(0,J105+K105-N105),2)</f>
        <v>0</v>
      </c>
      <c r="K106" s="55" t="n">
        <f aca="false">ROUND(J106*$E$6/12,2)</f>
        <v>0</v>
      </c>
      <c r="L106" s="55" t="n">
        <f aca="false">MIN($F$6,J106+K106)</f>
        <v>0</v>
      </c>
      <c r="M106" s="55" t="n">
        <f aca="false">MAX(0,MIN(J106+K106-L106,$D106-(H106)))</f>
        <v>0</v>
      </c>
      <c r="N106" s="55" t="n">
        <f aca="false">L106+M106</f>
        <v>0</v>
      </c>
      <c r="O106" s="55" t="n">
        <f aca="false">ROUND(MAX(0,O105+P105-S105),2)</f>
        <v>0</v>
      </c>
      <c r="P106" s="55" t="n">
        <f aca="false">ROUND(O106*$E$7/12,2)</f>
        <v>0</v>
      </c>
      <c r="Q106" s="55" t="n">
        <f aca="false">MIN($F$7,O106+P106)</f>
        <v>0</v>
      </c>
      <c r="R106" s="55" t="n">
        <f aca="false">MAX(0,MIN(O106+P106-Q106,$D106-(H106+M106)))</f>
        <v>0</v>
      </c>
      <c r="S106" s="55" t="n">
        <f aca="false">Q106+R106</f>
        <v>0</v>
      </c>
      <c r="T106" s="55" t="n">
        <f aca="false">ROUND(MAX(0,T105+U105-X105),2)</f>
        <v>0</v>
      </c>
      <c r="U106" s="55" t="n">
        <f aca="false">ROUND(T106*$E$8/12,2)</f>
        <v>0</v>
      </c>
      <c r="V106" s="55" t="n">
        <f aca="false">MIN($F$8,T106+U106)</f>
        <v>0</v>
      </c>
      <c r="W106" s="55" t="n">
        <f aca="false">MAX(0,MIN(T106+U106-V106,$D106-(H106+M106+R106)))</f>
        <v>0</v>
      </c>
      <c r="X106" s="55" t="n">
        <f aca="false">V106+W106</f>
        <v>0</v>
      </c>
      <c r="Y106" s="55" t="n">
        <f aca="false">ROUND(MAX(0,Y105+Z105-AC105),2)</f>
        <v>0</v>
      </c>
      <c r="Z106" s="55" t="n">
        <f aca="false">ROUND(Y106*$E$9/12,2)</f>
        <v>0</v>
      </c>
      <c r="AA106" s="55" t="n">
        <f aca="false">MIN($F$9,Y106+Z106)</f>
        <v>0</v>
      </c>
      <c r="AB106" s="55" t="n">
        <f aca="false">MAX(0,MIN(Y106+Z106-AA106,$D106-(H106+M106+R106+W106)))</f>
        <v>0</v>
      </c>
      <c r="AC106" s="55" t="n">
        <f aca="false">AA106+AB106</f>
        <v>0</v>
      </c>
      <c r="AD106" s="55" t="n">
        <f aca="false">ROUND(MAX(0,AD105+AE105-AH105),2)</f>
        <v>0</v>
      </c>
      <c r="AE106" s="55" t="n">
        <f aca="false">ROUND(AD106*$E$10/12,2)</f>
        <v>0</v>
      </c>
      <c r="AF106" s="55" t="n">
        <f aca="false">MIN($F$10,AD106+AE106)</f>
        <v>0</v>
      </c>
      <c r="AG106" s="55" t="n">
        <f aca="false">MAX(0,MIN(AD106+AE106-AF106,$D106-(H106+M106+R106+W106+AB106)))</f>
        <v>0</v>
      </c>
      <c r="AH106" s="55" t="n">
        <f aca="false">AF106+AG106</f>
        <v>0</v>
      </c>
      <c r="AI106" s="55" t="n">
        <f aca="false">ROUND(MAX(0,AI105+AJ105-AM105),2)</f>
        <v>0</v>
      </c>
      <c r="AJ106" s="55" t="n">
        <f aca="false">ROUND(AI106*$E$11/12,2)</f>
        <v>0</v>
      </c>
      <c r="AK106" s="55" t="n">
        <f aca="false">MIN($F$11,AI106+AJ106)</f>
        <v>0</v>
      </c>
      <c r="AL106" s="55" t="n">
        <f aca="false">MAX(0,MIN(AI106+AJ106-AK106,$D106-(H106+M106+R106+W106+AB106+AG106)))</f>
        <v>0</v>
      </c>
      <c r="AM106" s="55" t="n">
        <f aca="false">AK106+AL106</f>
        <v>0</v>
      </c>
      <c r="AN106" s="55" t="n">
        <f aca="false">ROUND(MAX(0,AN105+AO105-AR105),2)</f>
        <v>0</v>
      </c>
      <c r="AO106" s="55" t="n">
        <f aca="false">ROUND(AN106*$E$12/12,2)</f>
        <v>0</v>
      </c>
      <c r="AP106" s="55" t="n">
        <f aca="false">MIN($F$12,AN106+AO106)</f>
        <v>0</v>
      </c>
      <c r="AQ106" s="55" t="n">
        <f aca="false">MAX(0,MIN(AN106+AO106-AP106,$D106-(H106+M106+R106+W106+AB106+AG106+AL106)))</f>
        <v>0</v>
      </c>
      <c r="AR106" s="55" t="n">
        <f aca="false">AP106+AQ106</f>
        <v>0</v>
      </c>
      <c r="AS106" s="55" t="n">
        <f aca="false">ROUND(MAX(0,AS105+AT105-AW105),2)</f>
        <v>0</v>
      </c>
      <c r="AT106" s="55" t="n">
        <f aca="false">ROUND(AS106*$E$13/12,2)</f>
        <v>0</v>
      </c>
      <c r="AU106" s="55" t="n">
        <f aca="false">MIN($F$13,AS106+AT106)</f>
        <v>0</v>
      </c>
      <c r="AV106" s="55" t="n">
        <f aca="false">MAX(0,MIN(AS106+AT106-AU106,$D106-(H106+M106+R106+W106+AB106+AG106+AL106+AQ106)))</f>
        <v>0</v>
      </c>
      <c r="AW106" s="55" t="n">
        <f aca="false">AU106+AV106</f>
        <v>0</v>
      </c>
      <c r="AX106" s="55" t="n">
        <f aca="false">ROUND(MAX(0,AX105+AY105-BB105),2)</f>
        <v>0</v>
      </c>
      <c r="AY106" s="55" t="n">
        <f aca="false">ROUND(AX106*$E$14/12,2)</f>
        <v>0</v>
      </c>
      <c r="AZ106" s="55" t="n">
        <f aca="false">MIN($F$14,AX106+AY106)</f>
        <v>0</v>
      </c>
      <c r="BA106" s="55" t="n">
        <f aca="false">MAX(0,MIN(AX106+AY106-AZ106,$D106-(H106+M106+R106+W106+AB106+AG106+AL106+AQ106+AV106)))</f>
        <v>0</v>
      </c>
      <c r="BB106" s="55" t="n">
        <f aca="false">AZ106+BA106</f>
        <v>0</v>
      </c>
      <c r="BC106" s="55" t="n">
        <f aca="false">I106+N106+S106+X106+AC106+AH106+AM106+AR106+AW106+BB106</f>
        <v>0</v>
      </c>
      <c r="BD106" s="55" t="n">
        <f aca="false">ROUND((E106+F106-I106)+(J106+K106-N106)+(O106+P106-S106)+(T106+U106-X106)+(Y106+Z106-AC106)+(AD106+AE106-AH106)+(AI106+AJ106-AM106)+(AN106+AO106-AR106)+(AS106+AT106-AW106)+(AX106+AY106-BB106),2)</f>
        <v>0</v>
      </c>
      <c r="BE106" s="25" t="str">
        <f aca="false">IF(H106&gt;0.005,$C$5,IF(M106&gt;0.005,$C$6,IF(R106&gt;0.005,$C$7,IF(W106&gt;0.005,$C$8,IF(AB106&gt;0.005,$C$9,IF(AG106&gt;0.005,$C$10,IF(AL106&gt;0.005,$C$11,IF(AQ106&gt;0.005,$C$12,IF(AV106&gt;0.005,$C$13,IF(BA106&gt;0.005,$C$14,""))))))))))</f>
        <v/>
      </c>
    </row>
    <row r="107" customFormat="false" ht="15" hidden="false" customHeight="false" outlineLevel="0" collapsed="false">
      <c r="A107" s="24" t="n">
        <v>84</v>
      </c>
      <c r="B107" s="54" t="n">
        <f aca="false">EDATE($C$17,A107-1)</f>
        <v>48853</v>
      </c>
      <c r="C107" s="55" t="n">
        <f aca="false">G107+L107+Q107+V107+AA107+AF107+AK107+AP107+AU107+AZ107</f>
        <v>0</v>
      </c>
      <c r="D107" s="55" t="n">
        <f aca="false">MAX(0,$C$16-C107)</f>
        <v>5822</v>
      </c>
      <c r="E107" s="55" t="n">
        <f aca="false">ROUND(MAX(0,E106+F106-I106),2)</f>
        <v>0</v>
      </c>
      <c r="F107" s="55" t="n">
        <f aca="false">ROUND(E107*$E$5/12,2)</f>
        <v>0</v>
      </c>
      <c r="G107" s="55" t="n">
        <f aca="false">MIN($F$5,E107+F107)</f>
        <v>0</v>
      </c>
      <c r="H107" s="55" t="n">
        <f aca="false">MAX(0,MIN(E107+F107-G107,$D107))</f>
        <v>0</v>
      </c>
      <c r="I107" s="55" t="n">
        <f aca="false">G107+H107</f>
        <v>0</v>
      </c>
      <c r="J107" s="55" t="n">
        <f aca="false">ROUND(MAX(0,J106+K106-N106),2)</f>
        <v>0</v>
      </c>
      <c r="K107" s="55" t="n">
        <f aca="false">ROUND(J107*$E$6/12,2)</f>
        <v>0</v>
      </c>
      <c r="L107" s="55" t="n">
        <f aca="false">MIN($F$6,J107+K107)</f>
        <v>0</v>
      </c>
      <c r="M107" s="55" t="n">
        <f aca="false">MAX(0,MIN(J107+K107-L107,$D107-(H107)))</f>
        <v>0</v>
      </c>
      <c r="N107" s="55" t="n">
        <f aca="false">L107+M107</f>
        <v>0</v>
      </c>
      <c r="O107" s="55" t="n">
        <f aca="false">ROUND(MAX(0,O106+P106-S106),2)</f>
        <v>0</v>
      </c>
      <c r="P107" s="55" t="n">
        <f aca="false">ROUND(O107*$E$7/12,2)</f>
        <v>0</v>
      </c>
      <c r="Q107" s="55" t="n">
        <f aca="false">MIN($F$7,O107+P107)</f>
        <v>0</v>
      </c>
      <c r="R107" s="55" t="n">
        <f aca="false">MAX(0,MIN(O107+P107-Q107,$D107-(H107+M107)))</f>
        <v>0</v>
      </c>
      <c r="S107" s="55" t="n">
        <f aca="false">Q107+R107</f>
        <v>0</v>
      </c>
      <c r="T107" s="55" t="n">
        <f aca="false">ROUND(MAX(0,T106+U106-X106),2)</f>
        <v>0</v>
      </c>
      <c r="U107" s="55" t="n">
        <f aca="false">ROUND(T107*$E$8/12,2)</f>
        <v>0</v>
      </c>
      <c r="V107" s="55" t="n">
        <f aca="false">MIN($F$8,T107+U107)</f>
        <v>0</v>
      </c>
      <c r="W107" s="55" t="n">
        <f aca="false">MAX(0,MIN(T107+U107-V107,$D107-(H107+M107+R107)))</f>
        <v>0</v>
      </c>
      <c r="X107" s="55" t="n">
        <f aca="false">V107+W107</f>
        <v>0</v>
      </c>
      <c r="Y107" s="55" t="n">
        <f aca="false">ROUND(MAX(0,Y106+Z106-AC106),2)</f>
        <v>0</v>
      </c>
      <c r="Z107" s="55" t="n">
        <f aca="false">ROUND(Y107*$E$9/12,2)</f>
        <v>0</v>
      </c>
      <c r="AA107" s="55" t="n">
        <f aca="false">MIN($F$9,Y107+Z107)</f>
        <v>0</v>
      </c>
      <c r="AB107" s="55" t="n">
        <f aca="false">MAX(0,MIN(Y107+Z107-AA107,$D107-(H107+M107+R107+W107)))</f>
        <v>0</v>
      </c>
      <c r="AC107" s="55" t="n">
        <f aca="false">AA107+AB107</f>
        <v>0</v>
      </c>
      <c r="AD107" s="55" t="n">
        <f aca="false">ROUND(MAX(0,AD106+AE106-AH106),2)</f>
        <v>0</v>
      </c>
      <c r="AE107" s="55" t="n">
        <f aca="false">ROUND(AD107*$E$10/12,2)</f>
        <v>0</v>
      </c>
      <c r="AF107" s="55" t="n">
        <f aca="false">MIN($F$10,AD107+AE107)</f>
        <v>0</v>
      </c>
      <c r="AG107" s="55" t="n">
        <f aca="false">MAX(0,MIN(AD107+AE107-AF107,$D107-(H107+M107+R107+W107+AB107)))</f>
        <v>0</v>
      </c>
      <c r="AH107" s="55" t="n">
        <f aca="false">AF107+AG107</f>
        <v>0</v>
      </c>
      <c r="AI107" s="55" t="n">
        <f aca="false">ROUND(MAX(0,AI106+AJ106-AM106),2)</f>
        <v>0</v>
      </c>
      <c r="AJ107" s="55" t="n">
        <f aca="false">ROUND(AI107*$E$11/12,2)</f>
        <v>0</v>
      </c>
      <c r="AK107" s="55" t="n">
        <f aca="false">MIN($F$11,AI107+AJ107)</f>
        <v>0</v>
      </c>
      <c r="AL107" s="55" t="n">
        <f aca="false">MAX(0,MIN(AI107+AJ107-AK107,$D107-(H107+M107+R107+W107+AB107+AG107)))</f>
        <v>0</v>
      </c>
      <c r="AM107" s="55" t="n">
        <f aca="false">AK107+AL107</f>
        <v>0</v>
      </c>
      <c r="AN107" s="55" t="n">
        <f aca="false">ROUND(MAX(0,AN106+AO106-AR106),2)</f>
        <v>0</v>
      </c>
      <c r="AO107" s="55" t="n">
        <f aca="false">ROUND(AN107*$E$12/12,2)</f>
        <v>0</v>
      </c>
      <c r="AP107" s="55" t="n">
        <f aca="false">MIN($F$12,AN107+AO107)</f>
        <v>0</v>
      </c>
      <c r="AQ107" s="55" t="n">
        <f aca="false">MAX(0,MIN(AN107+AO107-AP107,$D107-(H107+M107+R107+W107+AB107+AG107+AL107)))</f>
        <v>0</v>
      </c>
      <c r="AR107" s="55" t="n">
        <f aca="false">AP107+AQ107</f>
        <v>0</v>
      </c>
      <c r="AS107" s="55" t="n">
        <f aca="false">ROUND(MAX(0,AS106+AT106-AW106),2)</f>
        <v>0</v>
      </c>
      <c r="AT107" s="55" t="n">
        <f aca="false">ROUND(AS107*$E$13/12,2)</f>
        <v>0</v>
      </c>
      <c r="AU107" s="55" t="n">
        <f aca="false">MIN($F$13,AS107+AT107)</f>
        <v>0</v>
      </c>
      <c r="AV107" s="55" t="n">
        <f aca="false">MAX(0,MIN(AS107+AT107-AU107,$D107-(H107+M107+R107+W107+AB107+AG107+AL107+AQ107)))</f>
        <v>0</v>
      </c>
      <c r="AW107" s="55" t="n">
        <f aca="false">AU107+AV107</f>
        <v>0</v>
      </c>
      <c r="AX107" s="55" t="n">
        <f aca="false">ROUND(MAX(0,AX106+AY106-BB106),2)</f>
        <v>0</v>
      </c>
      <c r="AY107" s="55" t="n">
        <f aca="false">ROUND(AX107*$E$14/12,2)</f>
        <v>0</v>
      </c>
      <c r="AZ107" s="55" t="n">
        <f aca="false">MIN($F$14,AX107+AY107)</f>
        <v>0</v>
      </c>
      <c r="BA107" s="55" t="n">
        <f aca="false">MAX(0,MIN(AX107+AY107-AZ107,$D107-(H107+M107+R107+W107+AB107+AG107+AL107+AQ107+AV107)))</f>
        <v>0</v>
      </c>
      <c r="BB107" s="55" t="n">
        <f aca="false">AZ107+BA107</f>
        <v>0</v>
      </c>
      <c r="BC107" s="55" t="n">
        <f aca="false">I107+N107+S107+X107+AC107+AH107+AM107+AR107+AW107+BB107</f>
        <v>0</v>
      </c>
      <c r="BD107" s="55" t="n">
        <f aca="false">ROUND((E107+F107-I107)+(J107+K107-N107)+(O107+P107-S107)+(T107+U107-X107)+(Y107+Z107-AC107)+(AD107+AE107-AH107)+(AI107+AJ107-AM107)+(AN107+AO107-AR107)+(AS107+AT107-AW107)+(AX107+AY107-BB107),2)</f>
        <v>0</v>
      </c>
      <c r="BE107" s="25" t="str">
        <f aca="false">IF(H107&gt;0.005,$C$5,IF(M107&gt;0.005,$C$6,IF(R107&gt;0.005,$C$7,IF(W107&gt;0.005,$C$8,IF(AB107&gt;0.005,$C$9,IF(AG107&gt;0.005,$C$10,IF(AL107&gt;0.005,$C$11,IF(AQ107&gt;0.005,$C$12,IF(AV107&gt;0.005,$C$13,IF(BA107&gt;0.005,$C$14,""))))))))))</f>
        <v/>
      </c>
    </row>
    <row r="108" customFormat="false" ht="15" hidden="false" customHeight="false" outlineLevel="0" collapsed="false">
      <c r="A108" s="24" t="n">
        <v>85</v>
      </c>
      <c r="B108" s="54" t="n">
        <f aca="false">EDATE($C$17,A108-1)</f>
        <v>48884</v>
      </c>
      <c r="C108" s="55" t="n">
        <f aca="false">G108+L108+Q108+V108+AA108+AF108+AK108+AP108+AU108+AZ108</f>
        <v>0</v>
      </c>
      <c r="D108" s="55" t="n">
        <f aca="false">MAX(0,$C$16-C108)</f>
        <v>5822</v>
      </c>
      <c r="E108" s="55" t="n">
        <f aca="false">ROUND(MAX(0,E107+F107-I107),2)</f>
        <v>0</v>
      </c>
      <c r="F108" s="55" t="n">
        <f aca="false">ROUND(E108*$E$5/12,2)</f>
        <v>0</v>
      </c>
      <c r="G108" s="55" t="n">
        <f aca="false">MIN($F$5,E108+F108)</f>
        <v>0</v>
      </c>
      <c r="H108" s="55" t="n">
        <f aca="false">MAX(0,MIN(E108+F108-G108,$D108))</f>
        <v>0</v>
      </c>
      <c r="I108" s="55" t="n">
        <f aca="false">G108+H108</f>
        <v>0</v>
      </c>
      <c r="J108" s="55" t="n">
        <f aca="false">ROUND(MAX(0,J107+K107-N107),2)</f>
        <v>0</v>
      </c>
      <c r="K108" s="55" t="n">
        <f aca="false">ROUND(J108*$E$6/12,2)</f>
        <v>0</v>
      </c>
      <c r="L108" s="55" t="n">
        <f aca="false">MIN($F$6,J108+K108)</f>
        <v>0</v>
      </c>
      <c r="M108" s="55" t="n">
        <f aca="false">MAX(0,MIN(J108+K108-L108,$D108-(H108)))</f>
        <v>0</v>
      </c>
      <c r="N108" s="55" t="n">
        <f aca="false">L108+M108</f>
        <v>0</v>
      </c>
      <c r="O108" s="55" t="n">
        <f aca="false">ROUND(MAX(0,O107+P107-S107),2)</f>
        <v>0</v>
      </c>
      <c r="P108" s="55" t="n">
        <f aca="false">ROUND(O108*$E$7/12,2)</f>
        <v>0</v>
      </c>
      <c r="Q108" s="55" t="n">
        <f aca="false">MIN($F$7,O108+P108)</f>
        <v>0</v>
      </c>
      <c r="R108" s="55" t="n">
        <f aca="false">MAX(0,MIN(O108+P108-Q108,$D108-(H108+M108)))</f>
        <v>0</v>
      </c>
      <c r="S108" s="55" t="n">
        <f aca="false">Q108+R108</f>
        <v>0</v>
      </c>
      <c r="T108" s="55" t="n">
        <f aca="false">ROUND(MAX(0,T107+U107-X107),2)</f>
        <v>0</v>
      </c>
      <c r="U108" s="55" t="n">
        <f aca="false">ROUND(T108*$E$8/12,2)</f>
        <v>0</v>
      </c>
      <c r="V108" s="55" t="n">
        <f aca="false">MIN($F$8,T108+U108)</f>
        <v>0</v>
      </c>
      <c r="W108" s="55" t="n">
        <f aca="false">MAX(0,MIN(T108+U108-V108,$D108-(H108+M108+R108)))</f>
        <v>0</v>
      </c>
      <c r="X108" s="55" t="n">
        <f aca="false">V108+W108</f>
        <v>0</v>
      </c>
      <c r="Y108" s="55" t="n">
        <f aca="false">ROUND(MAX(0,Y107+Z107-AC107),2)</f>
        <v>0</v>
      </c>
      <c r="Z108" s="55" t="n">
        <f aca="false">ROUND(Y108*$E$9/12,2)</f>
        <v>0</v>
      </c>
      <c r="AA108" s="55" t="n">
        <f aca="false">MIN($F$9,Y108+Z108)</f>
        <v>0</v>
      </c>
      <c r="AB108" s="55" t="n">
        <f aca="false">MAX(0,MIN(Y108+Z108-AA108,$D108-(H108+M108+R108+W108)))</f>
        <v>0</v>
      </c>
      <c r="AC108" s="55" t="n">
        <f aca="false">AA108+AB108</f>
        <v>0</v>
      </c>
      <c r="AD108" s="55" t="n">
        <f aca="false">ROUND(MAX(0,AD107+AE107-AH107),2)</f>
        <v>0</v>
      </c>
      <c r="AE108" s="55" t="n">
        <f aca="false">ROUND(AD108*$E$10/12,2)</f>
        <v>0</v>
      </c>
      <c r="AF108" s="55" t="n">
        <f aca="false">MIN($F$10,AD108+AE108)</f>
        <v>0</v>
      </c>
      <c r="AG108" s="55" t="n">
        <f aca="false">MAX(0,MIN(AD108+AE108-AF108,$D108-(H108+M108+R108+W108+AB108)))</f>
        <v>0</v>
      </c>
      <c r="AH108" s="55" t="n">
        <f aca="false">AF108+AG108</f>
        <v>0</v>
      </c>
      <c r="AI108" s="55" t="n">
        <f aca="false">ROUND(MAX(0,AI107+AJ107-AM107),2)</f>
        <v>0</v>
      </c>
      <c r="AJ108" s="55" t="n">
        <f aca="false">ROUND(AI108*$E$11/12,2)</f>
        <v>0</v>
      </c>
      <c r="AK108" s="55" t="n">
        <f aca="false">MIN($F$11,AI108+AJ108)</f>
        <v>0</v>
      </c>
      <c r="AL108" s="55" t="n">
        <f aca="false">MAX(0,MIN(AI108+AJ108-AK108,$D108-(H108+M108+R108+W108+AB108+AG108)))</f>
        <v>0</v>
      </c>
      <c r="AM108" s="55" t="n">
        <f aca="false">AK108+AL108</f>
        <v>0</v>
      </c>
      <c r="AN108" s="55" t="n">
        <f aca="false">ROUND(MAX(0,AN107+AO107-AR107),2)</f>
        <v>0</v>
      </c>
      <c r="AO108" s="55" t="n">
        <f aca="false">ROUND(AN108*$E$12/12,2)</f>
        <v>0</v>
      </c>
      <c r="AP108" s="55" t="n">
        <f aca="false">MIN($F$12,AN108+AO108)</f>
        <v>0</v>
      </c>
      <c r="AQ108" s="55" t="n">
        <f aca="false">MAX(0,MIN(AN108+AO108-AP108,$D108-(H108+M108+R108+W108+AB108+AG108+AL108)))</f>
        <v>0</v>
      </c>
      <c r="AR108" s="55" t="n">
        <f aca="false">AP108+AQ108</f>
        <v>0</v>
      </c>
      <c r="AS108" s="55" t="n">
        <f aca="false">ROUND(MAX(0,AS107+AT107-AW107),2)</f>
        <v>0</v>
      </c>
      <c r="AT108" s="55" t="n">
        <f aca="false">ROUND(AS108*$E$13/12,2)</f>
        <v>0</v>
      </c>
      <c r="AU108" s="55" t="n">
        <f aca="false">MIN($F$13,AS108+AT108)</f>
        <v>0</v>
      </c>
      <c r="AV108" s="55" t="n">
        <f aca="false">MAX(0,MIN(AS108+AT108-AU108,$D108-(H108+M108+R108+W108+AB108+AG108+AL108+AQ108)))</f>
        <v>0</v>
      </c>
      <c r="AW108" s="55" t="n">
        <f aca="false">AU108+AV108</f>
        <v>0</v>
      </c>
      <c r="AX108" s="55" t="n">
        <f aca="false">ROUND(MAX(0,AX107+AY107-BB107),2)</f>
        <v>0</v>
      </c>
      <c r="AY108" s="55" t="n">
        <f aca="false">ROUND(AX108*$E$14/12,2)</f>
        <v>0</v>
      </c>
      <c r="AZ108" s="55" t="n">
        <f aca="false">MIN($F$14,AX108+AY108)</f>
        <v>0</v>
      </c>
      <c r="BA108" s="55" t="n">
        <f aca="false">MAX(0,MIN(AX108+AY108-AZ108,$D108-(H108+M108+R108+W108+AB108+AG108+AL108+AQ108+AV108)))</f>
        <v>0</v>
      </c>
      <c r="BB108" s="55" t="n">
        <f aca="false">AZ108+BA108</f>
        <v>0</v>
      </c>
      <c r="BC108" s="55" t="n">
        <f aca="false">I108+N108+S108+X108+AC108+AH108+AM108+AR108+AW108+BB108</f>
        <v>0</v>
      </c>
      <c r="BD108" s="55" t="n">
        <f aca="false">ROUND((E108+F108-I108)+(J108+K108-N108)+(O108+P108-S108)+(T108+U108-X108)+(Y108+Z108-AC108)+(AD108+AE108-AH108)+(AI108+AJ108-AM108)+(AN108+AO108-AR108)+(AS108+AT108-AW108)+(AX108+AY108-BB108),2)</f>
        <v>0</v>
      </c>
      <c r="BE108" s="25" t="str">
        <f aca="false">IF(H108&gt;0.005,$C$5,IF(M108&gt;0.005,$C$6,IF(R108&gt;0.005,$C$7,IF(W108&gt;0.005,$C$8,IF(AB108&gt;0.005,$C$9,IF(AG108&gt;0.005,$C$10,IF(AL108&gt;0.005,$C$11,IF(AQ108&gt;0.005,$C$12,IF(AV108&gt;0.005,$C$13,IF(BA108&gt;0.005,$C$14,""))))))))))</f>
        <v/>
      </c>
    </row>
    <row r="109" customFormat="false" ht="15" hidden="false" customHeight="false" outlineLevel="0" collapsed="false">
      <c r="A109" s="24" t="n">
        <v>86</v>
      </c>
      <c r="B109" s="54" t="n">
        <f aca="false">EDATE($C$17,A109-1)</f>
        <v>48914</v>
      </c>
      <c r="C109" s="55" t="n">
        <f aca="false">G109+L109+Q109+V109+AA109+AF109+AK109+AP109+AU109+AZ109</f>
        <v>0</v>
      </c>
      <c r="D109" s="55" t="n">
        <f aca="false">MAX(0,$C$16-C109)</f>
        <v>5822</v>
      </c>
      <c r="E109" s="55" t="n">
        <f aca="false">ROUND(MAX(0,E108+F108-I108),2)</f>
        <v>0</v>
      </c>
      <c r="F109" s="55" t="n">
        <f aca="false">ROUND(E109*$E$5/12,2)</f>
        <v>0</v>
      </c>
      <c r="G109" s="55" t="n">
        <f aca="false">MIN($F$5,E109+F109)</f>
        <v>0</v>
      </c>
      <c r="H109" s="55" t="n">
        <f aca="false">MAX(0,MIN(E109+F109-G109,$D109))</f>
        <v>0</v>
      </c>
      <c r="I109" s="55" t="n">
        <f aca="false">G109+H109</f>
        <v>0</v>
      </c>
      <c r="J109" s="55" t="n">
        <f aca="false">ROUND(MAX(0,J108+K108-N108),2)</f>
        <v>0</v>
      </c>
      <c r="K109" s="55" t="n">
        <f aca="false">ROUND(J109*$E$6/12,2)</f>
        <v>0</v>
      </c>
      <c r="L109" s="55" t="n">
        <f aca="false">MIN($F$6,J109+K109)</f>
        <v>0</v>
      </c>
      <c r="M109" s="55" t="n">
        <f aca="false">MAX(0,MIN(J109+K109-L109,$D109-(H109)))</f>
        <v>0</v>
      </c>
      <c r="N109" s="55" t="n">
        <f aca="false">L109+M109</f>
        <v>0</v>
      </c>
      <c r="O109" s="55" t="n">
        <f aca="false">ROUND(MAX(0,O108+P108-S108),2)</f>
        <v>0</v>
      </c>
      <c r="P109" s="55" t="n">
        <f aca="false">ROUND(O109*$E$7/12,2)</f>
        <v>0</v>
      </c>
      <c r="Q109" s="55" t="n">
        <f aca="false">MIN($F$7,O109+P109)</f>
        <v>0</v>
      </c>
      <c r="R109" s="55" t="n">
        <f aca="false">MAX(0,MIN(O109+P109-Q109,$D109-(H109+M109)))</f>
        <v>0</v>
      </c>
      <c r="S109" s="55" t="n">
        <f aca="false">Q109+R109</f>
        <v>0</v>
      </c>
      <c r="T109" s="55" t="n">
        <f aca="false">ROUND(MAX(0,T108+U108-X108),2)</f>
        <v>0</v>
      </c>
      <c r="U109" s="55" t="n">
        <f aca="false">ROUND(T109*$E$8/12,2)</f>
        <v>0</v>
      </c>
      <c r="V109" s="55" t="n">
        <f aca="false">MIN($F$8,T109+U109)</f>
        <v>0</v>
      </c>
      <c r="W109" s="55" t="n">
        <f aca="false">MAX(0,MIN(T109+U109-V109,$D109-(H109+M109+R109)))</f>
        <v>0</v>
      </c>
      <c r="X109" s="55" t="n">
        <f aca="false">V109+W109</f>
        <v>0</v>
      </c>
      <c r="Y109" s="55" t="n">
        <f aca="false">ROUND(MAX(0,Y108+Z108-AC108),2)</f>
        <v>0</v>
      </c>
      <c r="Z109" s="55" t="n">
        <f aca="false">ROUND(Y109*$E$9/12,2)</f>
        <v>0</v>
      </c>
      <c r="AA109" s="55" t="n">
        <f aca="false">MIN($F$9,Y109+Z109)</f>
        <v>0</v>
      </c>
      <c r="AB109" s="55" t="n">
        <f aca="false">MAX(0,MIN(Y109+Z109-AA109,$D109-(H109+M109+R109+W109)))</f>
        <v>0</v>
      </c>
      <c r="AC109" s="55" t="n">
        <f aca="false">AA109+AB109</f>
        <v>0</v>
      </c>
      <c r="AD109" s="55" t="n">
        <f aca="false">ROUND(MAX(0,AD108+AE108-AH108),2)</f>
        <v>0</v>
      </c>
      <c r="AE109" s="55" t="n">
        <f aca="false">ROUND(AD109*$E$10/12,2)</f>
        <v>0</v>
      </c>
      <c r="AF109" s="55" t="n">
        <f aca="false">MIN($F$10,AD109+AE109)</f>
        <v>0</v>
      </c>
      <c r="AG109" s="55" t="n">
        <f aca="false">MAX(0,MIN(AD109+AE109-AF109,$D109-(H109+M109+R109+W109+AB109)))</f>
        <v>0</v>
      </c>
      <c r="AH109" s="55" t="n">
        <f aca="false">AF109+AG109</f>
        <v>0</v>
      </c>
      <c r="AI109" s="55" t="n">
        <f aca="false">ROUND(MAX(0,AI108+AJ108-AM108),2)</f>
        <v>0</v>
      </c>
      <c r="AJ109" s="55" t="n">
        <f aca="false">ROUND(AI109*$E$11/12,2)</f>
        <v>0</v>
      </c>
      <c r="AK109" s="55" t="n">
        <f aca="false">MIN($F$11,AI109+AJ109)</f>
        <v>0</v>
      </c>
      <c r="AL109" s="55" t="n">
        <f aca="false">MAX(0,MIN(AI109+AJ109-AK109,$D109-(H109+M109+R109+W109+AB109+AG109)))</f>
        <v>0</v>
      </c>
      <c r="AM109" s="55" t="n">
        <f aca="false">AK109+AL109</f>
        <v>0</v>
      </c>
      <c r="AN109" s="55" t="n">
        <f aca="false">ROUND(MAX(0,AN108+AO108-AR108),2)</f>
        <v>0</v>
      </c>
      <c r="AO109" s="55" t="n">
        <f aca="false">ROUND(AN109*$E$12/12,2)</f>
        <v>0</v>
      </c>
      <c r="AP109" s="55" t="n">
        <f aca="false">MIN($F$12,AN109+AO109)</f>
        <v>0</v>
      </c>
      <c r="AQ109" s="55" t="n">
        <f aca="false">MAX(0,MIN(AN109+AO109-AP109,$D109-(H109+M109+R109+W109+AB109+AG109+AL109)))</f>
        <v>0</v>
      </c>
      <c r="AR109" s="55" t="n">
        <f aca="false">AP109+AQ109</f>
        <v>0</v>
      </c>
      <c r="AS109" s="55" t="n">
        <f aca="false">ROUND(MAX(0,AS108+AT108-AW108),2)</f>
        <v>0</v>
      </c>
      <c r="AT109" s="55" t="n">
        <f aca="false">ROUND(AS109*$E$13/12,2)</f>
        <v>0</v>
      </c>
      <c r="AU109" s="55" t="n">
        <f aca="false">MIN($F$13,AS109+AT109)</f>
        <v>0</v>
      </c>
      <c r="AV109" s="55" t="n">
        <f aca="false">MAX(0,MIN(AS109+AT109-AU109,$D109-(H109+M109+R109+W109+AB109+AG109+AL109+AQ109)))</f>
        <v>0</v>
      </c>
      <c r="AW109" s="55" t="n">
        <f aca="false">AU109+AV109</f>
        <v>0</v>
      </c>
      <c r="AX109" s="55" t="n">
        <f aca="false">ROUND(MAX(0,AX108+AY108-BB108),2)</f>
        <v>0</v>
      </c>
      <c r="AY109" s="55" t="n">
        <f aca="false">ROUND(AX109*$E$14/12,2)</f>
        <v>0</v>
      </c>
      <c r="AZ109" s="55" t="n">
        <f aca="false">MIN($F$14,AX109+AY109)</f>
        <v>0</v>
      </c>
      <c r="BA109" s="55" t="n">
        <f aca="false">MAX(0,MIN(AX109+AY109-AZ109,$D109-(H109+M109+R109+W109+AB109+AG109+AL109+AQ109+AV109)))</f>
        <v>0</v>
      </c>
      <c r="BB109" s="55" t="n">
        <f aca="false">AZ109+BA109</f>
        <v>0</v>
      </c>
      <c r="BC109" s="55" t="n">
        <f aca="false">I109+N109+S109+X109+AC109+AH109+AM109+AR109+AW109+BB109</f>
        <v>0</v>
      </c>
      <c r="BD109" s="55" t="n">
        <f aca="false">ROUND((E109+F109-I109)+(J109+K109-N109)+(O109+P109-S109)+(T109+U109-X109)+(Y109+Z109-AC109)+(AD109+AE109-AH109)+(AI109+AJ109-AM109)+(AN109+AO109-AR109)+(AS109+AT109-AW109)+(AX109+AY109-BB109),2)</f>
        <v>0</v>
      </c>
      <c r="BE109" s="25" t="str">
        <f aca="false">IF(H109&gt;0.005,$C$5,IF(M109&gt;0.005,$C$6,IF(R109&gt;0.005,$C$7,IF(W109&gt;0.005,$C$8,IF(AB109&gt;0.005,$C$9,IF(AG109&gt;0.005,$C$10,IF(AL109&gt;0.005,$C$11,IF(AQ109&gt;0.005,$C$12,IF(AV109&gt;0.005,$C$13,IF(BA109&gt;0.005,$C$14,""))))))))))</f>
        <v/>
      </c>
    </row>
    <row r="110" customFormat="false" ht="15" hidden="false" customHeight="false" outlineLevel="0" collapsed="false">
      <c r="A110" s="24" t="n">
        <v>87</v>
      </c>
      <c r="B110" s="54" t="n">
        <f aca="false">EDATE($C$17,A110-1)</f>
        <v>48945</v>
      </c>
      <c r="C110" s="55" t="n">
        <f aca="false">G110+L110+Q110+V110+AA110+AF110+AK110+AP110+AU110+AZ110</f>
        <v>0</v>
      </c>
      <c r="D110" s="55" t="n">
        <f aca="false">MAX(0,$C$16-C110)</f>
        <v>5822</v>
      </c>
      <c r="E110" s="55" t="n">
        <f aca="false">ROUND(MAX(0,E109+F109-I109),2)</f>
        <v>0</v>
      </c>
      <c r="F110" s="55" t="n">
        <f aca="false">ROUND(E110*$E$5/12,2)</f>
        <v>0</v>
      </c>
      <c r="G110" s="55" t="n">
        <f aca="false">MIN($F$5,E110+F110)</f>
        <v>0</v>
      </c>
      <c r="H110" s="55" t="n">
        <f aca="false">MAX(0,MIN(E110+F110-G110,$D110))</f>
        <v>0</v>
      </c>
      <c r="I110" s="55" t="n">
        <f aca="false">G110+H110</f>
        <v>0</v>
      </c>
      <c r="J110" s="55" t="n">
        <f aca="false">ROUND(MAX(0,J109+K109-N109),2)</f>
        <v>0</v>
      </c>
      <c r="K110" s="55" t="n">
        <f aca="false">ROUND(J110*$E$6/12,2)</f>
        <v>0</v>
      </c>
      <c r="L110" s="55" t="n">
        <f aca="false">MIN($F$6,J110+K110)</f>
        <v>0</v>
      </c>
      <c r="M110" s="55" t="n">
        <f aca="false">MAX(0,MIN(J110+K110-L110,$D110-(H110)))</f>
        <v>0</v>
      </c>
      <c r="N110" s="55" t="n">
        <f aca="false">L110+M110</f>
        <v>0</v>
      </c>
      <c r="O110" s="55" t="n">
        <f aca="false">ROUND(MAX(0,O109+P109-S109),2)</f>
        <v>0</v>
      </c>
      <c r="P110" s="55" t="n">
        <f aca="false">ROUND(O110*$E$7/12,2)</f>
        <v>0</v>
      </c>
      <c r="Q110" s="55" t="n">
        <f aca="false">MIN($F$7,O110+P110)</f>
        <v>0</v>
      </c>
      <c r="R110" s="55" t="n">
        <f aca="false">MAX(0,MIN(O110+P110-Q110,$D110-(H110+M110)))</f>
        <v>0</v>
      </c>
      <c r="S110" s="55" t="n">
        <f aca="false">Q110+R110</f>
        <v>0</v>
      </c>
      <c r="T110" s="55" t="n">
        <f aca="false">ROUND(MAX(0,T109+U109-X109),2)</f>
        <v>0</v>
      </c>
      <c r="U110" s="55" t="n">
        <f aca="false">ROUND(T110*$E$8/12,2)</f>
        <v>0</v>
      </c>
      <c r="V110" s="55" t="n">
        <f aca="false">MIN($F$8,T110+U110)</f>
        <v>0</v>
      </c>
      <c r="W110" s="55" t="n">
        <f aca="false">MAX(0,MIN(T110+U110-V110,$D110-(H110+M110+R110)))</f>
        <v>0</v>
      </c>
      <c r="X110" s="55" t="n">
        <f aca="false">V110+W110</f>
        <v>0</v>
      </c>
      <c r="Y110" s="55" t="n">
        <f aca="false">ROUND(MAX(0,Y109+Z109-AC109),2)</f>
        <v>0</v>
      </c>
      <c r="Z110" s="55" t="n">
        <f aca="false">ROUND(Y110*$E$9/12,2)</f>
        <v>0</v>
      </c>
      <c r="AA110" s="55" t="n">
        <f aca="false">MIN($F$9,Y110+Z110)</f>
        <v>0</v>
      </c>
      <c r="AB110" s="55" t="n">
        <f aca="false">MAX(0,MIN(Y110+Z110-AA110,$D110-(H110+M110+R110+W110)))</f>
        <v>0</v>
      </c>
      <c r="AC110" s="55" t="n">
        <f aca="false">AA110+AB110</f>
        <v>0</v>
      </c>
      <c r="AD110" s="55" t="n">
        <f aca="false">ROUND(MAX(0,AD109+AE109-AH109),2)</f>
        <v>0</v>
      </c>
      <c r="AE110" s="55" t="n">
        <f aca="false">ROUND(AD110*$E$10/12,2)</f>
        <v>0</v>
      </c>
      <c r="AF110" s="55" t="n">
        <f aca="false">MIN($F$10,AD110+AE110)</f>
        <v>0</v>
      </c>
      <c r="AG110" s="55" t="n">
        <f aca="false">MAX(0,MIN(AD110+AE110-AF110,$D110-(H110+M110+R110+W110+AB110)))</f>
        <v>0</v>
      </c>
      <c r="AH110" s="55" t="n">
        <f aca="false">AF110+AG110</f>
        <v>0</v>
      </c>
      <c r="AI110" s="55" t="n">
        <f aca="false">ROUND(MAX(0,AI109+AJ109-AM109),2)</f>
        <v>0</v>
      </c>
      <c r="AJ110" s="55" t="n">
        <f aca="false">ROUND(AI110*$E$11/12,2)</f>
        <v>0</v>
      </c>
      <c r="AK110" s="55" t="n">
        <f aca="false">MIN($F$11,AI110+AJ110)</f>
        <v>0</v>
      </c>
      <c r="AL110" s="55" t="n">
        <f aca="false">MAX(0,MIN(AI110+AJ110-AK110,$D110-(H110+M110+R110+W110+AB110+AG110)))</f>
        <v>0</v>
      </c>
      <c r="AM110" s="55" t="n">
        <f aca="false">AK110+AL110</f>
        <v>0</v>
      </c>
      <c r="AN110" s="55" t="n">
        <f aca="false">ROUND(MAX(0,AN109+AO109-AR109),2)</f>
        <v>0</v>
      </c>
      <c r="AO110" s="55" t="n">
        <f aca="false">ROUND(AN110*$E$12/12,2)</f>
        <v>0</v>
      </c>
      <c r="AP110" s="55" t="n">
        <f aca="false">MIN($F$12,AN110+AO110)</f>
        <v>0</v>
      </c>
      <c r="AQ110" s="55" t="n">
        <f aca="false">MAX(0,MIN(AN110+AO110-AP110,$D110-(H110+M110+R110+W110+AB110+AG110+AL110)))</f>
        <v>0</v>
      </c>
      <c r="AR110" s="55" t="n">
        <f aca="false">AP110+AQ110</f>
        <v>0</v>
      </c>
      <c r="AS110" s="55" t="n">
        <f aca="false">ROUND(MAX(0,AS109+AT109-AW109),2)</f>
        <v>0</v>
      </c>
      <c r="AT110" s="55" t="n">
        <f aca="false">ROUND(AS110*$E$13/12,2)</f>
        <v>0</v>
      </c>
      <c r="AU110" s="55" t="n">
        <f aca="false">MIN($F$13,AS110+AT110)</f>
        <v>0</v>
      </c>
      <c r="AV110" s="55" t="n">
        <f aca="false">MAX(0,MIN(AS110+AT110-AU110,$D110-(H110+M110+R110+W110+AB110+AG110+AL110+AQ110)))</f>
        <v>0</v>
      </c>
      <c r="AW110" s="55" t="n">
        <f aca="false">AU110+AV110</f>
        <v>0</v>
      </c>
      <c r="AX110" s="55" t="n">
        <f aca="false">ROUND(MAX(0,AX109+AY109-BB109),2)</f>
        <v>0</v>
      </c>
      <c r="AY110" s="55" t="n">
        <f aca="false">ROUND(AX110*$E$14/12,2)</f>
        <v>0</v>
      </c>
      <c r="AZ110" s="55" t="n">
        <f aca="false">MIN($F$14,AX110+AY110)</f>
        <v>0</v>
      </c>
      <c r="BA110" s="55" t="n">
        <f aca="false">MAX(0,MIN(AX110+AY110-AZ110,$D110-(H110+M110+R110+W110+AB110+AG110+AL110+AQ110+AV110)))</f>
        <v>0</v>
      </c>
      <c r="BB110" s="55" t="n">
        <f aca="false">AZ110+BA110</f>
        <v>0</v>
      </c>
      <c r="BC110" s="55" t="n">
        <f aca="false">I110+N110+S110+X110+AC110+AH110+AM110+AR110+AW110+BB110</f>
        <v>0</v>
      </c>
      <c r="BD110" s="55" t="n">
        <f aca="false">ROUND((E110+F110-I110)+(J110+K110-N110)+(O110+P110-S110)+(T110+U110-X110)+(Y110+Z110-AC110)+(AD110+AE110-AH110)+(AI110+AJ110-AM110)+(AN110+AO110-AR110)+(AS110+AT110-AW110)+(AX110+AY110-BB110),2)</f>
        <v>0</v>
      </c>
      <c r="BE110" s="25" t="str">
        <f aca="false">IF(H110&gt;0.005,$C$5,IF(M110&gt;0.005,$C$6,IF(R110&gt;0.005,$C$7,IF(W110&gt;0.005,$C$8,IF(AB110&gt;0.005,$C$9,IF(AG110&gt;0.005,$C$10,IF(AL110&gt;0.005,$C$11,IF(AQ110&gt;0.005,$C$12,IF(AV110&gt;0.005,$C$13,IF(BA110&gt;0.005,$C$14,""))))))))))</f>
        <v/>
      </c>
    </row>
    <row r="111" customFormat="false" ht="15" hidden="false" customHeight="false" outlineLevel="0" collapsed="false">
      <c r="A111" s="24" t="n">
        <v>88</v>
      </c>
      <c r="B111" s="54" t="n">
        <f aca="false">EDATE($C$17,A111-1)</f>
        <v>48976</v>
      </c>
      <c r="C111" s="55" t="n">
        <f aca="false">G111+L111+Q111+V111+AA111+AF111+AK111+AP111+AU111+AZ111</f>
        <v>0</v>
      </c>
      <c r="D111" s="55" t="n">
        <f aca="false">MAX(0,$C$16-C111)</f>
        <v>5822</v>
      </c>
      <c r="E111" s="55" t="n">
        <f aca="false">ROUND(MAX(0,E110+F110-I110),2)</f>
        <v>0</v>
      </c>
      <c r="F111" s="55" t="n">
        <f aca="false">ROUND(E111*$E$5/12,2)</f>
        <v>0</v>
      </c>
      <c r="G111" s="55" t="n">
        <f aca="false">MIN($F$5,E111+F111)</f>
        <v>0</v>
      </c>
      <c r="H111" s="55" t="n">
        <f aca="false">MAX(0,MIN(E111+F111-G111,$D111))</f>
        <v>0</v>
      </c>
      <c r="I111" s="55" t="n">
        <f aca="false">G111+H111</f>
        <v>0</v>
      </c>
      <c r="J111" s="55" t="n">
        <f aca="false">ROUND(MAX(0,J110+K110-N110),2)</f>
        <v>0</v>
      </c>
      <c r="K111" s="55" t="n">
        <f aca="false">ROUND(J111*$E$6/12,2)</f>
        <v>0</v>
      </c>
      <c r="L111" s="55" t="n">
        <f aca="false">MIN($F$6,J111+K111)</f>
        <v>0</v>
      </c>
      <c r="M111" s="55" t="n">
        <f aca="false">MAX(0,MIN(J111+K111-L111,$D111-(H111)))</f>
        <v>0</v>
      </c>
      <c r="N111" s="55" t="n">
        <f aca="false">L111+M111</f>
        <v>0</v>
      </c>
      <c r="O111" s="55" t="n">
        <f aca="false">ROUND(MAX(0,O110+P110-S110),2)</f>
        <v>0</v>
      </c>
      <c r="P111" s="55" t="n">
        <f aca="false">ROUND(O111*$E$7/12,2)</f>
        <v>0</v>
      </c>
      <c r="Q111" s="55" t="n">
        <f aca="false">MIN($F$7,O111+P111)</f>
        <v>0</v>
      </c>
      <c r="R111" s="55" t="n">
        <f aca="false">MAX(0,MIN(O111+P111-Q111,$D111-(H111+M111)))</f>
        <v>0</v>
      </c>
      <c r="S111" s="55" t="n">
        <f aca="false">Q111+R111</f>
        <v>0</v>
      </c>
      <c r="T111" s="55" t="n">
        <f aca="false">ROUND(MAX(0,T110+U110-X110),2)</f>
        <v>0</v>
      </c>
      <c r="U111" s="55" t="n">
        <f aca="false">ROUND(T111*$E$8/12,2)</f>
        <v>0</v>
      </c>
      <c r="V111" s="55" t="n">
        <f aca="false">MIN($F$8,T111+U111)</f>
        <v>0</v>
      </c>
      <c r="W111" s="55" t="n">
        <f aca="false">MAX(0,MIN(T111+U111-V111,$D111-(H111+M111+R111)))</f>
        <v>0</v>
      </c>
      <c r="X111" s="55" t="n">
        <f aca="false">V111+W111</f>
        <v>0</v>
      </c>
      <c r="Y111" s="55" t="n">
        <f aca="false">ROUND(MAX(0,Y110+Z110-AC110),2)</f>
        <v>0</v>
      </c>
      <c r="Z111" s="55" t="n">
        <f aca="false">ROUND(Y111*$E$9/12,2)</f>
        <v>0</v>
      </c>
      <c r="AA111" s="55" t="n">
        <f aca="false">MIN($F$9,Y111+Z111)</f>
        <v>0</v>
      </c>
      <c r="AB111" s="55" t="n">
        <f aca="false">MAX(0,MIN(Y111+Z111-AA111,$D111-(H111+M111+R111+W111)))</f>
        <v>0</v>
      </c>
      <c r="AC111" s="55" t="n">
        <f aca="false">AA111+AB111</f>
        <v>0</v>
      </c>
      <c r="AD111" s="55" t="n">
        <f aca="false">ROUND(MAX(0,AD110+AE110-AH110),2)</f>
        <v>0</v>
      </c>
      <c r="AE111" s="55" t="n">
        <f aca="false">ROUND(AD111*$E$10/12,2)</f>
        <v>0</v>
      </c>
      <c r="AF111" s="55" t="n">
        <f aca="false">MIN($F$10,AD111+AE111)</f>
        <v>0</v>
      </c>
      <c r="AG111" s="55" t="n">
        <f aca="false">MAX(0,MIN(AD111+AE111-AF111,$D111-(H111+M111+R111+W111+AB111)))</f>
        <v>0</v>
      </c>
      <c r="AH111" s="55" t="n">
        <f aca="false">AF111+AG111</f>
        <v>0</v>
      </c>
      <c r="AI111" s="55" t="n">
        <f aca="false">ROUND(MAX(0,AI110+AJ110-AM110),2)</f>
        <v>0</v>
      </c>
      <c r="AJ111" s="55" t="n">
        <f aca="false">ROUND(AI111*$E$11/12,2)</f>
        <v>0</v>
      </c>
      <c r="AK111" s="55" t="n">
        <f aca="false">MIN($F$11,AI111+AJ111)</f>
        <v>0</v>
      </c>
      <c r="AL111" s="55" t="n">
        <f aca="false">MAX(0,MIN(AI111+AJ111-AK111,$D111-(H111+M111+R111+W111+AB111+AG111)))</f>
        <v>0</v>
      </c>
      <c r="AM111" s="55" t="n">
        <f aca="false">AK111+AL111</f>
        <v>0</v>
      </c>
      <c r="AN111" s="55" t="n">
        <f aca="false">ROUND(MAX(0,AN110+AO110-AR110),2)</f>
        <v>0</v>
      </c>
      <c r="AO111" s="55" t="n">
        <f aca="false">ROUND(AN111*$E$12/12,2)</f>
        <v>0</v>
      </c>
      <c r="AP111" s="55" t="n">
        <f aca="false">MIN($F$12,AN111+AO111)</f>
        <v>0</v>
      </c>
      <c r="AQ111" s="55" t="n">
        <f aca="false">MAX(0,MIN(AN111+AO111-AP111,$D111-(H111+M111+R111+W111+AB111+AG111+AL111)))</f>
        <v>0</v>
      </c>
      <c r="AR111" s="55" t="n">
        <f aca="false">AP111+AQ111</f>
        <v>0</v>
      </c>
      <c r="AS111" s="55" t="n">
        <f aca="false">ROUND(MAX(0,AS110+AT110-AW110),2)</f>
        <v>0</v>
      </c>
      <c r="AT111" s="55" t="n">
        <f aca="false">ROUND(AS111*$E$13/12,2)</f>
        <v>0</v>
      </c>
      <c r="AU111" s="55" t="n">
        <f aca="false">MIN($F$13,AS111+AT111)</f>
        <v>0</v>
      </c>
      <c r="AV111" s="55" t="n">
        <f aca="false">MAX(0,MIN(AS111+AT111-AU111,$D111-(H111+M111+R111+W111+AB111+AG111+AL111+AQ111)))</f>
        <v>0</v>
      </c>
      <c r="AW111" s="55" t="n">
        <f aca="false">AU111+AV111</f>
        <v>0</v>
      </c>
      <c r="AX111" s="55" t="n">
        <f aca="false">ROUND(MAX(0,AX110+AY110-BB110),2)</f>
        <v>0</v>
      </c>
      <c r="AY111" s="55" t="n">
        <f aca="false">ROUND(AX111*$E$14/12,2)</f>
        <v>0</v>
      </c>
      <c r="AZ111" s="55" t="n">
        <f aca="false">MIN($F$14,AX111+AY111)</f>
        <v>0</v>
      </c>
      <c r="BA111" s="55" t="n">
        <f aca="false">MAX(0,MIN(AX111+AY111-AZ111,$D111-(H111+M111+R111+W111+AB111+AG111+AL111+AQ111+AV111)))</f>
        <v>0</v>
      </c>
      <c r="BB111" s="55" t="n">
        <f aca="false">AZ111+BA111</f>
        <v>0</v>
      </c>
      <c r="BC111" s="55" t="n">
        <f aca="false">I111+N111+S111+X111+AC111+AH111+AM111+AR111+AW111+BB111</f>
        <v>0</v>
      </c>
      <c r="BD111" s="55" t="n">
        <f aca="false">ROUND((E111+F111-I111)+(J111+K111-N111)+(O111+P111-S111)+(T111+U111-X111)+(Y111+Z111-AC111)+(AD111+AE111-AH111)+(AI111+AJ111-AM111)+(AN111+AO111-AR111)+(AS111+AT111-AW111)+(AX111+AY111-BB111),2)</f>
        <v>0</v>
      </c>
      <c r="BE111" s="25" t="str">
        <f aca="false">IF(H111&gt;0.005,$C$5,IF(M111&gt;0.005,$C$6,IF(R111&gt;0.005,$C$7,IF(W111&gt;0.005,$C$8,IF(AB111&gt;0.005,$C$9,IF(AG111&gt;0.005,$C$10,IF(AL111&gt;0.005,$C$11,IF(AQ111&gt;0.005,$C$12,IF(AV111&gt;0.005,$C$13,IF(BA111&gt;0.005,$C$14,""))))))))))</f>
        <v/>
      </c>
    </row>
    <row r="112" customFormat="false" ht="15" hidden="false" customHeight="false" outlineLevel="0" collapsed="false">
      <c r="A112" s="24" t="n">
        <v>89</v>
      </c>
      <c r="B112" s="54" t="n">
        <f aca="false">EDATE($C$17,A112-1)</f>
        <v>49004</v>
      </c>
      <c r="C112" s="55" t="n">
        <f aca="false">G112+L112+Q112+V112+AA112+AF112+AK112+AP112+AU112+AZ112</f>
        <v>0</v>
      </c>
      <c r="D112" s="55" t="n">
        <f aca="false">MAX(0,$C$16-C112)</f>
        <v>5822</v>
      </c>
      <c r="E112" s="55" t="n">
        <f aca="false">ROUND(MAX(0,E111+F111-I111),2)</f>
        <v>0</v>
      </c>
      <c r="F112" s="55" t="n">
        <f aca="false">ROUND(E112*$E$5/12,2)</f>
        <v>0</v>
      </c>
      <c r="G112" s="55" t="n">
        <f aca="false">MIN($F$5,E112+F112)</f>
        <v>0</v>
      </c>
      <c r="H112" s="55" t="n">
        <f aca="false">MAX(0,MIN(E112+F112-G112,$D112))</f>
        <v>0</v>
      </c>
      <c r="I112" s="55" t="n">
        <f aca="false">G112+H112</f>
        <v>0</v>
      </c>
      <c r="J112" s="55" t="n">
        <f aca="false">ROUND(MAX(0,J111+K111-N111),2)</f>
        <v>0</v>
      </c>
      <c r="K112" s="55" t="n">
        <f aca="false">ROUND(J112*$E$6/12,2)</f>
        <v>0</v>
      </c>
      <c r="L112" s="55" t="n">
        <f aca="false">MIN($F$6,J112+K112)</f>
        <v>0</v>
      </c>
      <c r="M112" s="55" t="n">
        <f aca="false">MAX(0,MIN(J112+K112-L112,$D112-(H112)))</f>
        <v>0</v>
      </c>
      <c r="N112" s="55" t="n">
        <f aca="false">L112+M112</f>
        <v>0</v>
      </c>
      <c r="O112" s="55" t="n">
        <f aca="false">ROUND(MAX(0,O111+P111-S111),2)</f>
        <v>0</v>
      </c>
      <c r="P112" s="55" t="n">
        <f aca="false">ROUND(O112*$E$7/12,2)</f>
        <v>0</v>
      </c>
      <c r="Q112" s="55" t="n">
        <f aca="false">MIN($F$7,O112+P112)</f>
        <v>0</v>
      </c>
      <c r="R112" s="55" t="n">
        <f aca="false">MAX(0,MIN(O112+P112-Q112,$D112-(H112+M112)))</f>
        <v>0</v>
      </c>
      <c r="S112" s="55" t="n">
        <f aca="false">Q112+R112</f>
        <v>0</v>
      </c>
      <c r="T112" s="55" t="n">
        <f aca="false">ROUND(MAX(0,T111+U111-X111),2)</f>
        <v>0</v>
      </c>
      <c r="U112" s="55" t="n">
        <f aca="false">ROUND(T112*$E$8/12,2)</f>
        <v>0</v>
      </c>
      <c r="V112" s="55" t="n">
        <f aca="false">MIN($F$8,T112+U112)</f>
        <v>0</v>
      </c>
      <c r="W112" s="55" t="n">
        <f aca="false">MAX(0,MIN(T112+U112-V112,$D112-(H112+M112+R112)))</f>
        <v>0</v>
      </c>
      <c r="X112" s="55" t="n">
        <f aca="false">V112+W112</f>
        <v>0</v>
      </c>
      <c r="Y112" s="55" t="n">
        <f aca="false">ROUND(MAX(0,Y111+Z111-AC111),2)</f>
        <v>0</v>
      </c>
      <c r="Z112" s="55" t="n">
        <f aca="false">ROUND(Y112*$E$9/12,2)</f>
        <v>0</v>
      </c>
      <c r="AA112" s="55" t="n">
        <f aca="false">MIN($F$9,Y112+Z112)</f>
        <v>0</v>
      </c>
      <c r="AB112" s="55" t="n">
        <f aca="false">MAX(0,MIN(Y112+Z112-AA112,$D112-(H112+M112+R112+W112)))</f>
        <v>0</v>
      </c>
      <c r="AC112" s="55" t="n">
        <f aca="false">AA112+AB112</f>
        <v>0</v>
      </c>
      <c r="AD112" s="55" t="n">
        <f aca="false">ROUND(MAX(0,AD111+AE111-AH111),2)</f>
        <v>0</v>
      </c>
      <c r="AE112" s="55" t="n">
        <f aca="false">ROUND(AD112*$E$10/12,2)</f>
        <v>0</v>
      </c>
      <c r="AF112" s="55" t="n">
        <f aca="false">MIN($F$10,AD112+AE112)</f>
        <v>0</v>
      </c>
      <c r="AG112" s="55" t="n">
        <f aca="false">MAX(0,MIN(AD112+AE112-AF112,$D112-(H112+M112+R112+W112+AB112)))</f>
        <v>0</v>
      </c>
      <c r="AH112" s="55" t="n">
        <f aca="false">AF112+AG112</f>
        <v>0</v>
      </c>
      <c r="AI112" s="55" t="n">
        <f aca="false">ROUND(MAX(0,AI111+AJ111-AM111),2)</f>
        <v>0</v>
      </c>
      <c r="AJ112" s="55" t="n">
        <f aca="false">ROUND(AI112*$E$11/12,2)</f>
        <v>0</v>
      </c>
      <c r="AK112" s="55" t="n">
        <f aca="false">MIN($F$11,AI112+AJ112)</f>
        <v>0</v>
      </c>
      <c r="AL112" s="55" t="n">
        <f aca="false">MAX(0,MIN(AI112+AJ112-AK112,$D112-(H112+M112+R112+W112+AB112+AG112)))</f>
        <v>0</v>
      </c>
      <c r="AM112" s="55" t="n">
        <f aca="false">AK112+AL112</f>
        <v>0</v>
      </c>
      <c r="AN112" s="55" t="n">
        <f aca="false">ROUND(MAX(0,AN111+AO111-AR111),2)</f>
        <v>0</v>
      </c>
      <c r="AO112" s="55" t="n">
        <f aca="false">ROUND(AN112*$E$12/12,2)</f>
        <v>0</v>
      </c>
      <c r="AP112" s="55" t="n">
        <f aca="false">MIN($F$12,AN112+AO112)</f>
        <v>0</v>
      </c>
      <c r="AQ112" s="55" t="n">
        <f aca="false">MAX(0,MIN(AN112+AO112-AP112,$D112-(H112+M112+R112+W112+AB112+AG112+AL112)))</f>
        <v>0</v>
      </c>
      <c r="AR112" s="55" t="n">
        <f aca="false">AP112+AQ112</f>
        <v>0</v>
      </c>
      <c r="AS112" s="55" t="n">
        <f aca="false">ROUND(MAX(0,AS111+AT111-AW111),2)</f>
        <v>0</v>
      </c>
      <c r="AT112" s="55" t="n">
        <f aca="false">ROUND(AS112*$E$13/12,2)</f>
        <v>0</v>
      </c>
      <c r="AU112" s="55" t="n">
        <f aca="false">MIN($F$13,AS112+AT112)</f>
        <v>0</v>
      </c>
      <c r="AV112" s="55" t="n">
        <f aca="false">MAX(0,MIN(AS112+AT112-AU112,$D112-(H112+M112+R112+W112+AB112+AG112+AL112+AQ112)))</f>
        <v>0</v>
      </c>
      <c r="AW112" s="55" t="n">
        <f aca="false">AU112+AV112</f>
        <v>0</v>
      </c>
      <c r="AX112" s="55" t="n">
        <f aca="false">ROUND(MAX(0,AX111+AY111-BB111),2)</f>
        <v>0</v>
      </c>
      <c r="AY112" s="55" t="n">
        <f aca="false">ROUND(AX112*$E$14/12,2)</f>
        <v>0</v>
      </c>
      <c r="AZ112" s="55" t="n">
        <f aca="false">MIN($F$14,AX112+AY112)</f>
        <v>0</v>
      </c>
      <c r="BA112" s="55" t="n">
        <f aca="false">MAX(0,MIN(AX112+AY112-AZ112,$D112-(H112+M112+R112+W112+AB112+AG112+AL112+AQ112+AV112)))</f>
        <v>0</v>
      </c>
      <c r="BB112" s="55" t="n">
        <f aca="false">AZ112+BA112</f>
        <v>0</v>
      </c>
      <c r="BC112" s="55" t="n">
        <f aca="false">I112+N112+S112+X112+AC112+AH112+AM112+AR112+AW112+BB112</f>
        <v>0</v>
      </c>
      <c r="BD112" s="55" t="n">
        <f aca="false">ROUND((E112+F112-I112)+(J112+K112-N112)+(O112+P112-S112)+(T112+U112-X112)+(Y112+Z112-AC112)+(AD112+AE112-AH112)+(AI112+AJ112-AM112)+(AN112+AO112-AR112)+(AS112+AT112-AW112)+(AX112+AY112-BB112),2)</f>
        <v>0</v>
      </c>
      <c r="BE112" s="25" t="str">
        <f aca="false">IF(H112&gt;0.005,$C$5,IF(M112&gt;0.005,$C$6,IF(R112&gt;0.005,$C$7,IF(W112&gt;0.005,$C$8,IF(AB112&gt;0.005,$C$9,IF(AG112&gt;0.005,$C$10,IF(AL112&gt;0.005,$C$11,IF(AQ112&gt;0.005,$C$12,IF(AV112&gt;0.005,$C$13,IF(BA112&gt;0.005,$C$14,""))))))))))</f>
        <v/>
      </c>
    </row>
    <row r="113" customFormat="false" ht="15" hidden="false" customHeight="false" outlineLevel="0" collapsed="false">
      <c r="A113" s="24" t="n">
        <v>90</v>
      </c>
      <c r="B113" s="54" t="n">
        <f aca="false">EDATE($C$17,A113-1)</f>
        <v>49035</v>
      </c>
      <c r="C113" s="55" t="n">
        <f aca="false">G113+L113+Q113+V113+AA113+AF113+AK113+AP113+AU113+AZ113</f>
        <v>0</v>
      </c>
      <c r="D113" s="55" t="n">
        <f aca="false">MAX(0,$C$16-C113)</f>
        <v>5822</v>
      </c>
      <c r="E113" s="55" t="n">
        <f aca="false">ROUND(MAX(0,E112+F112-I112),2)</f>
        <v>0</v>
      </c>
      <c r="F113" s="55" t="n">
        <f aca="false">ROUND(E113*$E$5/12,2)</f>
        <v>0</v>
      </c>
      <c r="G113" s="55" t="n">
        <f aca="false">MIN($F$5,E113+F113)</f>
        <v>0</v>
      </c>
      <c r="H113" s="55" t="n">
        <f aca="false">MAX(0,MIN(E113+F113-G113,$D113))</f>
        <v>0</v>
      </c>
      <c r="I113" s="55" t="n">
        <f aca="false">G113+H113</f>
        <v>0</v>
      </c>
      <c r="J113" s="55" t="n">
        <f aca="false">ROUND(MAX(0,J112+K112-N112),2)</f>
        <v>0</v>
      </c>
      <c r="K113" s="55" t="n">
        <f aca="false">ROUND(J113*$E$6/12,2)</f>
        <v>0</v>
      </c>
      <c r="L113" s="55" t="n">
        <f aca="false">MIN($F$6,J113+K113)</f>
        <v>0</v>
      </c>
      <c r="M113" s="55" t="n">
        <f aca="false">MAX(0,MIN(J113+K113-L113,$D113-(H113)))</f>
        <v>0</v>
      </c>
      <c r="N113" s="55" t="n">
        <f aca="false">L113+M113</f>
        <v>0</v>
      </c>
      <c r="O113" s="55" t="n">
        <f aca="false">ROUND(MAX(0,O112+P112-S112),2)</f>
        <v>0</v>
      </c>
      <c r="P113" s="55" t="n">
        <f aca="false">ROUND(O113*$E$7/12,2)</f>
        <v>0</v>
      </c>
      <c r="Q113" s="55" t="n">
        <f aca="false">MIN($F$7,O113+P113)</f>
        <v>0</v>
      </c>
      <c r="R113" s="55" t="n">
        <f aca="false">MAX(0,MIN(O113+P113-Q113,$D113-(H113+M113)))</f>
        <v>0</v>
      </c>
      <c r="S113" s="55" t="n">
        <f aca="false">Q113+R113</f>
        <v>0</v>
      </c>
      <c r="T113" s="55" t="n">
        <f aca="false">ROUND(MAX(0,T112+U112-X112),2)</f>
        <v>0</v>
      </c>
      <c r="U113" s="55" t="n">
        <f aca="false">ROUND(T113*$E$8/12,2)</f>
        <v>0</v>
      </c>
      <c r="V113" s="55" t="n">
        <f aca="false">MIN($F$8,T113+U113)</f>
        <v>0</v>
      </c>
      <c r="W113" s="55" t="n">
        <f aca="false">MAX(0,MIN(T113+U113-V113,$D113-(H113+M113+R113)))</f>
        <v>0</v>
      </c>
      <c r="X113" s="55" t="n">
        <f aca="false">V113+W113</f>
        <v>0</v>
      </c>
      <c r="Y113" s="55" t="n">
        <f aca="false">ROUND(MAX(0,Y112+Z112-AC112),2)</f>
        <v>0</v>
      </c>
      <c r="Z113" s="55" t="n">
        <f aca="false">ROUND(Y113*$E$9/12,2)</f>
        <v>0</v>
      </c>
      <c r="AA113" s="55" t="n">
        <f aca="false">MIN($F$9,Y113+Z113)</f>
        <v>0</v>
      </c>
      <c r="AB113" s="55" t="n">
        <f aca="false">MAX(0,MIN(Y113+Z113-AA113,$D113-(H113+M113+R113+W113)))</f>
        <v>0</v>
      </c>
      <c r="AC113" s="55" t="n">
        <f aca="false">AA113+AB113</f>
        <v>0</v>
      </c>
      <c r="AD113" s="55" t="n">
        <f aca="false">ROUND(MAX(0,AD112+AE112-AH112),2)</f>
        <v>0</v>
      </c>
      <c r="AE113" s="55" t="n">
        <f aca="false">ROUND(AD113*$E$10/12,2)</f>
        <v>0</v>
      </c>
      <c r="AF113" s="55" t="n">
        <f aca="false">MIN($F$10,AD113+AE113)</f>
        <v>0</v>
      </c>
      <c r="AG113" s="55" t="n">
        <f aca="false">MAX(0,MIN(AD113+AE113-AF113,$D113-(H113+M113+R113+W113+AB113)))</f>
        <v>0</v>
      </c>
      <c r="AH113" s="55" t="n">
        <f aca="false">AF113+AG113</f>
        <v>0</v>
      </c>
      <c r="AI113" s="55" t="n">
        <f aca="false">ROUND(MAX(0,AI112+AJ112-AM112),2)</f>
        <v>0</v>
      </c>
      <c r="AJ113" s="55" t="n">
        <f aca="false">ROUND(AI113*$E$11/12,2)</f>
        <v>0</v>
      </c>
      <c r="AK113" s="55" t="n">
        <f aca="false">MIN($F$11,AI113+AJ113)</f>
        <v>0</v>
      </c>
      <c r="AL113" s="55" t="n">
        <f aca="false">MAX(0,MIN(AI113+AJ113-AK113,$D113-(H113+M113+R113+W113+AB113+AG113)))</f>
        <v>0</v>
      </c>
      <c r="AM113" s="55" t="n">
        <f aca="false">AK113+AL113</f>
        <v>0</v>
      </c>
      <c r="AN113" s="55" t="n">
        <f aca="false">ROUND(MAX(0,AN112+AO112-AR112),2)</f>
        <v>0</v>
      </c>
      <c r="AO113" s="55" t="n">
        <f aca="false">ROUND(AN113*$E$12/12,2)</f>
        <v>0</v>
      </c>
      <c r="AP113" s="55" t="n">
        <f aca="false">MIN($F$12,AN113+AO113)</f>
        <v>0</v>
      </c>
      <c r="AQ113" s="55" t="n">
        <f aca="false">MAX(0,MIN(AN113+AO113-AP113,$D113-(H113+M113+R113+W113+AB113+AG113+AL113)))</f>
        <v>0</v>
      </c>
      <c r="AR113" s="55" t="n">
        <f aca="false">AP113+AQ113</f>
        <v>0</v>
      </c>
      <c r="AS113" s="55" t="n">
        <f aca="false">ROUND(MAX(0,AS112+AT112-AW112),2)</f>
        <v>0</v>
      </c>
      <c r="AT113" s="55" t="n">
        <f aca="false">ROUND(AS113*$E$13/12,2)</f>
        <v>0</v>
      </c>
      <c r="AU113" s="55" t="n">
        <f aca="false">MIN($F$13,AS113+AT113)</f>
        <v>0</v>
      </c>
      <c r="AV113" s="55" t="n">
        <f aca="false">MAX(0,MIN(AS113+AT113-AU113,$D113-(H113+M113+R113+W113+AB113+AG113+AL113+AQ113)))</f>
        <v>0</v>
      </c>
      <c r="AW113" s="55" t="n">
        <f aca="false">AU113+AV113</f>
        <v>0</v>
      </c>
      <c r="AX113" s="55" t="n">
        <f aca="false">ROUND(MAX(0,AX112+AY112-BB112),2)</f>
        <v>0</v>
      </c>
      <c r="AY113" s="55" t="n">
        <f aca="false">ROUND(AX113*$E$14/12,2)</f>
        <v>0</v>
      </c>
      <c r="AZ113" s="55" t="n">
        <f aca="false">MIN($F$14,AX113+AY113)</f>
        <v>0</v>
      </c>
      <c r="BA113" s="55" t="n">
        <f aca="false">MAX(0,MIN(AX113+AY113-AZ113,$D113-(H113+M113+R113+W113+AB113+AG113+AL113+AQ113+AV113)))</f>
        <v>0</v>
      </c>
      <c r="BB113" s="55" t="n">
        <f aca="false">AZ113+BA113</f>
        <v>0</v>
      </c>
      <c r="BC113" s="55" t="n">
        <f aca="false">I113+N113+S113+X113+AC113+AH113+AM113+AR113+AW113+BB113</f>
        <v>0</v>
      </c>
      <c r="BD113" s="55" t="n">
        <f aca="false">ROUND((E113+F113-I113)+(J113+K113-N113)+(O113+P113-S113)+(T113+U113-X113)+(Y113+Z113-AC113)+(AD113+AE113-AH113)+(AI113+AJ113-AM113)+(AN113+AO113-AR113)+(AS113+AT113-AW113)+(AX113+AY113-BB113),2)</f>
        <v>0</v>
      </c>
      <c r="BE113" s="25" t="str">
        <f aca="false">IF(H113&gt;0.005,$C$5,IF(M113&gt;0.005,$C$6,IF(R113&gt;0.005,$C$7,IF(W113&gt;0.005,$C$8,IF(AB113&gt;0.005,$C$9,IF(AG113&gt;0.005,$C$10,IF(AL113&gt;0.005,$C$11,IF(AQ113&gt;0.005,$C$12,IF(AV113&gt;0.005,$C$13,IF(BA113&gt;0.005,$C$14,""))))))))))</f>
        <v/>
      </c>
    </row>
    <row r="114" customFormat="false" ht="15" hidden="false" customHeight="false" outlineLevel="0" collapsed="false">
      <c r="A114" s="24" t="n">
        <v>91</v>
      </c>
      <c r="B114" s="54" t="n">
        <f aca="false">EDATE($C$17,A114-1)</f>
        <v>49065</v>
      </c>
      <c r="C114" s="55" t="n">
        <f aca="false">G114+L114+Q114+V114+AA114+AF114+AK114+AP114+AU114+AZ114</f>
        <v>0</v>
      </c>
      <c r="D114" s="55" t="n">
        <f aca="false">MAX(0,$C$16-C114)</f>
        <v>5822</v>
      </c>
      <c r="E114" s="55" t="n">
        <f aca="false">ROUND(MAX(0,E113+F113-I113),2)</f>
        <v>0</v>
      </c>
      <c r="F114" s="55" t="n">
        <f aca="false">ROUND(E114*$E$5/12,2)</f>
        <v>0</v>
      </c>
      <c r="G114" s="55" t="n">
        <f aca="false">MIN($F$5,E114+F114)</f>
        <v>0</v>
      </c>
      <c r="H114" s="55" t="n">
        <f aca="false">MAX(0,MIN(E114+F114-G114,$D114))</f>
        <v>0</v>
      </c>
      <c r="I114" s="55" t="n">
        <f aca="false">G114+H114</f>
        <v>0</v>
      </c>
      <c r="J114" s="55" t="n">
        <f aca="false">ROUND(MAX(0,J113+K113-N113),2)</f>
        <v>0</v>
      </c>
      <c r="K114" s="55" t="n">
        <f aca="false">ROUND(J114*$E$6/12,2)</f>
        <v>0</v>
      </c>
      <c r="L114" s="55" t="n">
        <f aca="false">MIN($F$6,J114+K114)</f>
        <v>0</v>
      </c>
      <c r="M114" s="55" t="n">
        <f aca="false">MAX(0,MIN(J114+K114-L114,$D114-(H114)))</f>
        <v>0</v>
      </c>
      <c r="N114" s="55" t="n">
        <f aca="false">L114+M114</f>
        <v>0</v>
      </c>
      <c r="O114" s="55" t="n">
        <f aca="false">ROUND(MAX(0,O113+P113-S113),2)</f>
        <v>0</v>
      </c>
      <c r="P114" s="55" t="n">
        <f aca="false">ROUND(O114*$E$7/12,2)</f>
        <v>0</v>
      </c>
      <c r="Q114" s="55" t="n">
        <f aca="false">MIN($F$7,O114+P114)</f>
        <v>0</v>
      </c>
      <c r="R114" s="55" t="n">
        <f aca="false">MAX(0,MIN(O114+P114-Q114,$D114-(H114+M114)))</f>
        <v>0</v>
      </c>
      <c r="S114" s="55" t="n">
        <f aca="false">Q114+R114</f>
        <v>0</v>
      </c>
      <c r="T114" s="55" t="n">
        <f aca="false">ROUND(MAX(0,T113+U113-X113),2)</f>
        <v>0</v>
      </c>
      <c r="U114" s="55" t="n">
        <f aca="false">ROUND(T114*$E$8/12,2)</f>
        <v>0</v>
      </c>
      <c r="V114" s="55" t="n">
        <f aca="false">MIN($F$8,T114+U114)</f>
        <v>0</v>
      </c>
      <c r="W114" s="55" t="n">
        <f aca="false">MAX(0,MIN(T114+U114-V114,$D114-(H114+M114+R114)))</f>
        <v>0</v>
      </c>
      <c r="X114" s="55" t="n">
        <f aca="false">V114+W114</f>
        <v>0</v>
      </c>
      <c r="Y114" s="55" t="n">
        <f aca="false">ROUND(MAX(0,Y113+Z113-AC113),2)</f>
        <v>0</v>
      </c>
      <c r="Z114" s="55" t="n">
        <f aca="false">ROUND(Y114*$E$9/12,2)</f>
        <v>0</v>
      </c>
      <c r="AA114" s="55" t="n">
        <f aca="false">MIN($F$9,Y114+Z114)</f>
        <v>0</v>
      </c>
      <c r="AB114" s="55" t="n">
        <f aca="false">MAX(0,MIN(Y114+Z114-AA114,$D114-(H114+M114+R114+W114)))</f>
        <v>0</v>
      </c>
      <c r="AC114" s="55" t="n">
        <f aca="false">AA114+AB114</f>
        <v>0</v>
      </c>
      <c r="AD114" s="55" t="n">
        <f aca="false">ROUND(MAX(0,AD113+AE113-AH113),2)</f>
        <v>0</v>
      </c>
      <c r="AE114" s="55" t="n">
        <f aca="false">ROUND(AD114*$E$10/12,2)</f>
        <v>0</v>
      </c>
      <c r="AF114" s="55" t="n">
        <f aca="false">MIN($F$10,AD114+AE114)</f>
        <v>0</v>
      </c>
      <c r="AG114" s="55" t="n">
        <f aca="false">MAX(0,MIN(AD114+AE114-AF114,$D114-(H114+M114+R114+W114+AB114)))</f>
        <v>0</v>
      </c>
      <c r="AH114" s="55" t="n">
        <f aca="false">AF114+AG114</f>
        <v>0</v>
      </c>
      <c r="AI114" s="55" t="n">
        <f aca="false">ROUND(MAX(0,AI113+AJ113-AM113),2)</f>
        <v>0</v>
      </c>
      <c r="AJ114" s="55" t="n">
        <f aca="false">ROUND(AI114*$E$11/12,2)</f>
        <v>0</v>
      </c>
      <c r="AK114" s="55" t="n">
        <f aca="false">MIN($F$11,AI114+AJ114)</f>
        <v>0</v>
      </c>
      <c r="AL114" s="55" t="n">
        <f aca="false">MAX(0,MIN(AI114+AJ114-AK114,$D114-(H114+M114+R114+W114+AB114+AG114)))</f>
        <v>0</v>
      </c>
      <c r="AM114" s="55" t="n">
        <f aca="false">AK114+AL114</f>
        <v>0</v>
      </c>
      <c r="AN114" s="55" t="n">
        <f aca="false">ROUND(MAX(0,AN113+AO113-AR113),2)</f>
        <v>0</v>
      </c>
      <c r="AO114" s="55" t="n">
        <f aca="false">ROUND(AN114*$E$12/12,2)</f>
        <v>0</v>
      </c>
      <c r="AP114" s="55" t="n">
        <f aca="false">MIN($F$12,AN114+AO114)</f>
        <v>0</v>
      </c>
      <c r="AQ114" s="55" t="n">
        <f aca="false">MAX(0,MIN(AN114+AO114-AP114,$D114-(H114+M114+R114+W114+AB114+AG114+AL114)))</f>
        <v>0</v>
      </c>
      <c r="AR114" s="55" t="n">
        <f aca="false">AP114+AQ114</f>
        <v>0</v>
      </c>
      <c r="AS114" s="55" t="n">
        <f aca="false">ROUND(MAX(0,AS113+AT113-AW113),2)</f>
        <v>0</v>
      </c>
      <c r="AT114" s="55" t="n">
        <f aca="false">ROUND(AS114*$E$13/12,2)</f>
        <v>0</v>
      </c>
      <c r="AU114" s="55" t="n">
        <f aca="false">MIN($F$13,AS114+AT114)</f>
        <v>0</v>
      </c>
      <c r="AV114" s="55" t="n">
        <f aca="false">MAX(0,MIN(AS114+AT114-AU114,$D114-(H114+M114+R114+W114+AB114+AG114+AL114+AQ114)))</f>
        <v>0</v>
      </c>
      <c r="AW114" s="55" t="n">
        <f aca="false">AU114+AV114</f>
        <v>0</v>
      </c>
      <c r="AX114" s="55" t="n">
        <f aca="false">ROUND(MAX(0,AX113+AY113-BB113),2)</f>
        <v>0</v>
      </c>
      <c r="AY114" s="55" t="n">
        <f aca="false">ROUND(AX114*$E$14/12,2)</f>
        <v>0</v>
      </c>
      <c r="AZ114" s="55" t="n">
        <f aca="false">MIN($F$14,AX114+AY114)</f>
        <v>0</v>
      </c>
      <c r="BA114" s="55" t="n">
        <f aca="false">MAX(0,MIN(AX114+AY114-AZ114,$D114-(H114+M114+R114+W114+AB114+AG114+AL114+AQ114+AV114)))</f>
        <v>0</v>
      </c>
      <c r="BB114" s="55" t="n">
        <f aca="false">AZ114+BA114</f>
        <v>0</v>
      </c>
      <c r="BC114" s="55" t="n">
        <f aca="false">I114+N114+S114+X114+AC114+AH114+AM114+AR114+AW114+BB114</f>
        <v>0</v>
      </c>
      <c r="BD114" s="55" t="n">
        <f aca="false">ROUND((E114+F114-I114)+(J114+K114-N114)+(O114+P114-S114)+(T114+U114-X114)+(Y114+Z114-AC114)+(AD114+AE114-AH114)+(AI114+AJ114-AM114)+(AN114+AO114-AR114)+(AS114+AT114-AW114)+(AX114+AY114-BB114),2)</f>
        <v>0</v>
      </c>
      <c r="BE114" s="25" t="str">
        <f aca="false">IF(H114&gt;0.005,$C$5,IF(M114&gt;0.005,$C$6,IF(R114&gt;0.005,$C$7,IF(W114&gt;0.005,$C$8,IF(AB114&gt;0.005,$C$9,IF(AG114&gt;0.005,$C$10,IF(AL114&gt;0.005,$C$11,IF(AQ114&gt;0.005,$C$12,IF(AV114&gt;0.005,$C$13,IF(BA114&gt;0.005,$C$14,""))))))))))</f>
        <v/>
      </c>
    </row>
    <row r="115" customFormat="false" ht="15" hidden="false" customHeight="false" outlineLevel="0" collapsed="false">
      <c r="A115" s="24" t="n">
        <v>92</v>
      </c>
      <c r="B115" s="54" t="n">
        <f aca="false">EDATE($C$17,A115-1)</f>
        <v>49096</v>
      </c>
      <c r="C115" s="55" t="n">
        <f aca="false">G115+L115+Q115+V115+AA115+AF115+AK115+AP115+AU115+AZ115</f>
        <v>0</v>
      </c>
      <c r="D115" s="55" t="n">
        <f aca="false">MAX(0,$C$16-C115)</f>
        <v>5822</v>
      </c>
      <c r="E115" s="55" t="n">
        <f aca="false">ROUND(MAX(0,E114+F114-I114),2)</f>
        <v>0</v>
      </c>
      <c r="F115" s="55" t="n">
        <f aca="false">ROUND(E115*$E$5/12,2)</f>
        <v>0</v>
      </c>
      <c r="G115" s="55" t="n">
        <f aca="false">MIN($F$5,E115+F115)</f>
        <v>0</v>
      </c>
      <c r="H115" s="55" t="n">
        <f aca="false">MAX(0,MIN(E115+F115-G115,$D115))</f>
        <v>0</v>
      </c>
      <c r="I115" s="55" t="n">
        <f aca="false">G115+H115</f>
        <v>0</v>
      </c>
      <c r="J115" s="55" t="n">
        <f aca="false">ROUND(MAX(0,J114+K114-N114),2)</f>
        <v>0</v>
      </c>
      <c r="K115" s="55" t="n">
        <f aca="false">ROUND(J115*$E$6/12,2)</f>
        <v>0</v>
      </c>
      <c r="L115" s="55" t="n">
        <f aca="false">MIN($F$6,J115+K115)</f>
        <v>0</v>
      </c>
      <c r="M115" s="55" t="n">
        <f aca="false">MAX(0,MIN(J115+K115-L115,$D115-(H115)))</f>
        <v>0</v>
      </c>
      <c r="N115" s="55" t="n">
        <f aca="false">L115+M115</f>
        <v>0</v>
      </c>
      <c r="O115" s="55" t="n">
        <f aca="false">ROUND(MAX(0,O114+P114-S114),2)</f>
        <v>0</v>
      </c>
      <c r="P115" s="55" t="n">
        <f aca="false">ROUND(O115*$E$7/12,2)</f>
        <v>0</v>
      </c>
      <c r="Q115" s="55" t="n">
        <f aca="false">MIN($F$7,O115+P115)</f>
        <v>0</v>
      </c>
      <c r="R115" s="55" t="n">
        <f aca="false">MAX(0,MIN(O115+P115-Q115,$D115-(H115+M115)))</f>
        <v>0</v>
      </c>
      <c r="S115" s="55" t="n">
        <f aca="false">Q115+R115</f>
        <v>0</v>
      </c>
      <c r="T115" s="55" t="n">
        <f aca="false">ROUND(MAX(0,T114+U114-X114),2)</f>
        <v>0</v>
      </c>
      <c r="U115" s="55" t="n">
        <f aca="false">ROUND(T115*$E$8/12,2)</f>
        <v>0</v>
      </c>
      <c r="V115" s="55" t="n">
        <f aca="false">MIN($F$8,T115+U115)</f>
        <v>0</v>
      </c>
      <c r="W115" s="55" t="n">
        <f aca="false">MAX(0,MIN(T115+U115-V115,$D115-(H115+M115+R115)))</f>
        <v>0</v>
      </c>
      <c r="X115" s="55" t="n">
        <f aca="false">V115+W115</f>
        <v>0</v>
      </c>
      <c r="Y115" s="55" t="n">
        <f aca="false">ROUND(MAX(0,Y114+Z114-AC114),2)</f>
        <v>0</v>
      </c>
      <c r="Z115" s="55" t="n">
        <f aca="false">ROUND(Y115*$E$9/12,2)</f>
        <v>0</v>
      </c>
      <c r="AA115" s="55" t="n">
        <f aca="false">MIN($F$9,Y115+Z115)</f>
        <v>0</v>
      </c>
      <c r="AB115" s="55" t="n">
        <f aca="false">MAX(0,MIN(Y115+Z115-AA115,$D115-(H115+M115+R115+W115)))</f>
        <v>0</v>
      </c>
      <c r="AC115" s="55" t="n">
        <f aca="false">AA115+AB115</f>
        <v>0</v>
      </c>
      <c r="AD115" s="55" t="n">
        <f aca="false">ROUND(MAX(0,AD114+AE114-AH114),2)</f>
        <v>0</v>
      </c>
      <c r="AE115" s="55" t="n">
        <f aca="false">ROUND(AD115*$E$10/12,2)</f>
        <v>0</v>
      </c>
      <c r="AF115" s="55" t="n">
        <f aca="false">MIN($F$10,AD115+AE115)</f>
        <v>0</v>
      </c>
      <c r="AG115" s="55" t="n">
        <f aca="false">MAX(0,MIN(AD115+AE115-AF115,$D115-(H115+M115+R115+W115+AB115)))</f>
        <v>0</v>
      </c>
      <c r="AH115" s="55" t="n">
        <f aca="false">AF115+AG115</f>
        <v>0</v>
      </c>
      <c r="AI115" s="55" t="n">
        <f aca="false">ROUND(MAX(0,AI114+AJ114-AM114),2)</f>
        <v>0</v>
      </c>
      <c r="AJ115" s="55" t="n">
        <f aca="false">ROUND(AI115*$E$11/12,2)</f>
        <v>0</v>
      </c>
      <c r="AK115" s="55" t="n">
        <f aca="false">MIN($F$11,AI115+AJ115)</f>
        <v>0</v>
      </c>
      <c r="AL115" s="55" t="n">
        <f aca="false">MAX(0,MIN(AI115+AJ115-AK115,$D115-(H115+M115+R115+W115+AB115+AG115)))</f>
        <v>0</v>
      </c>
      <c r="AM115" s="55" t="n">
        <f aca="false">AK115+AL115</f>
        <v>0</v>
      </c>
      <c r="AN115" s="55" t="n">
        <f aca="false">ROUND(MAX(0,AN114+AO114-AR114),2)</f>
        <v>0</v>
      </c>
      <c r="AO115" s="55" t="n">
        <f aca="false">ROUND(AN115*$E$12/12,2)</f>
        <v>0</v>
      </c>
      <c r="AP115" s="55" t="n">
        <f aca="false">MIN($F$12,AN115+AO115)</f>
        <v>0</v>
      </c>
      <c r="AQ115" s="55" t="n">
        <f aca="false">MAX(0,MIN(AN115+AO115-AP115,$D115-(H115+M115+R115+W115+AB115+AG115+AL115)))</f>
        <v>0</v>
      </c>
      <c r="AR115" s="55" t="n">
        <f aca="false">AP115+AQ115</f>
        <v>0</v>
      </c>
      <c r="AS115" s="55" t="n">
        <f aca="false">ROUND(MAX(0,AS114+AT114-AW114),2)</f>
        <v>0</v>
      </c>
      <c r="AT115" s="55" t="n">
        <f aca="false">ROUND(AS115*$E$13/12,2)</f>
        <v>0</v>
      </c>
      <c r="AU115" s="55" t="n">
        <f aca="false">MIN($F$13,AS115+AT115)</f>
        <v>0</v>
      </c>
      <c r="AV115" s="55" t="n">
        <f aca="false">MAX(0,MIN(AS115+AT115-AU115,$D115-(H115+M115+R115+W115+AB115+AG115+AL115+AQ115)))</f>
        <v>0</v>
      </c>
      <c r="AW115" s="55" t="n">
        <f aca="false">AU115+AV115</f>
        <v>0</v>
      </c>
      <c r="AX115" s="55" t="n">
        <f aca="false">ROUND(MAX(0,AX114+AY114-BB114),2)</f>
        <v>0</v>
      </c>
      <c r="AY115" s="55" t="n">
        <f aca="false">ROUND(AX115*$E$14/12,2)</f>
        <v>0</v>
      </c>
      <c r="AZ115" s="55" t="n">
        <f aca="false">MIN($F$14,AX115+AY115)</f>
        <v>0</v>
      </c>
      <c r="BA115" s="55" t="n">
        <f aca="false">MAX(0,MIN(AX115+AY115-AZ115,$D115-(H115+M115+R115+W115+AB115+AG115+AL115+AQ115+AV115)))</f>
        <v>0</v>
      </c>
      <c r="BB115" s="55" t="n">
        <f aca="false">AZ115+BA115</f>
        <v>0</v>
      </c>
      <c r="BC115" s="55" t="n">
        <f aca="false">I115+N115+S115+X115+AC115+AH115+AM115+AR115+AW115+BB115</f>
        <v>0</v>
      </c>
      <c r="BD115" s="55" t="n">
        <f aca="false">ROUND((E115+F115-I115)+(J115+K115-N115)+(O115+P115-S115)+(T115+U115-X115)+(Y115+Z115-AC115)+(AD115+AE115-AH115)+(AI115+AJ115-AM115)+(AN115+AO115-AR115)+(AS115+AT115-AW115)+(AX115+AY115-BB115),2)</f>
        <v>0</v>
      </c>
      <c r="BE115" s="25" t="str">
        <f aca="false">IF(H115&gt;0.005,$C$5,IF(M115&gt;0.005,$C$6,IF(R115&gt;0.005,$C$7,IF(W115&gt;0.005,$C$8,IF(AB115&gt;0.005,$C$9,IF(AG115&gt;0.005,$C$10,IF(AL115&gt;0.005,$C$11,IF(AQ115&gt;0.005,$C$12,IF(AV115&gt;0.005,$C$13,IF(BA115&gt;0.005,$C$14,""))))))))))</f>
        <v/>
      </c>
    </row>
    <row r="116" customFormat="false" ht="15" hidden="false" customHeight="false" outlineLevel="0" collapsed="false">
      <c r="A116" s="24" t="n">
        <v>93</v>
      </c>
      <c r="B116" s="54" t="n">
        <f aca="false">EDATE($C$17,A116-1)</f>
        <v>49126</v>
      </c>
      <c r="C116" s="55" t="n">
        <f aca="false">G116+L116+Q116+V116+AA116+AF116+AK116+AP116+AU116+AZ116</f>
        <v>0</v>
      </c>
      <c r="D116" s="55" t="n">
        <f aca="false">MAX(0,$C$16-C116)</f>
        <v>5822</v>
      </c>
      <c r="E116" s="55" t="n">
        <f aca="false">ROUND(MAX(0,E115+F115-I115),2)</f>
        <v>0</v>
      </c>
      <c r="F116" s="55" t="n">
        <f aca="false">ROUND(E116*$E$5/12,2)</f>
        <v>0</v>
      </c>
      <c r="G116" s="55" t="n">
        <f aca="false">MIN($F$5,E116+F116)</f>
        <v>0</v>
      </c>
      <c r="H116" s="55" t="n">
        <f aca="false">MAX(0,MIN(E116+F116-G116,$D116))</f>
        <v>0</v>
      </c>
      <c r="I116" s="55" t="n">
        <f aca="false">G116+H116</f>
        <v>0</v>
      </c>
      <c r="J116" s="55" t="n">
        <f aca="false">ROUND(MAX(0,J115+K115-N115),2)</f>
        <v>0</v>
      </c>
      <c r="K116" s="55" t="n">
        <f aca="false">ROUND(J116*$E$6/12,2)</f>
        <v>0</v>
      </c>
      <c r="L116" s="55" t="n">
        <f aca="false">MIN($F$6,J116+K116)</f>
        <v>0</v>
      </c>
      <c r="M116" s="55" t="n">
        <f aca="false">MAX(0,MIN(J116+K116-L116,$D116-(H116)))</f>
        <v>0</v>
      </c>
      <c r="N116" s="55" t="n">
        <f aca="false">L116+M116</f>
        <v>0</v>
      </c>
      <c r="O116" s="55" t="n">
        <f aca="false">ROUND(MAX(0,O115+P115-S115),2)</f>
        <v>0</v>
      </c>
      <c r="P116" s="55" t="n">
        <f aca="false">ROUND(O116*$E$7/12,2)</f>
        <v>0</v>
      </c>
      <c r="Q116" s="55" t="n">
        <f aca="false">MIN($F$7,O116+P116)</f>
        <v>0</v>
      </c>
      <c r="R116" s="55" t="n">
        <f aca="false">MAX(0,MIN(O116+P116-Q116,$D116-(H116+M116)))</f>
        <v>0</v>
      </c>
      <c r="S116" s="55" t="n">
        <f aca="false">Q116+R116</f>
        <v>0</v>
      </c>
      <c r="T116" s="55" t="n">
        <f aca="false">ROUND(MAX(0,T115+U115-X115),2)</f>
        <v>0</v>
      </c>
      <c r="U116" s="55" t="n">
        <f aca="false">ROUND(T116*$E$8/12,2)</f>
        <v>0</v>
      </c>
      <c r="V116" s="55" t="n">
        <f aca="false">MIN($F$8,T116+U116)</f>
        <v>0</v>
      </c>
      <c r="W116" s="55" t="n">
        <f aca="false">MAX(0,MIN(T116+U116-V116,$D116-(H116+M116+R116)))</f>
        <v>0</v>
      </c>
      <c r="X116" s="55" t="n">
        <f aca="false">V116+W116</f>
        <v>0</v>
      </c>
      <c r="Y116" s="55" t="n">
        <f aca="false">ROUND(MAX(0,Y115+Z115-AC115),2)</f>
        <v>0</v>
      </c>
      <c r="Z116" s="55" t="n">
        <f aca="false">ROUND(Y116*$E$9/12,2)</f>
        <v>0</v>
      </c>
      <c r="AA116" s="55" t="n">
        <f aca="false">MIN($F$9,Y116+Z116)</f>
        <v>0</v>
      </c>
      <c r="AB116" s="55" t="n">
        <f aca="false">MAX(0,MIN(Y116+Z116-AA116,$D116-(H116+M116+R116+W116)))</f>
        <v>0</v>
      </c>
      <c r="AC116" s="55" t="n">
        <f aca="false">AA116+AB116</f>
        <v>0</v>
      </c>
      <c r="AD116" s="55" t="n">
        <f aca="false">ROUND(MAX(0,AD115+AE115-AH115),2)</f>
        <v>0</v>
      </c>
      <c r="AE116" s="55" t="n">
        <f aca="false">ROUND(AD116*$E$10/12,2)</f>
        <v>0</v>
      </c>
      <c r="AF116" s="55" t="n">
        <f aca="false">MIN($F$10,AD116+AE116)</f>
        <v>0</v>
      </c>
      <c r="AG116" s="55" t="n">
        <f aca="false">MAX(0,MIN(AD116+AE116-AF116,$D116-(H116+M116+R116+W116+AB116)))</f>
        <v>0</v>
      </c>
      <c r="AH116" s="55" t="n">
        <f aca="false">AF116+AG116</f>
        <v>0</v>
      </c>
      <c r="AI116" s="55" t="n">
        <f aca="false">ROUND(MAX(0,AI115+AJ115-AM115),2)</f>
        <v>0</v>
      </c>
      <c r="AJ116" s="55" t="n">
        <f aca="false">ROUND(AI116*$E$11/12,2)</f>
        <v>0</v>
      </c>
      <c r="AK116" s="55" t="n">
        <f aca="false">MIN($F$11,AI116+AJ116)</f>
        <v>0</v>
      </c>
      <c r="AL116" s="55" t="n">
        <f aca="false">MAX(0,MIN(AI116+AJ116-AK116,$D116-(H116+M116+R116+W116+AB116+AG116)))</f>
        <v>0</v>
      </c>
      <c r="AM116" s="55" t="n">
        <f aca="false">AK116+AL116</f>
        <v>0</v>
      </c>
      <c r="AN116" s="55" t="n">
        <f aca="false">ROUND(MAX(0,AN115+AO115-AR115),2)</f>
        <v>0</v>
      </c>
      <c r="AO116" s="55" t="n">
        <f aca="false">ROUND(AN116*$E$12/12,2)</f>
        <v>0</v>
      </c>
      <c r="AP116" s="55" t="n">
        <f aca="false">MIN($F$12,AN116+AO116)</f>
        <v>0</v>
      </c>
      <c r="AQ116" s="55" t="n">
        <f aca="false">MAX(0,MIN(AN116+AO116-AP116,$D116-(H116+M116+R116+W116+AB116+AG116+AL116)))</f>
        <v>0</v>
      </c>
      <c r="AR116" s="55" t="n">
        <f aca="false">AP116+AQ116</f>
        <v>0</v>
      </c>
      <c r="AS116" s="55" t="n">
        <f aca="false">ROUND(MAX(0,AS115+AT115-AW115),2)</f>
        <v>0</v>
      </c>
      <c r="AT116" s="55" t="n">
        <f aca="false">ROUND(AS116*$E$13/12,2)</f>
        <v>0</v>
      </c>
      <c r="AU116" s="55" t="n">
        <f aca="false">MIN($F$13,AS116+AT116)</f>
        <v>0</v>
      </c>
      <c r="AV116" s="55" t="n">
        <f aca="false">MAX(0,MIN(AS116+AT116-AU116,$D116-(H116+M116+R116+W116+AB116+AG116+AL116+AQ116)))</f>
        <v>0</v>
      </c>
      <c r="AW116" s="55" t="n">
        <f aca="false">AU116+AV116</f>
        <v>0</v>
      </c>
      <c r="AX116" s="55" t="n">
        <f aca="false">ROUND(MAX(0,AX115+AY115-BB115),2)</f>
        <v>0</v>
      </c>
      <c r="AY116" s="55" t="n">
        <f aca="false">ROUND(AX116*$E$14/12,2)</f>
        <v>0</v>
      </c>
      <c r="AZ116" s="55" t="n">
        <f aca="false">MIN($F$14,AX116+AY116)</f>
        <v>0</v>
      </c>
      <c r="BA116" s="55" t="n">
        <f aca="false">MAX(0,MIN(AX116+AY116-AZ116,$D116-(H116+M116+R116+W116+AB116+AG116+AL116+AQ116+AV116)))</f>
        <v>0</v>
      </c>
      <c r="BB116" s="55" t="n">
        <f aca="false">AZ116+BA116</f>
        <v>0</v>
      </c>
      <c r="BC116" s="55" t="n">
        <f aca="false">I116+N116+S116+X116+AC116+AH116+AM116+AR116+AW116+BB116</f>
        <v>0</v>
      </c>
      <c r="BD116" s="55" t="n">
        <f aca="false">ROUND((E116+F116-I116)+(J116+K116-N116)+(O116+P116-S116)+(T116+U116-X116)+(Y116+Z116-AC116)+(AD116+AE116-AH116)+(AI116+AJ116-AM116)+(AN116+AO116-AR116)+(AS116+AT116-AW116)+(AX116+AY116-BB116),2)</f>
        <v>0</v>
      </c>
      <c r="BE116" s="25" t="str">
        <f aca="false">IF(H116&gt;0.005,$C$5,IF(M116&gt;0.005,$C$6,IF(R116&gt;0.005,$C$7,IF(W116&gt;0.005,$C$8,IF(AB116&gt;0.005,$C$9,IF(AG116&gt;0.005,$C$10,IF(AL116&gt;0.005,$C$11,IF(AQ116&gt;0.005,$C$12,IF(AV116&gt;0.005,$C$13,IF(BA116&gt;0.005,$C$14,""))))))))))</f>
        <v/>
      </c>
    </row>
    <row r="117" customFormat="false" ht="15" hidden="false" customHeight="false" outlineLevel="0" collapsed="false">
      <c r="A117" s="24" t="n">
        <v>94</v>
      </c>
      <c r="B117" s="54" t="n">
        <f aca="false">EDATE($C$17,A117-1)</f>
        <v>49157</v>
      </c>
      <c r="C117" s="55" t="n">
        <f aca="false">G117+L117+Q117+V117+AA117+AF117+AK117+AP117+AU117+AZ117</f>
        <v>0</v>
      </c>
      <c r="D117" s="55" t="n">
        <f aca="false">MAX(0,$C$16-C117)</f>
        <v>5822</v>
      </c>
      <c r="E117" s="55" t="n">
        <f aca="false">ROUND(MAX(0,E116+F116-I116),2)</f>
        <v>0</v>
      </c>
      <c r="F117" s="55" t="n">
        <f aca="false">ROUND(E117*$E$5/12,2)</f>
        <v>0</v>
      </c>
      <c r="G117" s="55" t="n">
        <f aca="false">MIN($F$5,E117+F117)</f>
        <v>0</v>
      </c>
      <c r="H117" s="55" t="n">
        <f aca="false">MAX(0,MIN(E117+F117-G117,$D117))</f>
        <v>0</v>
      </c>
      <c r="I117" s="55" t="n">
        <f aca="false">G117+H117</f>
        <v>0</v>
      </c>
      <c r="J117" s="55" t="n">
        <f aca="false">ROUND(MAX(0,J116+K116-N116),2)</f>
        <v>0</v>
      </c>
      <c r="K117" s="55" t="n">
        <f aca="false">ROUND(J117*$E$6/12,2)</f>
        <v>0</v>
      </c>
      <c r="L117" s="55" t="n">
        <f aca="false">MIN($F$6,J117+K117)</f>
        <v>0</v>
      </c>
      <c r="M117" s="55" t="n">
        <f aca="false">MAX(0,MIN(J117+K117-L117,$D117-(H117)))</f>
        <v>0</v>
      </c>
      <c r="N117" s="55" t="n">
        <f aca="false">L117+M117</f>
        <v>0</v>
      </c>
      <c r="O117" s="55" t="n">
        <f aca="false">ROUND(MAX(0,O116+P116-S116),2)</f>
        <v>0</v>
      </c>
      <c r="P117" s="55" t="n">
        <f aca="false">ROUND(O117*$E$7/12,2)</f>
        <v>0</v>
      </c>
      <c r="Q117" s="55" t="n">
        <f aca="false">MIN($F$7,O117+P117)</f>
        <v>0</v>
      </c>
      <c r="R117" s="55" t="n">
        <f aca="false">MAX(0,MIN(O117+P117-Q117,$D117-(H117+M117)))</f>
        <v>0</v>
      </c>
      <c r="S117" s="55" t="n">
        <f aca="false">Q117+R117</f>
        <v>0</v>
      </c>
      <c r="T117" s="55" t="n">
        <f aca="false">ROUND(MAX(0,T116+U116-X116),2)</f>
        <v>0</v>
      </c>
      <c r="U117" s="55" t="n">
        <f aca="false">ROUND(T117*$E$8/12,2)</f>
        <v>0</v>
      </c>
      <c r="V117" s="55" t="n">
        <f aca="false">MIN($F$8,T117+U117)</f>
        <v>0</v>
      </c>
      <c r="W117" s="55" t="n">
        <f aca="false">MAX(0,MIN(T117+U117-V117,$D117-(H117+M117+R117)))</f>
        <v>0</v>
      </c>
      <c r="X117" s="55" t="n">
        <f aca="false">V117+W117</f>
        <v>0</v>
      </c>
      <c r="Y117" s="55" t="n">
        <f aca="false">ROUND(MAX(0,Y116+Z116-AC116),2)</f>
        <v>0</v>
      </c>
      <c r="Z117" s="55" t="n">
        <f aca="false">ROUND(Y117*$E$9/12,2)</f>
        <v>0</v>
      </c>
      <c r="AA117" s="55" t="n">
        <f aca="false">MIN($F$9,Y117+Z117)</f>
        <v>0</v>
      </c>
      <c r="AB117" s="55" t="n">
        <f aca="false">MAX(0,MIN(Y117+Z117-AA117,$D117-(H117+M117+R117+W117)))</f>
        <v>0</v>
      </c>
      <c r="AC117" s="55" t="n">
        <f aca="false">AA117+AB117</f>
        <v>0</v>
      </c>
      <c r="AD117" s="55" t="n">
        <f aca="false">ROUND(MAX(0,AD116+AE116-AH116),2)</f>
        <v>0</v>
      </c>
      <c r="AE117" s="55" t="n">
        <f aca="false">ROUND(AD117*$E$10/12,2)</f>
        <v>0</v>
      </c>
      <c r="AF117" s="55" t="n">
        <f aca="false">MIN($F$10,AD117+AE117)</f>
        <v>0</v>
      </c>
      <c r="AG117" s="55" t="n">
        <f aca="false">MAX(0,MIN(AD117+AE117-AF117,$D117-(H117+M117+R117+W117+AB117)))</f>
        <v>0</v>
      </c>
      <c r="AH117" s="55" t="n">
        <f aca="false">AF117+AG117</f>
        <v>0</v>
      </c>
      <c r="AI117" s="55" t="n">
        <f aca="false">ROUND(MAX(0,AI116+AJ116-AM116),2)</f>
        <v>0</v>
      </c>
      <c r="AJ117" s="55" t="n">
        <f aca="false">ROUND(AI117*$E$11/12,2)</f>
        <v>0</v>
      </c>
      <c r="AK117" s="55" t="n">
        <f aca="false">MIN($F$11,AI117+AJ117)</f>
        <v>0</v>
      </c>
      <c r="AL117" s="55" t="n">
        <f aca="false">MAX(0,MIN(AI117+AJ117-AK117,$D117-(H117+M117+R117+W117+AB117+AG117)))</f>
        <v>0</v>
      </c>
      <c r="AM117" s="55" t="n">
        <f aca="false">AK117+AL117</f>
        <v>0</v>
      </c>
      <c r="AN117" s="55" t="n">
        <f aca="false">ROUND(MAX(0,AN116+AO116-AR116),2)</f>
        <v>0</v>
      </c>
      <c r="AO117" s="55" t="n">
        <f aca="false">ROUND(AN117*$E$12/12,2)</f>
        <v>0</v>
      </c>
      <c r="AP117" s="55" t="n">
        <f aca="false">MIN($F$12,AN117+AO117)</f>
        <v>0</v>
      </c>
      <c r="AQ117" s="55" t="n">
        <f aca="false">MAX(0,MIN(AN117+AO117-AP117,$D117-(H117+M117+R117+W117+AB117+AG117+AL117)))</f>
        <v>0</v>
      </c>
      <c r="AR117" s="55" t="n">
        <f aca="false">AP117+AQ117</f>
        <v>0</v>
      </c>
      <c r="AS117" s="55" t="n">
        <f aca="false">ROUND(MAX(0,AS116+AT116-AW116),2)</f>
        <v>0</v>
      </c>
      <c r="AT117" s="55" t="n">
        <f aca="false">ROUND(AS117*$E$13/12,2)</f>
        <v>0</v>
      </c>
      <c r="AU117" s="55" t="n">
        <f aca="false">MIN($F$13,AS117+AT117)</f>
        <v>0</v>
      </c>
      <c r="AV117" s="55" t="n">
        <f aca="false">MAX(0,MIN(AS117+AT117-AU117,$D117-(H117+M117+R117+W117+AB117+AG117+AL117+AQ117)))</f>
        <v>0</v>
      </c>
      <c r="AW117" s="55" t="n">
        <f aca="false">AU117+AV117</f>
        <v>0</v>
      </c>
      <c r="AX117" s="55" t="n">
        <f aca="false">ROUND(MAX(0,AX116+AY116-BB116),2)</f>
        <v>0</v>
      </c>
      <c r="AY117" s="55" t="n">
        <f aca="false">ROUND(AX117*$E$14/12,2)</f>
        <v>0</v>
      </c>
      <c r="AZ117" s="55" t="n">
        <f aca="false">MIN($F$14,AX117+AY117)</f>
        <v>0</v>
      </c>
      <c r="BA117" s="55" t="n">
        <f aca="false">MAX(0,MIN(AX117+AY117-AZ117,$D117-(H117+M117+R117+W117+AB117+AG117+AL117+AQ117+AV117)))</f>
        <v>0</v>
      </c>
      <c r="BB117" s="55" t="n">
        <f aca="false">AZ117+BA117</f>
        <v>0</v>
      </c>
      <c r="BC117" s="55" t="n">
        <f aca="false">I117+N117+S117+X117+AC117+AH117+AM117+AR117+AW117+BB117</f>
        <v>0</v>
      </c>
      <c r="BD117" s="55" t="n">
        <f aca="false">ROUND((E117+F117-I117)+(J117+K117-N117)+(O117+P117-S117)+(T117+U117-X117)+(Y117+Z117-AC117)+(AD117+AE117-AH117)+(AI117+AJ117-AM117)+(AN117+AO117-AR117)+(AS117+AT117-AW117)+(AX117+AY117-BB117),2)</f>
        <v>0</v>
      </c>
      <c r="BE117" s="25" t="str">
        <f aca="false">IF(H117&gt;0.005,$C$5,IF(M117&gt;0.005,$C$6,IF(R117&gt;0.005,$C$7,IF(W117&gt;0.005,$C$8,IF(AB117&gt;0.005,$C$9,IF(AG117&gt;0.005,$C$10,IF(AL117&gt;0.005,$C$11,IF(AQ117&gt;0.005,$C$12,IF(AV117&gt;0.005,$C$13,IF(BA117&gt;0.005,$C$14,""))))))))))</f>
        <v/>
      </c>
    </row>
    <row r="118" customFormat="false" ht="15" hidden="false" customHeight="false" outlineLevel="0" collapsed="false">
      <c r="A118" s="24" t="n">
        <v>95</v>
      </c>
      <c r="B118" s="54" t="n">
        <f aca="false">EDATE($C$17,A118-1)</f>
        <v>49188</v>
      </c>
      <c r="C118" s="55" t="n">
        <f aca="false">G118+L118+Q118+V118+AA118+AF118+AK118+AP118+AU118+AZ118</f>
        <v>0</v>
      </c>
      <c r="D118" s="55" t="n">
        <f aca="false">MAX(0,$C$16-C118)</f>
        <v>5822</v>
      </c>
      <c r="E118" s="55" t="n">
        <f aca="false">ROUND(MAX(0,E117+F117-I117),2)</f>
        <v>0</v>
      </c>
      <c r="F118" s="55" t="n">
        <f aca="false">ROUND(E118*$E$5/12,2)</f>
        <v>0</v>
      </c>
      <c r="G118" s="55" t="n">
        <f aca="false">MIN($F$5,E118+F118)</f>
        <v>0</v>
      </c>
      <c r="H118" s="55" t="n">
        <f aca="false">MAX(0,MIN(E118+F118-G118,$D118))</f>
        <v>0</v>
      </c>
      <c r="I118" s="55" t="n">
        <f aca="false">G118+H118</f>
        <v>0</v>
      </c>
      <c r="J118" s="55" t="n">
        <f aca="false">ROUND(MAX(0,J117+K117-N117),2)</f>
        <v>0</v>
      </c>
      <c r="K118" s="55" t="n">
        <f aca="false">ROUND(J118*$E$6/12,2)</f>
        <v>0</v>
      </c>
      <c r="L118" s="55" t="n">
        <f aca="false">MIN($F$6,J118+K118)</f>
        <v>0</v>
      </c>
      <c r="M118" s="55" t="n">
        <f aca="false">MAX(0,MIN(J118+K118-L118,$D118-(H118)))</f>
        <v>0</v>
      </c>
      <c r="N118" s="55" t="n">
        <f aca="false">L118+M118</f>
        <v>0</v>
      </c>
      <c r="O118" s="55" t="n">
        <f aca="false">ROUND(MAX(0,O117+P117-S117),2)</f>
        <v>0</v>
      </c>
      <c r="P118" s="55" t="n">
        <f aca="false">ROUND(O118*$E$7/12,2)</f>
        <v>0</v>
      </c>
      <c r="Q118" s="55" t="n">
        <f aca="false">MIN($F$7,O118+P118)</f>
        <v>0</v>
      </c>
      <c r="R118" s="55" t="n">
        <f aca="false">MAX(0,MIN(O118+P118-Q118,$D118-(H118+M118)))</f>
        <v>0</v>
      </c>
      <c r="S118" s="55" t="n">
        <f aca="false">Q118+R118</f>
        <v>0</v>
      </c>
      <c r="T118" s="55" t="n">
        <f aca="false">ROUND(MAX(0,T117+U117-X117),2)</f>
        <v>0</v>
      </c>
      <c r="U118" s="55" t="n">
        <f aca="false">ROUND(T118*$E$8/12,2)</f>
        <v>0</v>
      </c>
      <c r="V118" s="55" t="n">
        <f aca="false">MIN($F$8,T118+U118)</f>
        <v>0</v>
      </c>
      <c r="W118" s="55" t="n">
        <f aca="false">MAX(0,MIN(T118+U118-V118,$D118-(H118+M118+R118)))</f>
        <v>0</v>
      </c>
      <c r="X118" s="55" t="n">
        <f aca="false">V118+W118</f>
        <v>0</v>
      </c>
      <c r="Y118" s="55" t="n">
        <f aca="false">ROUND(MAX(0,Y117+Z117-AC117),2)</f>
        <v>0</v>
      </c>
      <c r="Z118" s="55" t="n">
        <f aca="false">ROUND(Y118*$E$9/12,2)</f>
        <v>0</v>
      </c>
      <c r="AA118" s="55" t="n">
        <f aca="false">MIN($F$9,Y118+Z118)</f>
        <v>0</v>
      </c>
      <c r="AB118" s="55" t="n">
        <f aca="false">MAX(0,MIN(Y118+Z118-AA118,$D118-(H118+M118+R118+W118)))</f>
        <v>0</v>
      </c>
      <c r="AC118" s="55" t="n">
        <f aca="false">AA118+AB118</f>
        <v>0</v>
      </c>
      <c r="AD118" s="55" t="n">
        <f aca="false">ROUND(MAX(0,AD117+AE117-AH117),2)</f>
        <v>0</v>
      </c>
      <c r="AE118" s="55" t="n">
        <f aca="false">ROUND(AD118*$E$10/12,2)</f>
        <v>0</v>
      </c>
      <c r="AF118" s="55" t="n">
        <f aca="false">MIN($F$10,AD118+AE118)</f>
        <v>0</v>
      </c>
      <c r="AG118" s="55" t="n">
        <f aca="false">MAX(0,MIN(AD118+AE118-AF118,$D118-(H118+M118+R118+W118+AB118)))</f>
        <v>0</v>
      </c>
      <c r="AH118" s="55" t="n">
        <f aca="false">AF118+AG118</f>
        <v>0</v>
      </c>
      <c r="AI118" s="55" t="n">
        <f aca="false">ROUND(MAX(0,AI117+AJ117-AM117),2)</f>
        <v>0</v>
      </c>
      <c r="AJ118" s="55" t="n">
        <f aca="false">ROUND(AI118*$E$11/12,2)</f>
        <v>0</v>
      </c>
      <c r="AK118" s="55" t="n">
        <f aca="false">MIN($F$11,AI118+AJ118)</f>
        <v>0</v>
      </c>
      <c r="AL118" s="55" t="n">
        <f aca="false">MAX(0,MIN(AI118+AJ118-AK118,$D118-(H118+M118+R118+W118+AB118+AG118)))</f>
        <v>0</v>
      </c>
      <c r="AM118" s="55" t="n">
        <f aca="false">AK118+AL118</f>
        <v>0</v>
      </c>
      <c r="AN118" s="55" t="n">
        <f aca="false">ROUND(MAX(0,AN117+AO117-AR117),2)</f>
        <v>0</v>
      </c>
      <c r="AO118" s="55" t="n">
        <f aca="false">ROUND(AN118*$E$12/12,2)</f>
        <v>0</v>
      </c>
      <c r="AP118" s="55" t="n">
        <f aca="false">MIN($F$12,AN118+AO118)</f>
        <v>0</v>
      </c>
      <c r="AQ118" s="55" t="n">
        <f aca="false">MAX(0,MIN(AN118+AO118-AP118,$D118-(H118+M118+R118+W118+AB118+AG118+AL118)))</f>
        <v>0</v>
      </c>
      <c r="AR118" s="55" t="n">
        <f aca="false">AP118+AQ118</f>
        <v>0</v>
      </c>
      <c r="AS118" s="55" t="n">
        <f aca="false">ROUND(MAX(0,AS117+AT117-AW117),2)</f>
        <v>0</v>
      </c>
      <c r="AT118" s="55" t="n">
        <f aca="false">ROUND(AS118*$E$13/12,2)</f>
        <v>0</v>
      </c>
      <c r="AU118" s="55" t="n">
        <f aca="false">MIN($F$13,AS118+AT118)</f>
        <v>0</v>
      </c>
      <c r="AV118" s="55" t="n">
        <f aca="false">MAX(0,MIN(AS118+AT118-AU118,$D118-(H118+M118+R118+W118+AB118+AG118+AL118+AQ118)))</f>
        <v>0</v>
      </c>
      <c r="AW118" s="55" t="n">
        <f aca="false">AU118+AV118</f>
        <v>0</v>
      </c>
      <c r="AX118" s="55" t="n">
        <f aca="false">ROUND(MAX(0,AX117+AY117-BB117),2)</f>
        <v>0</v>
      </c>
      <c r="AY118" s="55" t="n">
        <f aca="false">ROUND(AX118*$E$14/12,2)</f>
        <v>0</v>
      </c>
      <c r="AZ118" s="55" t="n">
        <f aca="false">MIN($F$14,AX118+AY118)</f>
        <v>0</v>
      </c>
      <c r="BA118" s="55" t="n">
        <f aca="false">MAX(0,MIN(AX118+AY118-AZ118,$D118-(H118+M118+R118+W118+AB118+AG118+AL118+AQ118+AV118)))</f>
        <v>0</v>
      </c>
      <c r="BB118" s="55" t="n">
        <f aca="false">AZ118+BA118</f>
        <v>0</v>
      </c>
      <c r="BC118" s="55" t="n">
        <f aca="false">I118+N118+S118+X118+AC118+AH118+AM118+AR118+AW118+BB118</f>
        <v>0</v>
      </c>
      <c r="BD118" s="55" t="n">
        <f aca="false">ROUND((E118+F118-I118)+(J118+K118-N118)+(O118+P118-S118)+(T118+U118-X118)+(Y118+Z118-AC118)+(AD118+AE118-AH118)+(AI118+AJ118-AM118)+(AN118+AO118-AR118)+(AS118+AT118-AW118)+(AX118+AY118-BB118),2)</f>
        <v>0</v>
      </c>
      <c r="BE118" s="25" t="str">
        <f aca="false">IF(H118&gt;0.005,$C$5,IF(M118&gt;0.005,$C$6,IF(R118&gt;0.005,$C$7,IF(W118&gt;0.005,$C$8,IF(AB118&gt;0.005,$C$9,IF(AG118&gt;0.005,$C$10,IF(AL118&gt;0.005,$C$11,IF(AQ118&gt;0.005,$C$12,IF(AV118&gt;0.005,$C$13,IF(BA118&gt;0.005,$C$14,""))))))))))</f>
        <v/>
      </c>
    </row>
    <row r="119" customFormat="false" ht="15" hidden="false" customHeight="false" outlineLevel="0" collapsed="false">
      <c r="A119" s="24" t="n">
        <v>96</v>
      </c>
      <c r="B119" s="54" t="n">
        <f aca="false">EDATE($C$17,A119-1)</f>
        <v>49218</v>
      </c>
      <c r="C119" s="55" t="n">
        <f aca="false">G119+L119+Q119+V119+AA119+AF119+AK119+AP119+AU119+AZ119</f>
        <v>0</v>
      </c>
      <c r="D119" s="55" t="n">
        <f aca="false">MAX(0,$C$16-C119)</f>
        <v>5822</v>
      </c>
      <c r="E119" s="55" t="n">
        <f aca="false">ROUND(MAX(0,E118+F118-I118),2)</f>
        <v>0</v>
      </c>
      <c r="F119" s="55" t="n">
        <f aca="false">ROUND(E119*$E$5/12,2)</f>
        <v>0</v>
      </c>
      <c r="G119" s="55" t="n">
        <f aca="false">MIN($F$5,E119+F119)</f>
        <v>0</v>
      </c>
      <c r="H119" s="55" t="n">
        <f aca="false">MAX(0,MIN(E119+F119-G119,$D119))</f>
        <v>0</v>
      </c>
      <c r="I119" s="55" t="n">
        <f aca="false">G119+H119</f>
        <v>0</v>
      </c>
      <c r="J119" s="55" t="n">
        <f aca="false">ROUND(MAX(0,J118+K118-N118),2)</f>
        <v>0</v>
      </c>
      <c r="K119" s="55" t="n">
        <f aca="false">ROUND(J119*$E$6/12,2)</f>
        <v>0</v>
      </c>
      <c r="L119" s="55" t="n">
        <f aca="false">MIN($F$6,J119+K119)</f>
        <v>0</v>
      </c>
      <c r="M119" s="55" t="n">
        <f aca="false">MAX(0,MIN(J119+K119-L119,$D119-(H119)))</f>
        <v>0</v>
      </c>
      <c r="N119" s="55" t="n">
        <f aca="false">L119+M119</f>
        <v>0</v>
      </c>
      <c r="O119" s="55" t="n">
        <f aca="false">ROUND(MAX(0,O118+P118-S118),2)</f>
        <v>0</v>
      </c>
      <c r="P119" s="55" t="n">
        <f aca="false">ROUND(O119*$E$7/12,2)</f>
        <v>0</v>
      </c>
      <c r="Q119" s="55" t="n">
        <f aca="false">MIN($F$7,O119+P119)</f>
        <v>0</v>
      </c>
      <c r="R119" s="55" t="n">
        <f aca="false">MAX(0,MIN(O119+P119-Q119,$D119-(H119+M119)))</f>
        <v>0</v>
      </c>
      <c r="S119" s="55" t="n">
        <f aca="false">Q119+R119</f>
        <v>0</v>
      </c>
      <c r="T119" s="55" t="n">
        <f aca="false">ROUND(MAX(0,T118+U118-X118),2)</f>
        <v>0</v>
      </c>
      <c r="U119" s="55" t="n">
        <f aca="false">ROUND(T119*$E$8/12,2)</f>
        <v>0</v>
      </c>
      <c r="V119" s="55" t="n">
        <f aca="false">MIN($F$8,T119+U119)</f>
        <v>0</v>
      </c>
      <c r="W119" s="55" t="n">
        <f aca="false">MAX(0,MIN(T119+U119-V119,$D119-(H119+M119+R119)))</f>
        <v>0</v>
      </c>
      <c r="X119" s="55" t="n">
        <f aca="false">V119+W119</f>
        <v>0</v>
      </c>
      <c r="Y119" s="55" t="n">
        <f aca="false">ROUND(MAX(0,Y118+Z118-AC118),2)</f>
        <v>0</v>
      </c>
      <c r="Z119" s="55" t="n">
        <f aca="false">ROUND(Y119*$E$9/12,2)</f>
        <v>0</v>
      </c>
      <c r="AA119" s="55" t="n">
        <f aca="false">MIN($F$9,Y119+Z119)</f>
        <v>0</v>
      </c>
      <c r="AB119" s="55" t="n">
        <f aca="false">MAX(0,MIN(Y119+Z119-AA119,$D119-(H119+M119+R119+W119)))</f>
        <v>0</v>
      </c>
      <c r="AC119" s="55" t="n">
        <f aca="false">AA119+AB119</f>
        <v>0</v>
      </c>
      <c r="AD119" s="55" t="n">
        <f aca="false">ROUND(MAX(0,AD118+AE118-AH118),2)</f>
        <v>0</v>
      </c>
      <c r="AE119" s="55" t="n">
        <f aca="false">ROUND(AD119*$E$10/12,2)</f>
        <v>0</v>
      </c>
      <c r="AF119" s="55" t="n">
        <f aca="false">MIN($F$10,AD119+AE119)</f>
        <v>0</v>
      </c>
      <c r="AG119" s="55" t="n">
        <f aca="false">MAX(0,MIN(AD119+AE119-AF119,$D119-(H119+M119+R119+W119+AB119)))</f>
        <v>0</v>
      </c>
      <c r="AH119" s="55" t="n">
        <f aca="false">AF119+AG119</f>
        <v>0</v>
      </c>
      <c r="AI119" s="55" t="n">
        <f aca="false">ROUND(MAX(0,AI118+AJ118-AM118),2)</f>
        <v>0</v>
      </c>
      <c r="AJ119" s="55" t="n">
        <f aca="false">ROUND(AI119*$E$11/12,2)</f>
        <v>0</v>
      </c>
      <c r="AK119" s="55" t="n">
        <f aca="false">MIN($F$11,AI119+AJ119)</f>
        <v>0</v>
      </c>
      <c r="AL119" s="55" t="n">
        <f aca="false">MAX(0,MIN(AI119+AJ119-AK119,$D119-(H119+M119+R119+W119+AB119+AG119)))</f>
        <v>0</v>
      </c>
      <c r="AM119" s="55" t="n">
        <f aca="false">AK119+AL119</f>
        <v>0</v>
      </c>
      <c r="AN119" s="55" t="n">
        <f aca="false">ROUND(MAX(0,AN118+AO118-AR118),2)</f>
        <v>0</v>
      </c>
      <c r="AO119" s="55" t="n">
        <f aca="false">ROUND(AN119*$E$12/12,2)</f>
        <v>0</v>
      </c>
      <c r="AP119" s="55" t="n">
        <f aca="false">MIN($F$12,AN119+AO119)</f>
        <v>0</v>
      </c>
      <c r="AQ119" s="55" t="n">
        <f aca="false">MAX(0,MIN(AN119+AO119-AP119,$D119-(H119+M119+R119+W119+AB119+AG119+AL119)))</f>
        <v>0</v>
      </c>
      <c r="AR119" s="55" t="n">
        <f aca="false">AP119+AQ119</f>
        <v>0</v>
      </c>
      <c r="AS119" s="55" t="n">
        <f aca="false">ROUND(MAX(0,AS118+AT118-AW118),2)</f>
        <v>0</v>
      </c>
      <c r="AT119" s="55" t="n">
        <f aca="false">ROUND(AS119*$E$13/12,2)</f>
        <v>0</v>
      </c>
      <c r="AU119" s="55" t="n">
        <f aca="false">MIN($F$13,AS119+AT119)</f>
        <v>0</v>
      </c>
      <c r="AV119" s="55" t="n">
        <f aca="false">MAX(0,MIN(AS119+AT119-AU119,$D119-(H119+M119+R119+W119+AB119+AG119+AL119+AQ119)))</f>
        <v>0</v>
      </c>
      <c r="AW119" s="55" t="n">
        <f aca="false">AU119+AV119</f>
        <v>0</v>
      </c>
      <c r="AX119" s="55" t="n">
        <f aca="false">ROUND(MAX(0,AX118+AY118-BB118),2)</f>
        <v>0</v>
      </c>
      <c r="AY119" s="55" t="n">
        <f aca="false">ROUND(AX119*$E$14/12,2)</f>
        <v>0</v>
      </c>
      <c r="AZ119" s="55" t="n">
        <f aca="false">MIN($F$14,AX119+AY119)</f>
        <v>0</v>
      </c>
      <c r="BA119" s="55" t="n">
        <f aca="false">MAX(0,MIN(AX119+AY119-AZ119,$D119-(H119+M119+R119+W119+AB119+AG119+AL119+AQ119+AV119)))</f>
        <v>0</v>
      </c>
      <c r="BB119" s="55" t="n">
        <f aca="false">AZ119+BA119</f>
        <v>0</v>
      </c>
      <c r="BC119" s="55" t="n">
        <f aca="false">I119+N119+S119+X119+AC119+AH119+AM119+AR119+AW119+BB119</f>
        <v>0</v>
      </c>
      <c r="BD119" s="55" t="n">
        <f aca="false">ROUND((E119+F119-I119)+(J119+K119-N119)+(O119+P119-S119)+(T119+U119-X119)+(Y119+Z119-AC119)+(AD119+AE119-AH119)+(AI119+AJ119-AM119)+(AN119+AO119-AR119)+(AS119+AT119-AW119)+(AX119+AY119-BB119),2)</f>
        <v>0</v>
      </c>
      <c r="BE119" s="25" t="str">
        <f aca="false">IF(H119&gt;0.005,$C$5,IF(M119&gt;0.005,$C$6,IF(R119&gt;0.005,$C$7,IF(W119&gt;0.005,$C$8,IF(AB119&gt;0.005,$C$9,IF(AG119&gt;0.005,$C$10,IF(AL119&gt;0.005,$C$11,IF(AQ119&gt;0.005,$C$12,IF(AV119&gt;0.005,$C$13,IF(BA119&gt;0.005,$C$14,""))))))))))</f>
        <v/>
      </c>
    </row>
    <row r="120" customFormat="false" ht="15" hidden="false" customHeight="false" outlineLevel="0" collapsed="false">
      <c r="A120" s="24" t="n">
        <v>97</v>
      </c>
      <c r="B120" s="54" t="n">
        <f aca="false">EDATE($C$17,A120-1)</f>
        <v>49249</v>
      </c>
      <c r="C120" s="55" t="n">
        <f aca="false">G120+L120+Q120+V120+AA120+AF120+AK120+AP120+AU120+AZ120</f>
        <v>0</v>
      </c>
      <c r="D120" s="55" t="n">
        <f aca="false">MAX(0,$C$16-C120)</f>
        <v>5822</v>
      </c>
      <c r="E120" s="55" t="n">
        <f aca="false">ROUND(MAX(0,E119+F119-I119),2)</f>
        <v>0</v>
      </c>
      <c r="F120" s="55" t="n">
        <f aca="false">ROUND(E120*$E$5/12,2)</f>
        <v>0</v>
      </c>
      <c r="G120" s="55" t="n">
        <f aca="false">MIN($F$5,E120+F120)</f>
        <v>0</v>
      </c>
      <c r="H120" s="55" t="n">
        <f aca="false">MAX(0,MIN(E120+F120-G120,$D120))</f>
        <v>0</v>
      </c>
      <c r="I120" s="55" t="n">
        <f aca="false">G120+H120</f>
        <v>0</v>
      </c>
      <c r="J120" s="55" t="n">
        <f aca="false">ROUND(MAX(0,J119+K119-N119),2)</f>
        <v>0</v>
      </c>
      <c r="K120" s="55" t="n">
        <f aca="false">ROUND(J120*$E$6/12,2)</f>
        <v>0</v>
      </c>
      <c r="L120" s="55" t="n">
        <f aca="false">MIN($F$6,J120+K120)</f>
        <v>0</v>
      </c>
      <c r="M120" s="55" t="n">
        <f aca="false">MAX(0,MIN(J120+K120-L120,$D120-(H120)))</f>
        <v>0</v>
      </c>
      <c r="N120" s="55" t="n">
        <f aca="false">L120+M120</f>
        <v>0</v>
      </c>
      <c r="O120" s="55" t="n">
        <f aca="false">ROUND(MAX(0,O119+P119-S119),2)</f>
        <v>0</v>
      </c>
      <c r="P120" s="55" t="n">
        <f aca="false">ROUND(O120*$E$7/12,2)</f>
        <v>0</v>
      </c>
      <c r="Q120" s="55" t="n">
        <f aca="false">MIN($F$7,O120+P120)</f>
        <v>0</v>
      </c>
      <c r="R120" s="55" t="n">
        <f aca="false">MAX(0,MIN(O120+P120-Q120,$D120-(H120+M120)))</f>
        <v>0</v>
      </c>
      <c r="S120" s="55" t="n">
        <f aca="false">Q120+R120</f>
        <v>0</v>
      </c>
      <c r="T120" s="55" t="n">
        <f aca="false">ROUND(MAX(0,T119+U119-X119),2)</f>
        <v>0</v>
      </c>
      <c r="U120" s="55" t="n">
        <f aca="false">ROUND(T120*$E$8/12,2)</f>
        <v>0</v>
      </c>
      <c r="V120" s="55" t="n">
        <f aca="false">MIN($F$8,T120+U120)</f>
        <v>0</v>
      </c>
      <c r="W120" s="55" t="n">
        <f aca="false">MAX(0,MIN(T120+U120-V120,$D120-(H120+M120+R120)))</f>
        <v>0</v>
      </c>
      <c r="X120" s="55" t="n">
        <f aca="false">V120+W120</f>
        <v>0</v>
      </c>
      <c r="Y120" s="55" t="n">
        <f aca="false">ROUND(MAX(0,Y119+Z119-AC119),2)</f>
        <v>0</v>
      </c>
      <c r="Z120" s="55" t="n">
        <f aca="false">ROUND(Y120*$E$9/12,2)</f>
        <v>0</v>
      </c>
      <c r="AA120" s="55" t="n">
        <f aca="false">MIN($F$9,Y120+Z120)</f>
        <v>0</v>
      </c>
      <c r="AB120" s="55" t="n">
        <f aca="false">MAX(0,MIN(Y120+Z120-AA120,$D120-(H120+M120+R120+W120)))</f>
        <v>0</v>
      </c>
      <c r="AC120" s="55" t="n">
        <f aca="false">AA120+AB120</f>
        <v>0</v>
      </c>
      <c r="AD120" s="55" t="n">
        <f aca="false">ROUND(MAX(0,AD119+AE119-AH119),2)</f>
        <v>0</v>
      </c>
      <c r="AE120" s="55" t="n">
        <f aca="false">ROUND(AD120*$E$10/12,2)</f>
        <v>0</v>
      </c>
      <c r="AF120" s="55" t="n">
        <f aca="false">MIN($F$10,AD120+AE120)</f>
        <v>0</v>
      </c>
      <c r="AG120" s="55" t="n">
        <f aca="false">MAX(0,MIN(AD120+AE120-AF120,$D120-(H120+M120+R120+W120+AB120)))</f>
        <v>0</v>
      </c>
      <c r="AH120" s="55" t="n">
        <f aca="false">AF120+AG120</f>
        <v>0</v>
      </c>
      <c r="AI120" s="55" t="n">
        <f aca="false">ROUND(MAX(0,AI119+AJ119-AM119),2)</f>
        <v>0</v>
      </c>
      <c r="AJ120" s="55" t="n">
        <f aca="false">ROUND(AI120*$E$11/12,2)</f>
        <v>0</v>
      </c>
      <c r="AK120" s="55" t="n">
        <f aca="false">MIN($F$11,AI120+AJ120)</f>
        <v>0</v>
      </c>
      <c r="AL120" s="55" t="n">
        <f aca="false">MAX(0,MIN(AI120+AJ120-AK120,$D120-(H120+M120+R120+W120+AB120+AG120)))</f>
        <v>0</v>
      </c>
      <c r="AM120" s="55" t="n">
        <f aca="false">AK120+AL120</f>
        <v>0</v>
      </c>
      <c r="AN120" s="55" t="n">
        <f aca="false">ROUND(MAX(0,AN119+AO119-AR119),2)</f>
        <v>0</v>
      </c>
      <c r="AO120" s="55" t="n">
        <f aca="false">ROUND(AN120*$E$12/12,2)</f>
        <v>0</v>
      </c>
      <c r="AP120" s="55" t="n">
        <f aca="false">MIN($F$12,AN120+AO120)</f>
        <v>0</v>
      </c>
      <c r="AQ120" s="55" t="n">
        <f aca="false">MAX(0,MIN(AN120+AO120-AP120,$D120-(H120+M120+R120+W120+AB120+AG120+AL120)))</f>
        <v>0</v>
      </c>
      <c r="AR120" s="55" t="n">
        <f aca="false">AP120+AQ120</f>
        <v>0</v>
      </c>
      <c r="AS120" s="55" t="n">
        <f aca="false">ROUND(MAX(0,AS119+AT119-AW119),2)</f>
        <v>0</v>
      </c>
      <c r="AT120" s="55" t="n">
        <f aca="false">ROUND(AS120*$E$13/12,2)</f>
        <v>0</v>
      </c>
      <c r="AU120" s="55" t="n">
        <f aca="false">MIN($F$13,AS120+AT120)</f>
        <v>0</v>
      </c>
      <c r="AV120" s="55" t="n">
        <f aca="false">MAX(0,MIN(AS120+AT120-AU120,$D120-(H120+M120+R120+W120+AB120+AG120+AL120+AQ120)))</f>
        <v>0</v>
      </c>
      <c r="AW120" s="55" t="n">
        <f aca="false">AU120+AV120</f>
        <v>0</v>
      </c>
      <c r="AX120" s="55" t="n">
        <f aca="false">ROUND(MAX(0,AX119+AY119-BB119),2)</f>
        <v>0</v>
      </c>
      <c r="AY120" s="55" t="n">
        <f aca="false">ROUND(AX120*$E$14/12,2)</f>
        <v>0</v>
      </c>
      <c r="AZ120" s="55" t="n">
        <f aca="false">MIN($F$14,AX120+AY120)</f>
        <v>0</v>
      </c>
      <c r="BA120" s="55" t="n">
        <f aca="false">MAX(0,MIN(AX120+AY120-AZ120,$D120-(H120+M120+R120+W120+AB120+AG120+AL120+AQ120+AV120)))</f>
        <v>0</v>
      </c>
      <c r="BB120" s="55" t="n">
        <f aca="false">AZ120+BA120</f>
        <v>0</v>
      </c>
      <c r="BC120" s="55" t="n">
        <f aca="false">I120+N120+S120+X120+AC120+AH120+AM120+AR120+AW120+BB120</f>
        <v>0</v>
      </c>
      <c r="BD120" s="55" t="n">
        <f aca="false">ROUND((E120+F120-I120)+(J120+K120-N120)+(O120+P120-S120)+(T120+U120-X120)+(Y120+Z120-AC120)+(AD120+AE120-AH120)+(AI120+AJ120-AM120)+(AN120+AO120-AR120)+(AS120+AT120-AW120)+(AX120+AY120-BB120),2)</f>
        <v>0</v>
      </c>
      <c r="BE120" s="25" t="str">
        <f aca="false">IF(H120&gt;0.005,$C$5,IF(M120&gt;0.005,$C$6,IF(R120&gt;0.005,$C$7,IF(W120&gt;0.005,$C$8,IF(AB120&gt;0.005,$C$9,IF(AG120&gt;0.005,$C$10,IF(AL120&gt;0.005,$C$11,IF(AQ120&gt;0.005,$C$12,IF(AV120&gt;0.005,$C$13,IF(BA120&gt;0.005,$C$14,""))))))))))</f>
        <v/>
      </c>
    </row>
    <row r="121" customFormat="false" ht="15" hidden="false" customHeight="false" outlineLevel="0" collapsed="false">
      <c r="A121" s="24" t="n">
        <v>98</v>
      </c>
      <c r="B121" s="54" t="n">
        <f aca="false">EDATE($C$17,A121-1)</f>
        <v>49279</v>
      </c>
      <c r="C121" s="55" t="n">
        <f aca="false">G121+L121+Q121+V121+AA121+AF121+AK121+AP121+AU121+AZ121</f>
        <v>0</v>
      </c>
      <c r="D121" s="55" t="n">
        <f aca="false">MAX(0,$C$16-C121)</f>
        <v>5822</v>
      </c>
      <c r="E121" s="55" t="n">
        <f aca="false">ROUND(MAX(0,E120+F120-I120),2)</f>
        <v>0</v>
      </c>
      <c r="F121" s="55" t="n">
        <f aca="false">ROUND(E121*$E$5/12,2)</f>
        <v>0</v>
      </c>
      <c r="G121" s="55" t="n">
        <f aca="false">MIN($F$5,E121+F121)</f>
        <v>0</v>
      </c>
      <c r="H121" s="55" t="n">
        <f aca="false">MAX(0,MIN(E121+F121-G121,$D121))</f>
        <v>0</v>
      </c>
      <c r="I121" s="55" t="n">
        <f aca="false">G121+H121</f>
        <v>0</v>
      </c>
      <c r="J121" s="55" t="n">
        <f aca="false">ROUND(MAX(0,J120+K120-N120),2)</f>
        <v>0</v>
      </c>
      <c r="K121" s="55" t="n">
        <f aca="false">ROUND(J121*$E$6/12,2)</f>
        <v>0</v>
      </c>
      <c r="L121" s="55" t="n">
        <f aca="false">MIN($F$6,J121+K121)</f>
        <v>0</v>
      </c>
      <c r="M121" s="55" t="n">
        <f aca="false">MAX(0,MIN(J121+K121-L121,$D121-(H121)))</f>
        <v>0</v>
      </c>
      <c r="N121" s="55" t="n">
        <f aca="false">L121+M121</f>
        <v>0</v>
      </c>
      <c r="O121" s="55" t="n">
        <f aca="false">ROUND(MAX(0,O120+P120-S120),2)</f>
        <v>0</v>
      </c>
      <c r="P121" s="55" t="n">
        <f aca="false">ROUND(O121*$E$7/12,2)</f>
        <v>0</v>
      </c>
      <c r="Q121" s="55" t="n">
        <f aca="false">MIN($F$7,O121+P121)</f>
        <v>0</v>
      </c>
      <c r="R121" s="55" t="n">
        <f aca="false">MAX(0,MIN(O121+P121-Q121,$D121-(H121+M121)))</f>
        <v>0</v>
      </c>
      <c r="S121" s="55" t="n">
        <f aca="false">Q121+R121</f>
        <v>0</v>
      </c>
      <c r="T121" s="55" t="n">
        <f aca="false">ROUND(MAX(0,T120+U120-X120),2)</f>
        <v>0</v>
      </c>
      <c r="U121" s="55" t="n">
        <f aca="false">ROUND(T121*$E$8/12,2)</f>
        <v>0</v>
      </c>
      <c r="V121" s="55" t="n">
        <f aca="false">MIN($F$8,T121+U121)</f>
        <v>0</v>
      </c>
      <c r="W121" s="55" t="n">
        <f aca="false">MAX(0,MIN(T121+U121-V121,$D121-(H121+M121+R121)))</f>
        <v>0</v>
      </c>
      <c r="X121" s="55" t="n">
        <f aca="false">V121+W121</f>
        <v>0</v>
      </c>
      <c r="Y121" s="55" t="n">
        <f aca="false">ROUND(MAX(0,Y120+Z120-AC120),2)</f>
        <v>0</v>
      </c>
      <c r="Z121" s="55" t="n">
        <f aca="false">ROUND(Y121*$E$9/12,2)</f>
        <v>0</v>
      </c>
      <c r="AA121" s="55" t="n">
        <f aca="false">MIN($F$9,Y121+Z121)</f>
        <v>0</v>
      </c>
      <c r="AB121" s="55" t="n">
        <f aca="false">MAX(0,MIN(Y121+Z121-AA121,$D121-(H121+M121+R121+W121)))</f>
        <v>0</v>
      </c>
      <c r="AC121" s="55" t="n">
        <f aca="false">AA121+AB121</f>
        <v>0</v>
      </c>
      <c r="AD121" s="55" t="n">
        <f aca="false">ROUND(MAX(0,AD120+AE120-AH120),2)</f>
        <v>0</v>
      </c>
      <c r="AE121" s="55" t="n">
        <f aca="false">ROUND(AD121*$E$10/12,2)</f>
        <v>0</v>
      </c>
      <c r="AF121" s="55" t="n">
        <f aca="false">MIN($F$10,AD121+AE121)</f>
        <v>0</v>
      </c>
      <c r="AG121" s="55" t="n">
        <f aca="false">MAX(0,MIN(AD121+AE121-AF121,$D121-(H121+M121+R121+W121+AB121)))</f>
        <v>0</v>
      </c>
      <c r="AH121" s="55" t="n">
        <f aca="false">AF121+AG121</f>
        <v>0</v>
      </c>
      <c r="AI121" s="55" t="n">
        <f aca="false">ROUND(MAX(0,AI120+AJ120-AM120),2)</f>
        <v>0</v>
      </c>
      <c r="AJ121" s="55" t="n">
        <f aca="false">ROUND(AI121*$E$11/12,2)</f>
        <v>0</v>
      </c>
      <c r="AK121" s="55" t="n">
        <f aca="false">MIN($F$11,AI121+AJ121)</f>
        <v>0</v>
      </c>
      <c r="AL121" s="55" t="n">
        <f aca="false">MAX(0,MIN(AI121+AJ121-AK121,$D121-(H121+M121+R121+W121+AB121+AG121)))</f>
        <v>0</v>
      </c>
      <c r="AM121" s="55" t="n">
        <f aca="false">AK121+AL121</f>
        <v>0</v>
      </c>
      <c r="AN121" s="55" t="n">
        <f aca="false">ROUND(MAX(0,AN120+AO120-AR120),2)</f>
        <v>0</v>
      </c>
      <c r="AO121" s="55" t="n">
        <f aca="false">ROUND(AN121*$E$12/12,2)</f>
        <v>0</v>
      </c>
      <c r="AP121" s="55" t="n">
        <f aca="false">MIN($F$12,AN121+AO121)</f>
        <v>0</v>
      </c>
      <c r="AQ121" s="55" t="n">
        <f aca="false">MAX(0,MIN(AN121+AO121-AP121,$D121-(H121+M121+R121+W121+AB121+AG121+AL121)))</f>
        <v>0</v>
      </c>
      <c r="AR121" s="55" t="n">
        <f aca="false">AP121+AQ121</f>
        <v>0</v>
      </c>
      <c r="AS121" s="55" t="n">
        <f aca="false">ROUND(MAX(0,AS120+AT120-AW120),2)</f>
        <v>0</v>
      </c>
      <c r="AT121" s="55" t="n">
        <f aca="false">ROUND(AS121*$E$13/12,2)</f>
        <v>0</v>
      </c>
      <c r="AU121" s="55" t="n">
        <f aca="false">MIN($F$13,AS121+AT121)</f>
        <v>0</v>
      </c>
      <c r="AV121" s="55" t="n">
        <f aca="false">MAX(0,MIN(AS121+AT121-AU121,$D121-(H121+M121+R121+W121+AB121+AG121+AL121+AQ121)))</f>
        <v>0</v>
      </c>
      <c r="AW121" s="55" t="n">
        <f aca="false">AU121+AV121</f>
        <v>0</v>
      </c>
      <c r="AX121" s="55" t="n">
        <f aca="false">ROUND(MAX(0,AX120+AY120-BB120),2)</f>
        <v>0</v>
      </c>
      <c r="AY121" s="55" t="n">
        <f aca="false">ROUND(AX121*$E$14/12,2)</f>
        <v>0</v>
      </c>
      <c r="AZ121" s="55" t="n">
        <f aca="false">MIN($F$14,AX121+AY121)</f>
        <v>0</v>
      </c>
      <c r="BA121" s="55" t="n">
        <f aca="false">MAX(0,MIN(AX121+AY121-AZ121,$D121-(H121+M121+R121+W121+AB121+AG121+AL121+AQ121+AV121)))</f>
        <v>0</v>
      </c>
      <c r="BB121" s="55" t="n">
        <f aca="false">AZ121+BA121</f>
        <v>0</v>
      </c>
      <c r="BC121" s="55" t="n">
        <f aca="false">I121+N121+S121+X121+AC121+AH121+AM121+AR121+AW121+BB121</f>
        <v>0</v>
      </c>
      <c r="BD121" s="55" t="n">
        <f aca="false">ROUND((E121+F121-I121)+(J121+K121-N121)+(O121+P121-S121)+(T121+U121-X121)+(Y121+Z121-AC121)+(AD121+AE121-AH121)+(AI121+AJ121-AM121)+(AN121+AO121-AR121)+(AS121+AT121-AW121)+(AX121+AY121-BB121),2)</f>
        <v>0</v>
      </c>
      <c r="BE121" s="25" t="str">
        <f aca="false">IF(H121&gt;0.005,$C$5,IF(M121&gt;0.005,$C$6,IF(R121&gt;0.005,$C$7,IF(W121&gt;0.005,$C$8,IF(AB121&gt;0.005,$C$9,IF(AG121&gt;0.005,$C$10,IF(AL121&gt;0.005,$C$11,IF(AQ121&gt;0.005,$C$12,IF(AV121&gt;0.005,$C$13,IF(BA121&gt;0.005,$C$14,""))))))))))</f>
        <v/>
      </c>
    </row>
    <row r="122" customFormat="false" ht="15" hidden="false" customHeight="false" outlineLevel="0" collapsed="false">
      <c r="A122" s="24" t="n">
        <v>99</v>
      </c>
      <c r="B122" s="54" t="n">
        <f aca="false">EDATE($C$17,A122-1)</f>
        <v>49310</v>
      </c>
      <c r="C122" s="55" t="n">
        <f aca="false">G122+L122+Q122+V122+AA122+AF122+AK122+AP122+AU122+AZ122</f>
        <v>0</v>
      </c>
      <c r="D122" s="55" t="n">
        <f aca="false">MAX(0,$C$16-C122)</f>
        <v>5822</v>
      </c>
      <c r="E122" s="55" t="n">
        <f aca="false">ROUND(MAX(0,E121+F121-I121),2)</f>
        <v>0</v>
      </c>
      <c r="F122" s="55" t="n">
        <f aca="false">ROUND(E122*$E$5/12,2)</f>
        <v>0</v>
      </c>
      <c r="G122" s="55" t="n">
        <f aca="false">MIN($F$5,E122+F122)</f>
        <v>0</v>
      </c>
      <c r="H122" s="55" t="n">
        <f aca="false">MAX(0,MIN(E122+F122-G122,$D122))</f>
        <v>0</v>
      </c>
      <c r="I122" s="55" t="n">
        <f aca="false">G122+H122</f>
        <v>0</v>
      </c>
      <c r="J122" s="55" t="n">
        <f aca="false">ROUND(MAX(0,J121+K121-N121),2)</f>
        <v>0</v>
      </c>
      <c r="K122" s="55" t="n">
        <f aca="false">ROUND(J122*$E$6/12,2)</f>
        <v>0</v>
      </c>
      <c r="L122" s="55" t="n">
        <f aca="false">MIN($F$6,J122+K122)</f>
        <v>0</v>
      </c>
      <c r="M122" s="55" t="n">
        <f aca="false">MAX(0,MIN(J122+K122-L122,$D122-(H122)))</f>
        <v>0</v>
      </c>
      <c r="N122" s="55" t="n">
        <f aca="false">L122+M122</f>
        <v>0</v>
      </c>
      <c r="O122" s="55" t="n">
        <f aca="false">ROUND(MAX(0,O121+P121-S121),2)</f>
        <v>0</v>
      </c>
      <c r="P122" s="55" t="n">
        <f aca="false">ROUND(O122*$E$7/12,2)</f>
        <v>0</v>
      </c>
      <c r="Q122" s="55" t="n">
        <f aca="false">MIN($F$7,O122+P122)</f>
        <v>0</v>
      </c>
      <c r="R122" s="55" t="n">
        <f aca="false">MAX(0,MIN(O122+P122-Q122,$D122-(H122+M122)))</f>
        <v>0</v>
      </c>
      <c r="S122" s="55" t="n">
        <f aca="false">Q122+R122</f>
        <v>0</v>
      </c>
      <c r="T122" s="55" t="n">
        <f aca="false">ROUND(MAX(0,T121+U121-X121),2)</f>
        <v>0</v>
      </c>
      <c r="U122" s="55" t="n">
        <f aca="false">ROUND(T122*$E$8/12,2)</f>
        <v>0</v>
      </c>
      <c r="V122" s="55" t="n">
        <f aca="false">MIN($F$8,T122+U122)</f>
        <v>0</v>
      </c>
      <c r="W122" s="55" t="n">
        <f aca="false">MAX(0,MIN(T122+U122-V122,$D122-(H122+M122+R122)))</f>
        <v>0</v>
      </c>
      <c r="X122" s="55" t="n">
        <f aca="false">V122+W122</f>
        <v>0</v>
      </c>
      <c r="Y122" s="55" t="n">
        <f aca="false">ROUND(MAX(0,Y121+Z121-AC121),2)</f>
        <v>0</v>
      </c>
      <c r="Z122" s="55" t="n">
        <f aca="false">ROUND(Y122*$E$9/12,2)</f>
        <v>0</v>
      </c>
      <c r="AA122" s="55" t="n">
        <f aca="false">MIN($F$9,Y122+Z122)</f>
        <v>0</v>
      </c>
      <c r="AB122" s="55" t="n">
        <f aca="false">MAX(0,MIN(Y122+Z122-AA122,$D122-(H122+M122+R122+W122)))</f>
        <v>0</v>
      </c>
      <c r="AC122" s="55" t="n">
        <f aca="false">AA122+AB122</f>
        <v>0</v>
      </c>
      <c r="AD122" s="55" t="n">
        <f aca="false">ROUND(MAX(0,AD121+AE121-AH121),2)</f>
        <v>0</v>
      </c>
      <c r="AE122" s="55" t="n">
        <f aca="false">ROUND(AD122*$E$10/12,2)</f>
        <v>0</v>
      </c>
      <c r="AF122" s="55" t="n">
        <f aca="false">MIN($F$10,AD122+AE122)</f>
        <v>0</v>
      </c>
      <c r="AG122" s="55" t="n">
        <f aca="false">MAX(0,MIN(AD122+AE122-AF122,$D122-(H122+M122+R122+W122+AB122)))</f>
        <v>0</v>
      </c>
      <c r="AH122" s="55" t="n">
        <f aca="false">AF122+AG122</f>
        <v>0</v>
      </c>
      <c r="AI122" s="55" t="n">
        <f aca="false">ROUND(MAX(0,AI121+AJ121-AM121),2)</f>
        <v>0</v>
      </c>
      <c r="AJ122" s="55" t="n">
        <f aca="false">ROUND(AI122*$E$11/12,2)</f>
        <v>0</v>
      </c>
      <c r="AK122" s="55" t="n">
        <f aca="false">MIN($F$11,AI122+AJ122)</f>
        <v>0</v>
      </c>
      <c r="AL122" s="55" t="n">
        <f aca="false">MAX(0,MIN(AI122+AJ122-AK122,$D122-(H122+M122+R122+W122+AB122+AG122)))</f>
        <v>0</v>
      </c>
      <c r="AM122" s="55" t="n">
        <f aca="false">AK122+AL122</f>
        <v>0</v>
      </c>
      <c r="AN122" s="55" t="n">
        <f aca="false">ROUND(MAX(0,AN121+AO121-AR121),2)</f>
        <v>0</v>
      </c>
      <c r="AO122" s="55" t="n">
        <f aca="false">ROUND(AN122*$E$12/12,2)</f>
        <v>0</v>
      </c>
      <c r="AP122" s="55" t="n">
        <f aca="false">MIN($F$12,AN122+AO122)</f>
        <v>0</v>
      </c>
      <c r="AQ122" s="55" t="n">
        <f aca="false">MAX(0,MIN(AN122+AO122-AP122,$D122-(H122+M122+R122+W122+AB122+AG122+AL122)))</f>
        <v>0</v>
      </c>
      <c r="AR122" s="55" t="n">
        <f aca="false">AP122+AQ122</f>
        <v>0</v>
      </c>
      <c r="AS122" s="55" t="n">
        <f aca="false">ROUND(MAX(0,AS121+AT121-AW121),2)</f>
        <v>0</v>
      </c>
      <c r="AT122" s="55" t="n">
        <f aca="false">ROUND(AS122*$E$13/12,2)</f>
        <v>0</v>
      </c>
      <c r="AU122" s="55" t="n">
        <f aca="false">MIN($F$13,AS122+AT122)</f>
        <v>0</v>
      </c>
      <c r="AV122" s="55" t="n">
        <f aca="false">MAX(0,MIN(AS122+AT122-AU122,$D122-(H122+M122+R122+W122+AB122+AG122+AL122+AQ122)))</f>
        <v>0</v>
      </c>
      <c r="AW122" s="55" t="n">
        <f aca="false">AU122+AV122</f>
        <v>0</v>
      </c>
      <c r="AX122" s="55" t="n">
        <f aca="false">ROUND(MAX(0,AX121+AY121-BB121),2)</f>
        <v>0</v>
      </c>
      <c r="AY122" s="55" t="n">
        <f aca="false">ROUND(AX122*$E$14/12,2)</f>
        <v>0</v>
      </c>
      <c r="AZ122" s="55" t="n">
        <f aca="false">MIN($F$14,AX122+AY122)</f>
        <v>0</v>
      </c>
      <c r="BA122" s="55" t="n">
        <f aca="false">MAX(0,MIN(AX122+AY122-AZ122,$D122-(H122+M122+R122+W122+AB122+AG122+AL122+AQ122+AV122)))</f>
        <v>0</v>
      </c>
      <c r="BB122" s="55" t="n">
        <f aca="false">AZ122+BA122</f>
        <v>0</v>
      </c>
      <c r="BC122" s="55" t="n">
        <f aca="false">I122+N122+S122+X122+AC122+AH122+AM122+AR122+AW122+BB122</f>
        <v>0</v>
      </c>
      <c r="BD122" s="55" t="n">
        <f aca="false">ROUND((E122+F122-I122)+(J122+K122-N122)+(O122+P122-S122)+(T122+U122-X122)+(Y122+Z122-AC122)+(AD122+AE122-AH122)+(AI122+AJ122-AM122)+(AN122+AO122-AR122)+(AS122+AT122-AW122)+(AX122+AY122-BB122),2)</f>
        <v>0</v>
      </c>
      <c r="BE122" s="25" t="str">
        <f aca="false">IF(H122&gt;0.005,$C$5,IF(M122&gt;0.005,$C$6,IF(R122&gt;0.005,$C$7,IF(W122&gt;0.005,$C$8,IF(AB122&gt;0.005,$C$9,IF(AG122&gt;0.005,$C$10,IF(AL122&gt;0.005,$C$11,IF(AQ122&gt;0.005,$C$12,IF(AV122&gt;0.005,$C$13,IF(BA122&gt;0.005,$C$14,""))))))))))</f>
        <v/>
      </c>
    </row>
    <row r="123" customFormat="false" ht="15" hidden="false" customHeight="false" outlineLevel="0" collapsed="false">
      <c r="A123" s="24" t="n">
        <v>100</v>
      </c>
      <c r="B123" s="54" t="n">
        <f aca="false">EDATE($C$17,A123-1)</f>
        <v>49341</v>
      </c>
      <c r="C123" s="55" t="n">
        <f aca="false">G123+L123+Q123+V123+AA123+AF123+AK123+AP123+AU123+AZ123</f>
        <v>0</v>
      </c>
      <c r="D123" s="55" t="n">
        <f aca="false">MAX(0,$C$16-C123)</f>
        <v>5822</v>
      </c>
      <c r="E123" s="55" t="n">
        <f aca="false">ROUND(MAX(0,E122+F122-I122),2)</f>
        <v>0</v>
      </c>
      <c r="F123" s="55" t="n">
        <f aca="false">ROUND(E123*$E$5/12,2)</f>
        <v>0</v>
      </c>
      <c r="G123" s="55" t="n">
        <f aca="false">MIN($F$5,E123+F123)</f>
        <v>0</v>
      </c>
      <c r="H123" s="55" t="n">
        <f aca="false">MAX(0,MIN(E123+F123-G123,$D123))</f>
        <v>0</v>
      </c>
      <c r="I123" s="55" t="n">
        <f aca="false">G123+H123</f>
        <v>0</v>
      </c>
      <c r="J123" s="55" t="n">
        <f aca="false">ROUND(MAX(0,J122+K122-N122),2)</f>
        <v>0</v>
      </c>
      <c r="K123" s="55" t="n">
        <f aca="false">ROUND(J123*$E$6/12,2)</f>
        <v>0</v>
      </c>
      <c r="L123" s="55" t="n">
        <f aca="false">MIN($F$6,J123+K123)</f>
        <v>0</v>
      </c>
      <c r="M123" s="55" t="n">
        <f aca="false">MAX(0,MIN(J123+K123-L123,$D123-(H123)))</f>
        <v>0</v>
      </c>
      <c r="N123" s="55" t="n">
        <f aca="false">L123+M123</f>
        <v>0</v>
      </c>
      <c r="O123" s="55" t="n">
        <f aca="false">ROUND(MAX(0,O122+P122-S122),2)</f>
        <v>0</v>
      </c>
      <c r="P123" s="55" t="n">
        <f aca="false">ROUND(O123*$E$7/12,2)</f>
        <v>0</v>
      </c>
      <c r="Q123" s="55" t="n">
        <f aca="false">MIN($F$7,O123+P123)</f>
        <v>0</v>
      </c>
      <c r="R123" s="55" t="n">
        <f aca="false">MAX(0,MIN(O123+P123-Q123,$D123-(H123+M123)))</f>
        <v>0</v>
      </c>
      <c r="S123" s="55" t="n">
        <f aca="false">Q123+R123</f>
        <v>0</v>
      </c>
      <c r="T123" s="55" t="n">
        <f aca="false">ROUND(MAX(0,T122+U122-X122),2)</f>
        <v>0</v>
      </c>
      <c r="U123" s="55" t="n">
        <f aca="false">ROUND(T123*$E$8/12,2)</f>
        <v>0</v>
      </c>
      <c r="V123" s="55" t="n">
        <f aca="false">MIN($F$8,T123+U123)</f>
        <v>0</v>
      </c>
      <c r="W123" s="55" t="n">
        <f aca="false">MAX(0,MIN(T123+U123-V123,$D123-(H123+M123+R123)))</f>
        <v>0</v>
      </c>
      <c r="X123" s="55" t="n">
        <f aca="false">V123+W123</f>
        <v>0</v>
      </c>
      <c r="Y123" s="55" t="n">
        <f aca="false">ROUND(MAX(0,Y122+Z122-AC122),2)</f>
        <v>0</v>
      </c>
      <c r="Z123" s="55" t="n">
        <f aca="false">ROUND(Y123*$E$9/12,2)</f>
        <v>0</v>
      </c>
      <c r="AA123" s="55" t="n">
        <f aca="false">MIN($F$9,Y123+Z123)</f>
        <v>0</v>
      </c>
      <c r="AB123" s="55" t="n">
        <f aca="false">MAX(0,MIN(Y123+Z123-AA123,$D123-(H123+M123+R123+W123)))</f>
        <v>0</v>
      </c>
      <c r="AC123" s="55" t="n">
        <f aca="false">AA123+AB123</f>
        <v>0</v>
      </c>
      <c r="AD123" s="55" t="n">
        <f aca="false">ROUND(MAX(0,AD122+AE122-AH122),2)</f>
        <v>0</v>
      </c>
      <c r="AE123" s="55" t="n">
        <f aca="false">ROUND(AD123*$E$10/12,2)</f>
        <v>0</v>
      </c>
      <c r="AF123" s="55" t="n">
        <f aca="false">MIN($F$10,AD123+AE123)</f>
        <v>0</v>
      </c>
      <c r="AG123" s="55" t="n">
        <f aca="false">MAX(0,MIN(AD123+AE123-AF123,$D123-(H123+M123+R123+W123+AB123)))</f>
        <v>0</v>
      </c>
      <c r="AH123" s="55" t="n">
        <f aca="false">AF123+AG123</f>
        <v>0</v>
      </c>
      <c r="AI123" s="55" t="n">
        <f aca="false">ROUND(MAX(0,AI122+AJ122-AM122),2)</f>
        <v>0</v>
      </c>
      <c r="AJ123" s="55" t="n">
        <f aca="false">ROUND(AI123*$E$11/12,2)</f>
        <v>0</v>
      </c>
      <c r="AK123" s="55" t="n">
        <f aca="false">MIN($F$11,AI123+AJ123)</f>
        <v>0</v>
      </c>
      <c r="AL123" s="55" t="n">
        <f aca="false">MAX(0,MIN(AI123+AJ123-AK123,$D123-(H123+M123+R123+W123+AB123+AG123)))</f>
        <v>0</v>
      </c>
      <c r="AM123" s="55" t="n">
        <f aca="false">AK123+AL123</f>
        <v>0</v>
      </c>
      <c r="AN123" s="55" t="n">
        <f aca="false">ROUND(MAX(0,AN122+AO122-AR122),2)</f>
        <v>0</v>
      </c>
      <c r="AO123" s="55" t="n">
        <f aca="false">ROUND(AN123*$E$12/12,2)</f>
        <v>0</v>
      </c>
      <c r="AP123" s="55" t="n">
        <f aca="false">MIN($F$12,AN123+AO123)</f>
        <v>0</v>
      </c>
      <c r="AQ123" s="55" t="n">
        <f aca="false">MAX(0,MIN(AN123+AO123-AP123,$D123-(H123+M123+R123+W123+AB123+AG123+AL123)))</f>
        <v>0</v>
      </c>
      <c r="AR123" s="55" t="n">
        <f aca="false">AP123+AQ123</f>
        <v>0</v>
      </c>
      <c r="AS123" s="55" t="n">
        <f aca="false">ROUND(MAX(0,AS122+AT122-AW122),2)</f>
        <v>0</v>
      </c>
      <c r="AT123" s="55" t="n">
        <f aca="false">ROUND(AS123*$E$13/12,2)</f>
        <v>0</v>
      </c>
      <c r="AU123" s="55" t="n">
        <f aca="false">MIN($F$13,AS123+AT123)</f>
        <v>0</v>
      </c>
      <c r="AV123" s="55" t="n">
        <f aca="false">MAX(0,MIN(AS123+AT123-AU123,$D123-(H123+M123+R123+W123+AB123+AG123+AL123+AQ123)))</f>
        <v>0</v>
      </c>
      <c r="AW123" s="55" t="n">
        <f aca="false">AU123+AV123</f>
        <v>0</v>
      </c>
      <c r="AX123" s="55" t="n">
        <f aca="false">ROUND(MAX(0,AX122+AY122-BB122),2)</f>
        <v>0</v>
      </c>
      <c r="AY123" s="55" t="n">
        <f aca="false">ROUND(AX123*$E$14/12,2)</f>
        <v>0</v>
      </c>
      <c r="AZ123" s="55" t="n">
        <f aca="false">MIN($F$14,AX123+AY123)</f>
        <v>0</v>
      </c>
      <c r="BA123" s="55" t="n">
        <f aca="false">MAX(0,MIN(AX123+AY123-AZ123,$D123-(H123+M123+R123+W123+AB123+AG123+AL123+AQ123+AV123)))</f>
        <v>0</v>
      </c>
      <c r="BB123" s="55" t="n">
        <f aca="false">AZ123+BA123</f>
        <v>0</v>
      </c>
      <c r="BC123" s="55" t="n">
        <f aca="false">I123+N123+S123+X123+AC123+AH123+AM123+AR123+AW123+BB123</f>
        <v>0</v>
      </c>
      <c r="BD123" s="55" t="n">
        <f aca="false">ROUND((E123+F123-I123)+(J123+K123-N123)+(O123+P123-S123)+(T123+U123-X123)+(Y123+Z123-AC123)+(AD123+AE123-AH123)+(AI123+AJ123-AM123)+(AN123+AO123-AR123)+(AS123+AT123-AW123)+(AX123+AY123-BB123),2)</f>
        <v>0</v>
      </c>
      <c r="BE123" s="25" t="str">
        <f aca="false">IF(H123&gt;0.005,$C$5,IF(M123&gt;0.005,$C$6,IF(R123&gt;0.005,$C$7,IF(W123&gt;0.005,$C$8,IF(AB123&gt;0.005,$C$9,IF(AG123&gt;0.005,$C$10,IF(AL123&gt;0.005,$C$11,IF(AQ123&gt;0.005,$C$12,IF(AV123&gt;0.005,$C$13,IF(BA123&gt;0.005,$C$14,""))))))))))</f>
        <v/>
      </c>
    </row>
    <row r="124" customFormat="false" ht="15" hidden="false" customHeight="false" outlineLevel="0" collapsed="false">
      <c r="A124" s="24" t="n">
        <v>101</v>
      </c>
      <c r="B124" s="54" t="n">
        <f aca="false">EDATE($C$17,A124-1)</f>
        <v>49369</v>
      </c>
      <c r="C124" s="55" t="n">
        <f aca="false">G124+L124+Q124+V124+AA124+AF124+AK124+AP124+AU124+AZ124</f>
        <v>0</v>
      </c>
      <c r="D124" s="55" t="n">
        <f aca="false">MAX(0,$C$16-C124)</f>
        <v>5822</v>
      </c>
      <c r="E124" s="55" t="n">
        <f aca="false">ROUND(MAX(0,E123+F123-I123),2)</f>
        <v>0</v>
      </c>
      <c r="F124" s="55" t="n">
        <f aca="false">ROUND(E124*$E$5/12,2)</f>
        <v>0</v>
      </c>
      <c r="G124" s="55" t="n">
        <f aca="false">MIN($F$5,E124+F124)</f>
        <v>0</v>
      </c>
      <c r="H124" s="55" t="n">
        <f aca="false">MAX(0,MIN(E124+F124-G124,$D124))</f>
        <v>0</v>
      </c>
      <c r="I124" s="55" t="n">
        <f aca="false">G124+H124</f>
        <v>0</v>
      </c>
      <c r="J124" s="55" t="n">
        <f aca="false">ROUND(MAX(0,J123+K123-N123),2)</f>
        <v>0</v>
      </c>
      <c r="K124" s="55" t="n">
        <f aca="false">ROUND(J124*$E$6/12,2)</f>
        <v>0</v>
      </c>
      <c r="L124" s="55" t="n">
        <f aca="false">MIN($F$6,J124+K124)</f>
        <v>0</v>
      </c>
      <c r="M124" s="55" t="n">
        <f aca="false">MAX(0,MIN(J124+K124-L124,$D124-(H124)))</f>
        <v>0</v>
      </c>
      <c r="N124" s="55" t="n">
        <f aca="false">L124+M124</f>
        <v>0</v>
      </c>
      <c r="O124" s="55" t="n">
        <f aca="false">ROUND(MAX(0,O123+P123-S123),2)</f>
        <v>0</v>
      </c>
      <c r="P124" s="55" t="n">
        <f aca="false">ROUND(O124*$E$7/12,2)</f>
        <v>0</v>
      </c>
      <c r="Q124" s="55" t="n">
        <f aca="false">MIN($F$7,O124+P124)</f>
        <v>0</v>
      </c>
      <c r="R124" s="55" t="n">
        <f aca="false">MAX(0,MIN(O124+P124-Q124,$D124-(H124+M124)))</f>
        <v>0</v>
      </c>
      <c r="S124" s="55" t="n">
        <f aca="false">Q124+R124</f>
        <v>0</v>
      </c>
      <c r="T124" s="55" t="n">
        <f aca="false">ROUND(MAX(0,T123+U123-X123),2)</f>
        <v>0</v>
      </c>
      <c r="U124" s="55" t="n">
        <f aca="false">ROUND(T124*$E$8/12,2)</f>
        <v>0</v>
      </c>
      <c r="V124" s="55" t="n">
        <f aca="false">MIN($F$8,T124+U124)</f>
        <v>0</v>
      </c>
      <c r="W124" s="55" t="n">
        <f aca="false">MAX(0,MIN(T124+U124-V124,$D124-(H124+M124+R124)))</f>
        <v>0</v>
      </c>
      <c r="X124" s="55" t="n">
        <f aca="false">V124+W124</f>
        <v>0</v>
      </c>
      <c r="Y124" s="55" t="n">
        <f aca="false">ROUND(MAX(0,Y123+Z123-AC123),2)</f>
        <v>0</v>
      </c>
      <c r="Z124" s="55" t="n">
        <f aca="false">ROUND(Y124*$E$9/12,2)</f>
        <v>0</v>
      </c>
      <c r="AA124" s="55" t="n">
        <f aca="false">MIN($F$9,Y124+Z124)</f>
        <v>0</v>
      </c>
      <c r="AB124" s="55" t="n">
        <f aca="false">MAX(0,MIN(Y124+Z124-AA124,$D124-(H124+M124+R124+W124)))</f>
        <v>0</v>
      </c>
      <c r="AC124" s="55" t="n">
        <f aca="false">AA124+AB124</f>
        <v>0</v>
      </c>
      <c r="AD124" s="55" t="n">
        <f aca="false">ROUND(MAX(0,AD123+AE123-AH123),2)</f>
        <v>0</v>
      </c>
      <c r="AE124" s="55" t="n">
        <f aca="false">ROUND(AD124*$E$10/12,2)</f>
        <v>0</v>
      </c>
      <c r="AF124" s="55" t="n">
        <f aca="false">MIN($F$10,AD124+AE124)</f>
        <v>0</v>
      </c>
      <c r="AG124" s="55" t="n">
        <f aca="false">MAX(0,MIN(AD124+AE124-AF124,$D124-(H124+M124+R124+W124+AB124)))</f>
        <v>0</v>
      </c>
      <c r="AH124" s="55" t="n">
        <f aca="false">AF124+AG124</f>
        <v>0</v>
      </c>
      <c r="AI124" s="55" t="n">
        <f aca="false">ROUND(MAX(0,AI123+AJ123-AM123),2)</f>
        <v>0</v>
      </c>
      <c r="AJ124" s="55" t="n">
        <f aca="false">ROUND(AI124*$E$11/12,2)</f>
        <v>0</v>
      </c>
      <c r="AK124" s="55" t="n">
        <f aca="false">MIN($F$11,AI124+AJ124)</f>
        <v>0</v>
      </c>
      <c r="AL124" s="55" t="n">
        <f aca="false">MAX(0,MIN(AI124+AJ124-AK124,$D124-(H124+M124+R124+W124+AB124+AG124)))</f>
        <v>0</v>
      </c>
      <c r="AM124" s="55" t="n">
        <f aca="false">AK124+AL124</f>
        <v>0</v>
      </c>
      <c r="AN124" s="55" t="n">
        <f aca="false">ROUND(MAX(0,AN123+AO123-AR123),2)</f>
        <v>0</v>
      </c>
      <c r="AO124" s="55" t="n">
        <f aca="false">ROUND(AN124*$E$12/12,2)</f>
        <v>0</v>
      </c>
      <c r="AP124" s="55" t="n">
        <f aca="false">MIN($F$12,AN124+AO124)</f>
        <v>0</v>
      </c>
      <c r="AQ124" s="55" t="n">
        <f aca="false">MAX(0,MIN(AN124+AO124-AP124,$D124-(H124+M124+R124+W124+AB124+AG124+AL124)))</f>
        <v>0</v>
      </c>
      <c r="AR124" s="55" t="n">
        <f aca="false">AP124+AQ124</f>
        <v>0</v>
      </c>
      <c r="AS124" s="55" t="n">
        <f aca="false">ROUND(MAX(0,AS123+AT123-AW123),2)</f>
        <v>0</v>
      </c>
      <c r="AT124" s="55" t="n">
        <f aca="false">ROUND(AS124*$E$13/12,2)</f>
        <v>0</v>
      </c>
      <c r="AU124" s="55" t="n">
        <f aca="false">MIN($F$13,AS124+AT124)</f>
        <v>0</v>
      </c>
      <c r="AV124" s="55" t="n">
        <f aca="false">MAX(0,MIN(AS124+AT124-AU124,$D124-(H124+M124+R124+W124+AB124+AG124+AL124+AQ124)))</f>
        <v>0</v>
      </c>
      <c r="AW124" s="55" t="n">
        <f aca="false">AU124+AV124</f>
        <v>0</v>
      </c>
      <c r="AX124" s="55" t="n">
        <f aca="false">ROUND(MAX(0,AX123+AY123-BB123),2)</f>
        <v>0</v>
      </c>
      <c r="AY124" s="55" t="n">
        <f aca="false">ROUND(AX124*$E$14/12,2)</f>
        <v>0</v>
      </c>
      <c r="AZ124" s="55" t="n">
        <f aca="false">MIN($F$14,AX124+AY124)</f>
        <v>0</v>
      </c>
      <c r="BA124" s="55" t="n">
        <f aca="false">MAX(0,MIN(AX124+AY124-AZ124,$D124-(H124+M124+R124+W124+AB124+AG124+AL124+AQ124+AV124)))</f>
        <v>0</v>
      </c>
      <c r="BB124" s="55" t="n">
        <f aca="false">AZ124+BA124</f>
        <v>0</v>
      </c>
      <c r="BC124" s="55" t="n">
        <f aca="false">I124+N124+S124+X124+AC124+AH124+AM124+AR124+AW124+BB124</f>
        <v>0</v>
      </c>
      <c r="BD124" s="55" t="n">
        <f aca="false">ROUND((E124+F124-I124)+(J124+K124-N124)+(O124+P124-S124)+(T124+U124-X124)+(Y124+Z124-AC124)+(AD124+AE124-AH124)+(AI124+AJ124-AM124)+(AN124+AO124-AR124)+(AS124+AT124-AW124)+(AX124+AY124-BB124),2)</f>
        <v>0</v>
      </c>
      <c r="BE124" s="25" t="str">
        <f aca="false">IF(H124&gt;0.005,$C$5,IF(M124&gt;0.005,$C$6,IF(R124&gt;0.005,$C$7,IF(W124&gt;0.005,$C$8,IF(AB124&gt;0.005,$C$9,IF(AG124&gt;0.005,$C$10,IF(AL124&gt;0.005,$C$11,IF(AQ124&gt;0.005,$C$12,IF(AV124&gt;0.005,$C$13,IF(BA124&gt;0.005,$C$14,""))))))))))</f>
        <v/>
      </c>
    </row>
    <row r="125" customFormat="false" ht="15" hidden="false" customHeight="false" outlineLevel="0" collapsed="false">
      <c r="A125" s="24" t="n">
        <v>102</v>
      </c>
      <c r="B125" s="54" t="n">
        <f aca="false">EDATE($C$17,A125-1)</f>
        <v>49400</v>
      </c>
      <c r="C125" s="55" t="n">
        <f aca="false">G125+L125+Q125+V125+AA125+AF125+AK125+AP125+AU125+AZ125</f>
        <v>0</v>
      </c>
      <c r="D125" s="55" t="n">
        <f aca="false">MAX(0,$C$16-C125)</f>
        <v>5822</v>
      </c>
      <c r="E125" s="55" t="n">
        <f aca="false">ROUND(MAX(0,E124+F124-I124),2)</f>
        <v>0</v>
      </c>
      <c r="F125" s="55" t="n">
        <f aca="false">ROUND(E125*$E$5/12,2)</f>
        <v>0</v>
      </c>
      <c r="G125" s="55" t="n">
        <f aca="false">MIN($F$5,E125+F125)</f>
        <v>0</v>
      </c>
      <c r="H125" s="55" t="n">
        <f aca="false">MAX(0,MIN(E125+F125-G125,$D125))</f>
        <v>0</v>
      </c>
      <c r="I125" s="55" t="n">
        <f aca="false">G125+H125</f>
        <v>0</v>
      </c>
      <c r="J125" s="55" t="n">
        <f aca="false">ROUND(MAX(0,J124+K124-N124),2)</f>
        <v>0</v>
      </c>
      <c r="K125" s="55" t="n">
        <f aca="false">ROUND(J125*$E$6/12,2)</f>
        <v>0</v>
      </c>
      <c r="L125" s="55" t="n">
        <f aca="false">MIN($F$6,J125+K125)</f>
        <v>0</v>
      </c>
      <c r="M125" s="55" t="n">
        <f aca="false">MAX(0,MIN(J125+K125-L125,$D125-(H125)))</f>
        <v>0</v>
      </c>
      <c r="N125" s="55" t="n">
        <f aca="false">L125+M125</f>
        <v>0</v>
      </c>
      <c r="O125" s="55" t="n">
        <f aca="false">ROUND(MAX(0,O124+P124-S124),2)</f>
        <v>0</v>
      </c>
      <c r="P125" s="55" t="n">
        <f aca="false">ROUND(O125*$E$7/12,2)</f>
        <v>0</v>
      </c>
      <c r="Q125" s="55" t="n">
        <f aca="false">MIN($F$7,O125+P125)</f>
        <v>0</v>
      </c>
      <c r="R125" s="55" t="n">
        <f aca="false">MAX(0,MIN(O125+P125-Q125,$D125-(H125+M125)))</f>
        <v>0</v>
      </c>
      <c r="S125" s="55" t="n">
        <f aca="false">Q125+R125</f>
        <v>0</v>
      </c>
      <c r="T125" s="55" t="n">
        <f aca="false">ROUND(MAX(0,T124+U124-X124),2)</f>
        <v>0</v>
      </c>
      <c r="U125" s="55" t="n">
        <f aca="false">ROUND(T125*$E$8/12,2)</f>
        <v>0</v>
      </c>
      <c r="V125" s="55" t="n">
        <f aca="false">MIN($F$8,T125+U125)</f>
        <v>0</v>
      </c>
      <c r="W125" s="55" t="n">
        <f aca="false">MAX(0,MIN(T125+U125-V125,$D125-(H125+M125+R125)))</f>
        <v>0</v>
      </c>
      <c r="X125" s="55" t="n">
        <f aca="false">V125+W125</f>
        <v>0</v>
      </c>
      <c r="Y125" s="55" t="n">
        <f aca="false">ROUND(MAX(0,Y124+Z124-AC124),2)</f>
        <v>0</v>
      </c>
      <c r="Z125" s="55" t="n">
        <f aca="false">ROUND(Y125*$E$9/12,2)</f>
        <v>0</v>
      </c>
      <c r="AA125" s="55" t="n">
        <f aca="false">MIN($F$9,Y125+Z125)</f>
        <v>0</v>
      </c>
      <c r="AB125" s="55" t="n">
        <f aca="false">MAX(0,MIN(Y125+Z125-AA125,$D125-(H125+M125+R125+W125)))</f>
        <v>0</v>
      </c>
      <c r="AC125" s="55" t="n">
        <f aca="false">AA125+AB125</f>
        <v>0</v>
      </c>
      <c r="AD125" s="55" t="n">
        <f aca="false">ROUND(MAX(0,AD124+AE124-AH124),2)</f>
        <v>0</v>
      </c>
      <c r="AE125" s="55" t="n">
        <f aca="false">ROUND(AD125*$E$10/12,2)</f>
        <v>0</v>
      </c>
      <c r="AF125" s="55" t="n">
        <f aca="false">MIN($F$10,AD125+AE125)</f>
        <v>0</v>
      </c>
      <c r="AG125" s="55" t="n">
        <f aca="false">MAX(0,MIN(AD125+AE125-AF125,$D125-(H125+M125+R125+W125+AB125)))</f>
        <v>0</v>
      </c>
      <c r="AH125" s="55" t="n">
        <f aca="false">AF125+AG125</f>
        <v>0</v>
      </c>
      <c r="AI125" s="55" t="n">
        <f aca="false">ROUND(MAX(0,AI124+AJ124-AM124),2)</f>
        <v>0</v>
      </c>
      <c r="AJ125" s="55" t="n">
        <f aca="false">ROUND(AI125*$E$11/12,2)</f>
        <v>0</v>
      </c>
      <c r="AK125" s="55" t="n">
        <f aca="false">MIN($F$11,AI125+AJ125)</f>
        <v>0</v>
      </c>
      <c r="AL125" s="55" t="n">
        <f aca="false">MAX(0,MIN(AI125+AJ125-AK125,$D125-(H125+M125+R125+W125+AB125+AG125)))</f>
        <v>0</v>
      </c>
      <c r="AM125" s="55" t="n">
        <f aca="false">AK125+AL125</f>
        <v>0</v>
      </c>
      <c r="AN125" s="55" t="n">
        <f aca="false">ROUND(MAX(0,AN124+AO124-AR124),2)</f>
        <v>0</v>
      </c>
      <c r="AO125" s="55" t="n">
        <f aca="false">ROUND(AN125*$E$12/12,2)</f>
        <v>0</v>
      </c>
      <c r="AP125" s="55" t="n">
        <f aca="false">MIN($F$12,AN125+AO125)</f>
        <v>0</v>
      </c>
      <c r="AQ125" s="55" t="n">
        <f aca="false">MAX(0,MIN(AN125+AO125-AP125,$D125-(H125+M125+R125+W125+AB125+AG125+AL125)))</f>
        <v>0</v>
      </c>
      <c r="AR125" s="55" t="n">
        <f aca="false">AP125+AQ125</f>
        <v>0</v>
      </c>
      <c r="AS125" s="55" t="n">
        <f aca="false">ROUND(MAX(0,AS124+AT124-AW124),2)</f>
        <v>0</v>
      </c>
      <c r="AT125" s="55" t="n">
        <f aca="false">ROUND(AS125*$E$13/12,2)</f>
        <v>0</v>
      </c>
      <c r="AU125" s="55" t="n">
        <f aca="false">MIN($F$13,AS125+AT125)</f>
        <v>0</v>
      </c>
      <c r="AV125" s="55" t="n">
        <f aca="false">MAX(0,MIN(AS125+AT125-AU125,$D125-(H125+M125+R125+W125+AB125+AG125+AL125+AQ125)))</f>
        <v>0</v>
      </c>
      <c r="AW125" s="55" t="n">
        <f aca="false">AU125+AV125</f>
        <v>0</v>
      </c>
      <c r="AX125" s="55" t="n">
        <f aca="false">ROUND(MAX(0,AX124+AY124-BB124),2)</f>
        <v>0</v>
      </c>
      <c r="AY125" s="55" t="n">
        <f aca="false">ROUND(AX125*$E$14/12,2)</f>
        <v>0</v>
      </c>
      <c r="AZ125" s="55" t="n">
        <f aca="false">MIN($F$14,AX125+AY125)</f>
        <v>0</v>
      </c>
      <c r="BA125" s="55" t="n">
        <f aca="false">MAX(0,MIN(AX125+AY125-AZ125,$D125-(H125+M125+R125+W125+AB125+AG125+AL125+AQ125+AV125)))</f>
        <v>0</v>
      </c>
      <c r="BB125" s="55" t="n">
        <f aca="false">AZ125+BA125</f>
        <v>0</v>
      </c>
      <c r="BC125" s="55" t="n">
        <f aca="false">I125+N125+S125+X125+AC125+AH125+AM125+AR125+AW125+BB125</f>
        <v>0</v>
      </c>
      <c r="BD125" s="55" t="n">
        <f aca="false">ROUND((E125+F125-I125)+(J125+K125-N125)+(O125+P125-S125)+(T125+U125-X125)+(Y125+Z125-AC125)+(AD125+AE125-AH125)+(AI125+AJ125-AM125)+(AN125+AO125-AR125)+(AS125+AT125-AW125)+(AX125+AY125-BB125),2)</f>
        <v>0</v>
      </c>
      <c r="BE125" s="25" t="str">
        <f aca="false">IF(H125&gt;0.005,$C$5,IF(M125&gt;0.005,$C$6,IF(R125&gt;0.005,$C$7,IF(W125&gt;0.005,$C$8,IF(AB125&gt;0.005,$C$9,IF(AG125&gt;0.005,$C$10,IF(AL125&gt;0.005,$C$11,IF(AQ125&gt;0.005,$C$12,IF(AV125&gt;0.005,$C$13,IF(BA125&gt;0.005,$C$14,""))))))))))</f>
        <v/>
      </c>
    </row>
    <row r="126" customFormat="false" ht="15" hidden="false" customHeight="false" outlineLevel="0" collapsed="false">
      <c r="A126" s="24" t="n">
        <v>103</v>
      </c>
      <c r="B126" s="54" t="n">
        <f aca="false">EDATE($C$17,A126-1)</f>
        <v>49430</v>
      </c>
      <c r="C126" s="55" t="n">
        <f aca="false">G126+L126+Q126+V126+AA126+AF126+AK126+AP126+AU126+AZ126</f>
        <v>0</v>
      </c>
      <c r="D126" s="55" t="n">
        <f aca="false">MAX(0,$C$16-C126)</f>
        <v>5822</v>
      </c>
      <c r="E126" s="55" t="n">
        <f aca="false">ROUND(MAX(0,E125+F125-I125),2)</f>
        <v>0</v>
      </c>
      <c r="F126" s="55" t="n">
        <f aca="false">ROUND(E126*$E$5/12,2)</f>
        <v>0</v>
      </c>
      <c r="G126" s="55" t="n">
        <f aca="false">MIN($F$5,E126+F126)</f>
        <v>0</v>
      </c>
      <c r="H126" s="55" t="n">
        <f aca="false">MAX(0,MIN(E126+F126-G126,$D126))</f>
        <v>0</v>
      </c>
      <c r="I126" s="55" t="n">
        <f aca="false">G126+H126</f>
        <v>0</v>
      </c>
      <c r="J126" s="55" t="n">
        <f aca="false">ROUND(MAX(0,J125+K125-N125),2)</f>
        <v>0</v>
      </c>
      <c r="K126" s="55" t="n">
        <f aca="false">ROUND(J126*$E$6/12,2)</f>
        <v>0</v>
      </c>
      <c r="L126" s="55" t="n">
        <f aca="false">MIN($F$6,J126+K126)</f>
        <v>0</v>
      </c>
      <c r="M126" s="55" t="n">
        <f aca="false">MAX(0,MIN(J126+K126-L126,$D126-(H126)))</f>
        <v>0</v>
      </c>
      <c r="N126" s="55" t="n">
        <f aca="false">L126+M126</f>
        <v>0</v>
      </c>
      <c r="O126" s="55" t="n">
        <f aca="false">ROUND(MAX(0,O125+P125-S125),2)</f>
        <v>0</v>
      </c>
      <c r="P126" s="55" t="n">
        <f aca="false">ROUND(O126*$E$7/12,2)</f>
        <v>0</v>
      </c>
      <c r="Q126" s="55" t="n">
        <f aca="false">MIN($F$7,O126+P126)</f>
        <v>0</v>
      </c>
      <c r="R126" s="55" t="n">
        <f aca="false">MAX(0,MIN(O126+P126-Q126,$D126-(H126+M126)))</f>
        <v>0</v>
      </c>
      <c r="S126" s="55" t="n">
        <f aca="false">Q126+R126</f>
        <v>0</v>
      </c>
      <c r="T126" s="55" t="n">
        <f aca="false">ROUND(MAX(0,T125+U125-X125),2)</f>
        <v>0</v>
      </c>
      <c r="U126" s="55" t="n">
        <f aca="false">ROUND(T126*$E$8/12,2)</f>
        <v>0</v>
      </c>
      <c r="V126" s="55" t="n">
        <f aca="false">MIN($F$8,T126+U126)</f>
        <v>0</v>
      </c>
      <c r="W126" s="55" t="n">
        <f aca="false">MAX(0,MIN(T126+U126-V126,$D126-(H126+M126+R126)))</f>
        <v>0</v>
      </c>
      <c r="X126" s="55" t="n">
        <f aca="false">V126+W126</f>
        <v>0</v>
      </c>
      <c r="Y126" s="55" t="n">
        <f aca="false">ROUND(MAX(0,Y125+Z125-AC125),2)</f>
        <v>0</v>
      </c>
      <c r="Z126" s="55" t="n">
        <f aca="false">ROUND(Y126*$E$9/12,2)</f>
        <v>0</v>
      </c>
      <c r="AA126" s="55" t="n">
        <f aca="false">MIN($F$9,Y126+Z126)</f>
        <v>0</v>
      </c>
      <c r="AB126" s="55" t="n">
        <f aca="false">MAX(0,MIN(Y126+Z126-AA126,$D126-(H126+M126+R126+W126)))</f>
        <v>0</v>
      </c>
      <c r="AC126" s="55" t="n">
        <f aca="false">AA126+AB126</f>
        <v>0</v>
      </c>
      <c r="AD126" s="55" t="n">
        <f aca="false">ROUND(MAX(0,AD125+AE125-AH125),2)</f>
        <v>0</v>
      </c>
      <c r="AE126" s="55" t="n">
        <f aca="false">ROUND(AD126*$E$10/12,2)</f>
        <v>0</v>
      </c>
      <c r="AF126" s="55" t="n">
        <f aca="false">MIN($F$10,AD126+AE126)</f>
        <v>0</v>
      </c>
      <c r="AG126" s="55" t="n">
        <f aca="false">MAX(0,MIN(AD126+AE126-AF126,$D126-(H126+M126+R126+W126+AB126)))</f>
        <v>0</v>
      </c>
      <c r="AH126" s="55" t="n">
        <f aca="false">AF126+AG126</f>
        <v>0</v>
      </c>
      <c r="AI126" s="55" t="n">
        <f aca="false">ROUND(MAX(0,AI125+AJ125-AM125),2)</f>
        <v>0</v>
      </c>
      <c r="AJ126" s="55" t="n">
        <f aca="false">ROUND(AI126*$E$11/12,2)</f>
        <v>0</v>
      </c>
      <c r="AK126" s="55" t="n">
        <f aca="false">MIN($F$11,AI126+AJ126)</f>
        <v>0</v>
      </c>
      <c r="AL126" s="55" t="n">
        <f aca="false">MAX(0,MIN(AI126+AJ126-AK126,$D126-(H126+M126+R126+W126+AB126+AG126)))</f>
        <v>0</v>
      </c>
      <c r="AM126" s="55" t="n">
        <f aca="false">AK126+AL126</f>
        <v>0</v>
      </c>
      <c r="AN126" s="55" t="n">
        <f aca="false">ROUND(MAX(0,AN125+AO125-AR125),2)</f>
        <v>0</v>
      </c>
      <c r="AO126" s="55" t="n">
        <f aca="false">ROUND(AN126*$E$12/12,2)</f>
        <v>0</v>
      </c>
      <c r="AP126" s="55" t="n">
        <f aca="false">MIN($F$12,AN126+AO126)</f>
        <v>0</v>
      </c>
      <c r="AQ126" s="55" t="n">
        <f aca="false">MAX(0,MIN(AN126+AO126-AP126,$D126-(H126+M126+R126+W126+AB126+AG126+AL126)))</f>
        <v>0</v>
      </c>
      <c r="AR126" s="55" t="n">
        <f aca="false">AP126+AQ126</f>
        <v>0</v>
      </c>
      <c r="AS126" s="55" t="n">
        <f aca="false">ROUND(MAX(0,AS125+AT125-AW125),2)</f>
        <v>0</v>
      </c>
      <c r="AT126" s="55" t="n">
        <f aca="false">ROUND(AS126*$E$13/12,2)</f>
        <v>0</v>
      </c>
      <c r="AU126" s="55" t="n">
        <f aca="false">MIN($F$13,AS126+AT126)</f>
        <v>0</v>
      </c>
      <c r="AV126" s="55" t="n">
        <f aca="false">MAX(0,MIN(AS126+AT126-AU126,$D126-(H126+M126+R126+W126+AB126+AG126+AL126+AQ126)))</f>
        <v>0</v>
      </c>
      <c r="AW126" s="55" t="n">
        <f aca="false">AU126+AV126</f>
        <v>0</v>
      </c>
      <c r="AX126" s="55" t="n">
        <f aca="false">ROUND(MAX(0,AX125+AY125-BB125),2)</f>
        <v>0</v>
      </c>
      <c r="AY126" s="55" t="n">
        <f aca="false">ROUND(AX126*$E$14/12,2)</f>
        <v>0</v>
      </c>
      <c r="AZ126" s="55" t="n">
        <f aca="false">MIN($F$14,AX126+AY126)</f>
        <v>0</v>
      </c>
      <c r="BA126" s="55" t="n">
        <f aca="false">MAX(0,MIN(AX126+AY126-AZ126,$D126-(H126+M126+R126+W126+AB126+AG126+AL126+AQ126+AV126)))</f>
        <v>0</v>
      </c>
      <c r="BB126" s="55" t="n">
        <f aca="false">AZ126+BA126</f>
        <v>0</v>
      </c>
      <c r="BC126" s="55" t="n">
        <f aca="false">I126+N126+S126+X126+AC126+AH126+AM126+AR126+AW126+BB126</f>
        <v>0</v>
      </c>
      <c r="BD126" s="55" t="n">
        <f aca="false">ROUND((E126+F126-I126)+(J126+K126-N126)+(O126+P126-S126)+(T126+U126-X126)+(Y126+Z126-AC126)+(AD126+AE126-AH126)+(AI126+AJ126-AM126)+(AN126+AO126-AR126)+(AS126+AT126-AW126)+(AX126+AY126-BB126),2)</f>
        <v>0</v>
      </c>
      <c r="BE126" s="25" t="str">
        <f aca="false">IF(H126&gt;0.005,$C$5,IF(M126&gt;0.005,$C$6,IF(R126&gt;0.005,$C$7,IF(W126&gt;0.005,$C$8,IF(AB126&gt;0.005,$C$9,IF(AG126&gt;0.005,$C$10,IF(AL126&gt;0.005,$C$11,IF(AQ126&gt;0.005,$C$12,IF(AV126&gt;0.005,$C$13,IF(BA126&gt;0.005,$C$14,""))))))))))</f>
        <v/>
      </c>
    </row>
    <row r="127" customFormat="false" ht="15" hidden="false" customHeight="false" outlineLevel="0" collapsed="false">
      <c r="A127" s="24" t="n">
        <v>104</v>
      </c>
      <c r="B127" s="54" t="n">
        <f aca="false">EDATE($C$17,A127-1)</f>
        <v>49461</v>
      </c>
      <c r="C127" s="55" t="n">
        <f aca="false">G127+L127+Q127+V127+AA127+AF127+AK127+AP127+AU127+AZ127</f>
        <v>0</v>
      </c>
      <c r="D127" s="55" t="n">
        <f aca="false">MAX(0,$C$16-C127)</f>
        <v>5822</v>
      </c>
      <c r="E127" s="55" t="n">
        <f aca="false">ROUND(MAX(0,E126+F126-I126),2)</f>
        <v>0</v>
      </c>
      <c r="F127" s="55" t="n">
        <f aca="false">ROUND(E127*$E$5/12,2)</f>
        <v>0</v>
      </c>
      <c r="G127" s="55" t="n">
        <f aca="false">MIN($F$5,E127+F127)</f>
        <v>0</v>
      </c>
      <c r="H127" s="55" t="n">
        <f aca="false">MAX(0,MIN(E127+F127-G127,$D127))</f>
        <v>0</v>
      </c>
      <c r="I127" s="55" t="n">
        <f aca="false">G127+H127</f>
        <v>0</v>
      </c>
      <c r="J127" s="55" t="n">
        <f aca="false">ROUND(MAX(0,J126+K126-N126),2)</f>
        <v>0</v>
      </c>
      <c r="K127" s="55" t="n">
        <f aca="false">ROUND(J127*$E$6/12,2)</f>
        <v>0</v>
      </c>
      <c r="L127" s="55" t="n">
        <f aca="false">MIN($F$6,J127+K127)</f>
        <v>0</v>
      </c>
      <c r="M127" s="55" t="n">
        <f aca="false">MAX(0,MIN(J127+K127-L127,$D127-(H127)))</f>
        <v>0</v>
      </c>
      <c r="N127" s="55" t="n">
        <f aca="false">L127+M127</f>
        <v>0</v>
      </c>
      <c r="O127" s="55" t="n">
        <f aca="false">ROUND(MAX(0,O126+P126-S126),2)</f>
        <v>0</v>
      </c>
      <c r="P127" s="55" t="n">
        <f aca="false">ROUND(O127*$E$7/12,2)</f>
        <v>0</v>
      </c>
      <c r="Q127" s="55" t="n">
        <f aca="false">MIN($F$7,O127+P127)</f>
        <v>0</v>
      </c>
      <c r="R127" s="55" t="n">
        <f aca="false">MAX(0,MIN(O127+P127-Q127,$D127-(H127+M127)))</f>
        <v>0</v>
      </c>
      <c r="S127" s="55" t="n">
        <f aca="false">Q127+R127</f>
        <v>0</v>
      </c>
      <c r="T127" s="55" t="n">
        <f aca="false">ROUND(MAX(0,T126+U126-X126),2)</f>
        <v>0</v>
      </c>
      <c r="U127" s="55" t="n">
        <f aca="false">ROUND(T127*$E$8/12,2)</f>
        <v>0</v>
      </c>
      <c r="V127" s="55" t="n">
        <f aca="false">MIN($F$8,T127+U127)</f>
        <v>0</v>
      </c>
      <c r="W127" s="55" t="n">
        <f aca="false">MAX(0,MIN(T127+U127-V127,$D127-(H127+M127+R127)))</f>
        <v>0</v>
      </c>
      <c r="X127" s="55" t="n">
        <f aca="false">V127+W127</f>
        <v>0</v>
      </c>
      <c r="Y127" s="55" t="n">
        <f aca="false">ROUND(MAX(0,Y126+Z126-AC126),2)</f>
        <v>0</v>
      </c>
      <c r="Z127" s="55" t="n">
        <f aca="false">ROUND(Y127*$E$9/12,2)</f>
        <v>0</v>
      </c>
      <c r="AA127" s="55" t="n">
        <f aca="false">MIN($F$9,Y127+Z127)</f>
        <v>0</v>
      </c>
      <c r="AB127" s="55" t="n">
        <f aca="false">MAX(0,MIN(Y127+Z127-AA127,$D127-(H127+M127+R127+W127)))</f>
        <v>0</v>
      </c>
      <c r="AC127" s="55" t="n">
        <f aca="false">AA127+AB127</f>
        <v>0</v>
      </c>
      <c r="AD127" s="55" t="n">
        <f aca="false">ROUND(MAX(0,AD126+AE126-AH126),2)</f>
        <v>0</v>
      </c>
      <c r="AE127" s="55" t="n">
        <f aca="false">ROUND(AD127*$E$10/12,2)</f>
        <v>0</v>
      </c>
      <c r="AF127" s="55" t="n">
        <f aca="false">MIN($F$10,AD127+AE127)</f>
        <v>0</v>
      </c>
      <c r="AG127" s="55" t="n">
        <f aca="false">MAX(0,MIN(AD127+AE127-AF127,$D127-(H127+M127+R127+W127+AB127)))</f>
        <v>0</v>
      </c>
      <c r="AH127" s="55" t="n">
        <f aca="false">AF127+AG127</f>
        <v>0</v>
      </c>
      <c r="AI127" s="55" t="n">
        <f aca="false">ROUND(MAX(0,AI126+AJ126-AM126),2)</f>
        <v>0</v>
      </c>
      <c r="AJ127" s="55" t="n">
        <f aca="false">ROUND(AI127*$E$11/12,2)</f>
        <v>0</v>
      </c>
      <c r="AK127" s="55" t="n">
        <f aca="false">MIN($F$11,AI127+AJ127)</f>
        <v>0</v>
      </c>
      <c r="AL127" s="55" t="n">
        <f aca="false">MAX(0,MIN(AI127+AJ127-AK127,$D127-(H127+M127+R127+W127+AB127+AG127)))</f>
        <v>0</v>
      </c>
      <c r="AM127" s="55" t="n">
        <f aca="false">AK127+AL127</f>
        <v>0</v>
      </c>
      <c r="AN127" s="55" t="n">
        <f aca="false">ROUND(MAX(0,AN126+AO126-AR126),2)</f>
        <v>0</v>
      </c>
      <c r="AO127" s="55" t="n">
        <f aca="false">ROUND(AN127*$E$12/12,2)</f>
        <v>0</v>
      </c>
      <c r="AP127" s="55" t="n">
        <f aca="false">MIN($F$12,AN127+AO127)</f>
        <v>0</v>
      </c>
      <c r="AQ127" s="55" t="n">
        <f aca="false">MAX(0,MIN(AN127+AO127-AP127,$D127-(H127+M127+R127+W127+AB127+AG127+AL127)))</f>
        <v>0</v>
      </c>
      <c r="AR127" s="55" t="n">
        <f aca="false">AP127+AQ127</f>
        <v>0</v>
      </c>
      <c r="AS127" s="55" t="n">
        <f aca="false">ROUND(MAX(0,AS126+AT126-AW126),2)</f>
        <v>0</v>
      </c>
      <c r="AT127" s="55" t="n">
        <f aca="false">ROUND(AS127*$E$13/12,2)</f>
        <v>0</v>
      </c>
      <c r="AU127" s="55" t="n">
        <f aca="false">MIN($F$13,AS127+AT127)</f>
        <v>0</v>
      </c>
      <c r="AV127" s="55" t="n">
        <f aca="false">MAX(0,MIN(AS127+AT127-AU127,$D127-(H127+M127+R127+W127+AB127+AG127+AL127+AQ127)))</f>
        <v>0</v>
      </c>
      <c r="AW127" s="55" t="n">
        <f aca="false">AU127+AV127</f>
        <v>0</v>
      </c>
      <c r="AX127" s="55" t="n">
        <f aca="false">ROUND(MAX(0,AX126+AY126-BB126),2)</f>
        <v>0</v>
      </c>
      <c r="AY127" s="55" t="n">
        <f aca="false">ROUND(AX127*$E$14/12,2)</f>
        <v>0</v>
      </c>
      <c r="AZ127" s="55" t="n">
        <f aca="false">MIN($F$14,AX127+AY127)</f>
        <v>0</v>
      </c>
      <c r="BA127" s="55" t="n">
        <f aca="false">MAX(0,MIN(AX127+AY127-AZ127,$D127-(H127+M127+R127+W127+AB127+AG127+AL127+AQ127+AV127)))</f>
        <v>0</v>
      </c>
      <c r="BB127" s="55" t="n">
        <f aca="false">AZ127+BA127</f>
        <v>0</v>
      </c>
      <c r="BC127" s="55" t="n">
        <f aca="false">I127+N127+S127+X127+AC127+AH127+AM127+AR127+AW127+BB127</f>
        <v>0</v>
      </c>
      <c r="BD127" s="55" t="n">
        <f aca="false">ROUND((E127+F127-I127)+(J127+K127-N127)+(O127+P127-S127)+(T127+U127-X127)+(Y127+Z127-AC127)+(AD127+AE127-AH127)+(AI127+AJ127-AM127)+(AN127+AO127-AR127)+(AS127+AT127-AW127)+(AX127+AY127-BB127),2)</f>
        <v>0</v>
      </c>
      <c r="BE127" s="25" t="str">
        <f aca="false">IF(H127&gt;0.005,$C$5,IF(M127&gt;0.005,$C$6,IF(R127&gt;0.005,$C$7,IF(W127&gt;0.005,$C$8,IF(AB127&gt;0.005,$C$9,IF(AG127&gt;0.005,$C$10,IF(AL127&gt;0.005,$C$11,IF(AQ127&gt;0.005,$C$12,IF(AV127&gt;0.005,$C$13,IF(BA127&gt;0.005,$C$14,""))))))))))</f>
        <v/>
      </c>
    </row>
    <row r="128" customFormat="false" ht="15" hidden="false" customHeight="false" outlineLevel="0" collapsed="false">
      <c r="A128" s="24" t="n">
        <v>105</v>
      </c>
      <c r="B128" s="54" t="n">
        <f aca="false">EDATE($C$17,A128-1)</f>
        <v>49491</v>
      </c>
      <c r="C128" s="55" t="n">
        <f aca="false">G128+L128+Q128+V128+AA128+AF128+AK128+AP128+AU128+AZ128</f>
        <v>0</v>
      </c>
      <c r="D128" s="55" t="n">
        <f aca="false">MAX(0,$C$16-C128)</f>
        <v>5822</v>
      </c>
      <c r="E128" s="55" t="n">
        <f aca="false">ROUND(MAX(0,E127+F127-I127),2)</f>
        <v>0</v>
      </c>
      <c r="F128" s="55" t="n">
        <f aca="false">ROUND(E128*$E$5/12,2)</f>
        <v>0</v>
      </c>
      <c r="G128" s="55" t="n">
        <f aca="false">MIN($F$5,E128+F128)</f>
        <v>0</v>
      </c>
      <c r="H128" s="55" t="n">
        <f aca="false">MAX(0,MIN(E128+F128-G128,$D128))</f>
        <v>0</v>
      </c>
      <c r="I128" s="55" t="n">
        <f aca="false">G128+H128</f>
        <v>0</v>
      </c>
      <c r="J128" s="55" t="n">
        <f aca="false">ROUND(MAX(0,J127+K127-N127),2)</f>
        <v>0</v>
      </c>
      <c r="K128" s="55" t="n">
        <f aca="false">ROUND(J128*$E$6/12,2)</f>
        <v>0</v>
      </c>
      <c r="L128" s="55" t="n">
        <f aca="false">MIN($F$6,J128+K128)</f>
        <v>0</v>
      </c>
      <c r="M128" s="55" t="n">
        <f aca="false">MAX(0,MIN(J128+K128-L128,$D128-(H128)))</f>
        <v>0</v>
      </c>
      <c r="N128" s="55" t="n">
        <f aca="false">L128+M128</f>
        <v>0</v>
      </c>
      <c r="O128" s="55" t="n">
        <f aca="false">ROUND(MAX(0,O127+P127-S127),2)</f>
        <v>0</v>
      </c>
      <c r="P128" s="55" t="n">
        <f aca="false">ROUND(O128*$E$7/12,2)</f>
        <v>0</v>
      </c>
      <c r="Q128" s="55" t="n">
        <f aca="false">MIN($F$7,O128+P128)</f>
        <v>0</v>
      </c>
      <c r="R128" s="55" t="n">
        <f aca="false">MAX(0,MIN(O128+P128-Q128,$D128-(H128+M128)))</f>
        <v>0</v>
      </c>
      <c r="S128" s="55" t="n">
        <f aca="false">Q128+R128</f>
        <v>0</v>
      </c>
      <c r="T128" s="55" t="n">
        <f aca="false">ROUND(MAX(0,T127+U127-X127),2)</f>
        <v>0</v>
      </c>
      <c r="U128" s="55" t="n">
        <f aca="false">ROUND(T128*$E$8/12,2)</f>
        <v>0</v>
      </c>
      <c r="V128" s="55" t="n">
        <f aca="false">MIN($F$8,T128+U128)</f>
        <v>0</v>
      </c>
      <c r="W128" s="55" t="n">
        <f aca="false">MAX(0,MIN(T128+U128-V128,$D128-(H128+M128+R128)))</f>
        <v>0</v>
      </c>
      <c r="X128" s="55" t="n">
        <f aca="false">V128+W128</f>
        <v>0</v>
      </c>
      <c r="Y128" s="55" t="n">
        <f aca="false">ROUND(MAX(0,Y127+Z127-AC127),2)</f>
        <v>0</v>
      </c>
      <c r="Z128" s="55" t="n">
        <f aca="false">ROUND(Y128*$E$9/12,2)</f>
        <v>0</v>
      </c>
      <c r="AA128" s="55" t="n">
        <f aca="false">MIN($F$9,Y128+Z128)</f>
        <v>0</v>
      </c>
      <c r="AB128" s="55" t="n">
        <f aca="false">MAX(0,MIN(Y128+Z128-AA128,$D128-(H128+M128+R128+W128)))</f>
        <v>0</v>
      </c>
      <c r="AC128" s="55" t="n">
        <f aca="false">AA128+AB128</f>
        <v>0</v>
      </c>
      <c r="AD128" s="55" t="n">
        <f aca="false">ROUND(MAX(0,AD127+AE127-AH127),2)</f>
        <v>0</v>
      </c>
      <c r="AE128" s="55" t="n">
        <f aca="false">ROUND(AD128*$E$10/12,2)</f>
        <v>0</v>
      </c>
      <c r="AF128" s="55" t="n">
        <f aca="false">MIN($F$10,AD128+AE128)</f>
        <v>0</v>
      </c>
      <c r="AG128" s="55" t="n">
        <f aca="false">MAX(0,MIN(AD128+AE128-AF128,$D128-(H128+M128+R128+W128+AB128)))</f>
        <v>0</v>
      </c>
      <c r="AH128" s="55" t="n">
        <f aca="false">AF128+AG128</f>
        <v>0</v>
      </c>
      <c r="AI128" s="55" t="n">
        <f aca="false">ROUND(MAX(0,AI127+AJ127-AM127),2)</f>
        <v>0</v>
      </c>
      <c r="AJ128" s="55" t="n">
        <f aca="false">ROUND(AI128*$E$11/12,2)</f>
        <v>0</v>
      </c>
      <c r="AK128" s="55" t="n">
        <f aca="false">MIN($F$11,AI128+AJ128)</f>
        <v>0</v>
      </c>
      <c r="AL128" s="55" t="n">
        <f aca="false">MAX(0,MIN(AI128+AJ128-AK128,$D128-(H128+M128+R128+W128+AB128+AG128)))</f>
        <v>0</v>
      </c>
      <c r="AM128" s="55" t="n">
        <f aca="false">AK128+AL128</f>
        <v>0</v>
      </c>
      <c r="AN128" s="55" t="n">
        <f aca="false">ROUND(MAX(0,AN127+AO127-AR127),2)</f>
        <v>0</v>
      </c>
      <c r="AO128" s="55" t="n">
        <f aca="false">ROUND(AN128*$E$12/12,2)</f>
        <v>0</v>
      </c>
      <c r="AP128" s="55" t="n">
        <f aca="false">MIN($F$12,AN128+AO128)</f>
        <v>0</v>
      </c>
      <c r="AQ128" s="55" t="n">
        <f aca="false">MAX(0,MIN(AN128+AO128-AP128,$D128-(H128+M128+R128+W128+AB128+AG128+AL128)))</f>
        <v>0</v>
      </c>
      <c r="AR128" s="55" t="n">
        <f aca="false">AP128+AQ128</f>
        <v>0</v>
      </c>
      <c r="AS128" s="55" t="n">
        <f aca="false">ROUND(MAX(0,AS127+AT127-AW127),2)</f>
        <v>0</v>
      </c>
      <c r="AT128" s="55" t="n">
        <f aca="false">ROUND(AS128*$E$13/12,2)</f>
        <v>0</v>
      </c>
      <c r="AU128" s="55" t="n">
        <f aca="false">MIN($F$13,AS128+AT128)</f>
        <v>0</v>
      </c>
      <c r="AV128" s="55" t="n">
        <f aca="false">MAX(0,MIN(AS128+AT128-AU128,$D128-(H128+M128+R128+W128+AB128+AG128+AL128+AQ128)))</f>
        <v>0</v>
      </c>
      <c r="AW128" s="55" t="n">
        <f aca="false">AU128+AV128</f>
        <v>0</v>
      </c>
      <c r="AX128" s="55" t="n">
        <f aca="false">ROUND(MAX(0,AX127+AY127-BB127),2)</f>
        <v>0</v>
      </c>
      <c r="AY128" s="55" t="n">
        <f aca="false">ROUND(AX128*$E$14/12,2)</f>
        <v>0</v>
      </c>
      <c r="AZ128" s="55" t="n">
        <f aca="false">MIN($F$14,AX128+AY128)</f>
        <v>0</v>
      </c>
      <c r="BA128" s="55" t="n">
        <f aca="false">MAX(0,MIN(AX128+AY128-AZ128,$D128-(H128+M128+R128+W128+AB128+AG128+AL128+AQ128+AV128)))</f>
        <v>0</v>
      </c>
      <c r="BB128" s="55" t="n">
        <f aca="false">AZ128+BA128</f>
        <v>0</v>
      </c>
      <c r="BC128" s="55" t="n">
        <f aca="false">I128+N128+S128+X128+AC128+AH128+AM128+AR128+AW128+BB128</f>
        <v>0</v>
      </c>
      <c r="BD128" s="55" t="n">
        <f aca="false">ROUND((E128+F128-I128)+(J128+K128-N128)+(O128+P128-S128)+(T128+U128-X128)+(Y128+Z128-AC128)+(AD128+AE128-AH128)+(AI128+AJ128-AM128)+(AN128+AO128-AR128)+(AS128+AT128-AW128)+(AX128+AY128-BB128),2)</f>
        <v>0</v>
      </c>
      <c r="BE128" s="25" t="str">
        <f aca="false">IF(H128&gt;0.005,$C$5,IF(M128&gt;0.005,$C$6,IF(R128&gt;0.005,$C$7,IF(W128&gt;0.005,$C$8,IF(AB128&gt;0.005,$C$9,IF(AG128&gt;0.005,$C$10,IF(AL128&gt;0.005,$C$11,IF(AQ128&gt;0.005,$C$12,IF(AV128&gt;0.005,$C$13,IF(BA128&gt;0.005,$C$14,""))))))))))</f>
        <v/>
      </c>
    </row>
    <row r="129" customFormat="false" ht="15" hidden="false" customHeight="false" outlineLevel="0" collapsed="false">
      <c r="A129" s="24" t="n">
        <v>106</v>
      </c>
      <c r="B129" s="54" t="n">
        <f aca="false">EDATE($C$17,A129-1)</f>
        <v>49522</v>
      </c>
      <c r="C129" s="55" t="n">
        <f aca="false">G129+L129+Q129+V129+AA129+AF129+AK129+AP129+AU129+AZ129</f>
        <v>0</v>
      </c>
      <c r="D129" s="55" t="n">
        <f aca="false">MAX(0,$C$16-C129)</f>
        <v>5822</v>
      </c>
      <c r="E129" s="55" t="n">
        <f aca="false">ROUND(MAX(0,E128+F128-I128),2)</f>
        <v>0</v>
      </c>
      <c r="F129" s="55" t="n">
        <f aca="false">ROUND(E129*$E$5/12,2)</f>
        <v>0</v>
      </c>
      <c r="G129" s="55" t="n">
        <f aca="false">MIN($F$5,E129+F129)</f>
        <v>0</v>
      </c>
      <c r="H129" s="55" t="n">
        <f aca="false">MAX(0,MIN(E129+F129-G129,$D129))</f>
        <v>0</v>
      </c>
      <c r="I129" s="55" t="n">
        <f aca="false">G129+H129</f>
        <v>0</v>
      </c>
      <c r="J129" s="55" t="n">
        <f aca="false">ROUND(MAX(0,J128+K128-N128),2)</f>
        <v>0</v>
      </c>
      <c r="K129" s="55" t="n">
        <f aca="false">ROUND(J129*$E$6/12,2)</f>
        <v>0</v>
      </c>
      <c r="L129" s="55" t="n">
        <f aca="false">MIN($F$6,J129+K129)</f>
        <v>0</v>
      </c>
      <c r="M129" s="55" t="n">
        <f aca="false">MAX(0,MIN(J129+K129-L129,$D129-(H129)))</f>
        <v>0</v>
      </c>
      <c r="N129" s="55" t="n">
        <f aca="false">L129+M129</f>
        <v>0</v>
      </c>
      <c r="O129" s="55" t="n">
        <f aca="false">ROUND(MAX(0,O128+P128-S128),2)</f>
        <v>0</v>
      </c>
      <c r="P129" s="55" t="n">
        <f aca="false">ROUND(O129*$E$7/12,2)</f>
        <v>0</v>
      </c>
      <c r="Q129" s="55" t="n">
        <f aca="false">MIN($F$7,O129+P129)</f>
        <v>0</v>
      </c>
      <c r="R129" s="55" t="n">
        <f aca="false">MAX(0,MIN(O129+P129-Q129,$D129-(H129+M129)))</f>
        <v>0</v>
      </c>
      <c r="S129" s="55" t="n">
        <f aca="false">Q129+R129</f>
        <v>0</v>
      </c>
      <c r="T129" s="55" t="n">
        <f aca="false">ROUND(MAX(0,T128+U128-X128),2)</f>
        <v>0</v>
      </c>
      <c r="U129" s="55" t="n">
        <f aca="false">ROUND(T129*$E$8/12,2)</f>
        <v>0</v>
      </c>
      <c r="V129" s="55" t="n">
        <f aca="false">MIN($F$8,T129+U129)</f>
        <v>0</v>
      </c>
      <c r="W129" s="55" t="n">
        <f aca="false">MAX(0,MIN(T129+U129-V129,$D129-(H129+M129+R129)))</f>
        <v>0</v>
      </c>
      <c r="X129" s="55" t="n">
        <f aca="false">V129+W129</f>
        <v>0</v>
      </c>
      <c r="Y129" s="55" t="n">
        <f aca="false">ROUND(MAX(0,Y128+Z128-AC128),2)</f>
        <v>0</v>
      </c>
      <c r="Z129" s="55" t="n">
        <f aca="false">ROUND(Y129*$E$9/12,2)</f>
        <v>0</v>
      </c>
      <c r="AA129" s="55" t="n">
        <f aca="false">MIN($F$9,Y129+Z129)</f>
        <v>0</v>
      </c>
      <c r="AB129" s="55" t="n">
        <f aca="false">MAX(0,MIN(Y129+Z129-AA129,$D129-(H129+M129+R129+W129)))</f>
        <v>0</v>
      </c>
      <c r="AC129" s="55" t="n">
        <f aca="false">AA129+AB129</f>
        <v>0</v>
      </c>
      <c r="AD129" s="55" t="n">
        <f aca="false">ROUND(MAX(0,AD128+AE128-AH128),2)</f>
        <v>0</v>
      </c>
      <c r="AE129" s="55" t="n">
        <f aca="false">ROUND(AD129*$E$10/12,2)</f>
        <v>0</v>
      </c>
      <c r="AF129" s="55" t="n">
        <f aca="false">MIN($F$10,AD129+AE129)</f>
        <v>0</v>
      </c>
      <c r="AG129" s="55" t="n">
        <f aca="false">MAX(0,MIN(AD129+AE129-AF129,$D129-(H129+M129+R129+W129+AB129)))</f>
        <v>0</v>
      </c>
      <c r="AH129" s="55" t="n">
        <f aca="false">AF129+AG129</f>
        <v>0</v>
      </c>
      <c r="AI129" s="55" t="n">
        <f aca="false">ROUND(MAX(0,AI128+AJ128-AM128),2)</f>
        <v>0</v>
      </c>
      <c r="AJ129" s="55" t="n">
        <f aca="false">ROUND(AI129*$E$11/12,2)</f>
        <v>0</v>
      </c>
      <c r="AK129" s="55" t="n">
        <f aca="false">MIN($F$11,AI129+AJ129)</f>
        <v>0</v>
      </c>
      <c r="AL129" s="55" t="n">
        <f aca="false">MAX(0,MIN(AI129+AJ129-AK129,$D129-(H129+M129+R129+W129+AB129+AG129)))</f>
        <v>0</v>
      </c>
      <c r="AM129" s="55" t="n">
        <f aca="false">AK129+AL129</f>
        <v>0</v>
      </c>
      <c r="AN129" s="55" t="n">
        <f aca="false">ROUND(MAX(0,AN128+AO128-AR128),2)</f>
        <v>0</v>
      </c>
      <c r="AO129" s="55" t="n">
        <f aca="false">ROUND(AN129*$E$12/12,2)</f>
        <v>0</v>
      </c>
      <c r="AP129" s="55" t="n">
        <f aca="false">MIN($F$12,AN129+AO129)</f>
        <v>0</v>
      </c>
      <c r="AQ129" s="55" t="n">
        <f aca="false">MAX(0,MIN(AN129+AO129-AP129,$D129-(H129+M129+R129+W129+AB129+AG129+AL129)))</f>
        <v>0</v>
      </c>
      <c r="AR129" s="55" t="n">
        <f aca="false">AP129+AQ129</f>
        <v>0</v>
      </c>
      <c r="AS129" s="55" t="n">
        <f aca="false">ROUND(MAX(0,AS128+AT128-AW128),2)</f>
        <v>0</v>
      </c>
      <c r="AT129" s="55" t="n">
        <f aca="false">ROUND(AS129*$E$13/12,2)</f>
        <v>0</v>
      </c>
      <c r="AU129" s="55" t="n">
        <f aca="false">MIN($F$13,AS129+AT129)</f>
        <v>0</v>
      </c>
      <c r="AV129" s="55" t="n">
        <f aca="false">MAX(0,MIN(AS129+AT129-AU129,$D129-(H129+M129+R129+W129+AB129+AG129+AL129+AQ129)))</f>
        <v>0</v>
      </c>
      <c r="AW129" s="55" t="n">
        <f aca="false">AU129+AV129</f>
        <v>0</v>
      </c>
      <c r="AX129" s="55" t="n">
        <f aca="false">ROUND(MAX(0,AX128+AY128-BB128),2)</f>
        <v>0</v>
      </c>
      <c r="AY129" s="55" t="n">
        <f aca="false">ROUND(AX129*$E$14/12,2)</f>
        <v>0</v>
      </c>
      <c r="AZ129" s="55" t="n">
        <f aca="false">MIN($F$14,AX129+AY129)</f>
        <v>0</v>
      </c>
      <c r="BA129" s="55" t="n">
        <f aca="false">MAX(0,MIN(AX129+AY129-AZ129,$D129-(H129+M129+R129+W129+AB129+AG129+AL129+AQ129+AV129)))</f>
        <v>0</v>
      </c>
      <c r="BB129" s="55" t="n">
        <f aca="false">AZ129+BA129</f>
        <v>0</v>
      </c>
      <c r="BC129" s="55" t="n">
        <f aca="false">I129+N129+S129+X129+AC129+AH129+AM129+AR129+AW129+BB129</f>
        <v>0</v>
      </c>
      <c r="BD129" s="55" t="n">
        <f aca="false">ROUND((E129+F129-I129)+(J129+K129-N129)+(O129+P129-S129)+(T129+U129-X129)+(Y129+Z129-AC129)+(AD129+AE129-AH129)+(AI129+AJ129-AM129)+(AN129+AO129-AR129)+(AS129+AT129-AW129)+(AX129+AY129-BB129),2)</f>
        <v>0</v>
      </c>
      <c r="BE129" s="25" t="str">
        <f aca="false">IF(H129&gt;0.005,$C$5,IF(M129&gt;0.005,$C$6,IF(R129&gt;0.005,$C$7,IF(W129&gt;0.005,$C$8,IF(AB129&gt;0.005,$C$9,IF(AG129&gt;0.005,$C$10,IF(AL129&gt;0.005,$C$11,IF(AQ129&gt;0.005,$C$12,IF(AV129&gt;0.005,$C$13,IF(BA129&gt;0.005,$C$14,""))))))))))</f>
        <v/>
      </c>
    </row>
    <row r="130" customFormat="false" ht="15" hidden="false" customHeight="false" outlineLevel="0" collapsed="false">
      <c r="A130" s="24" t="n">
        <v>107</v>
      </c>
      <c r="B130" s="54" t="n">
        <f aca="false">EDATE($C$17,A130-1)</f>
        <v>49553</v>
      </c>
      <c r="C130" s="55" t="n">
        <f aca="false">G130+L130+Q130+V130+AA130+AF130+AK130+AP130+AU130+AZ130</f>
        <v>0</v>
      </c>
      <c r="D130" s="55" t="n">
        <f aca="false">MAX(0,$C$16-C130)</f>
        <v>5822</v>
      </c>
      <c r="E130" s="55" t="n">
        <f aca="false">ROUND(MAX(0,E129+F129-I129),2)</f>
        <v>0</v>
      </c>
      <c r="F130" s="55" t="n">
        <f aca="false">ROUND(E130*$E$5/12,2)</f>
        <v>0</v>
      </c>
      <c r="G130" s="55" t="n">
        <f aca="false">MIN($F$5,E130+F130)</f>
        <v>0</v>
      </c>
      <c r="H130" s="55" t="n">
        <f aca="false">MAX(0,MIN(E130+F130-G130,$D130))</f>
        <v>0</v>
      </c>
      <c r="I130" s="55" t="n">
        <f aca="false">G130+H130</f>
        <v>0</v>
      </c>
      <c r="J130" s="55" t="n">
        <f aca="false">ROUND(MAX(0,J129+K129-N129),2)</f>
        <v>0</v>
      </c>
      <c r="K130" s="55" t="n">
        <f aca="false">ROUND(J130*$E$6/12,2)</f>
        <v>0</v>
      </c>
      <c r="L130" s="55" t="n">
        <f aca="false">MIN($F$6,J130+K130)</f>
        <v>0</v>
      </c>
      <c r="M130" s="55" t="n">
        <f aca="false">MAX(0,MIN(J130+K130-L130,$D130-(H130)))</f>
        <v>0</v>
      </c>
      <c r="N130" s="55" t="n">
        <f aca="false">L130+M130</f>
        <v>0</v>
      </c>
      <c r="O130" s="55" t="n">
        <f aca="false">ROUND(MAX(0,O129+P129-S129),2)</f>
        <v>0</v>
      </c>
      <c r="P130" s="55" t="n">
        <f aca="false">ROUND(O130*$E$7/12,2)</f>
        <v>0</v>
      </c>
      <c r="Q130" s="55" t="n">
        <f aca="false">MIN($F$7,O130+P130)</f>
        <v>0</v>
      </c>
      <c r="R130" s="55" t="n">
        <f aca="false">MAX(0,MIN(O130+P130-Q130,$D130-(H130+M130)))</f>
        <v>0</v>
      </c>
      <c r="S130" s="55" t="n">
        <f aca="false">Q130+R130</f>
        <v>0</v>
      </c>
      <c r="T130" s="55" t="n">
        <f aca="false">ROUND(MAX(0,T129+U129-X129),2)</f>
        <v>0</v>
      </c>
      <c r="U130" s="55" t="n">
        <f aca="false">ROUND(T130*$E$8/12,2)</f>
        <v>0</v>
      </c>
      <c r="V130" s="55" t="n">
        <f aca="false">MIN($F$8,T130+U130)</f>
        <v>0</v>
      </c>
      <c r="W130" s="55" t="n">
        <f aca="false">MAX(0,MIN(T130+U130-V130,$D130-(H130+M130+R130)))</f>
        <v>0</v>
      </c>
      <c r="X130" s="55" t="n">
        <f aca="false">V130+W130</f>
        <v>0</v>
      </c>
      <c r="Y130" s="55" t="n">
        <f aca="false">ROUND(MAX(0,Y129+Z129-AC129),2)</f>
        <v>0</v>
      </c>
      <c r="Z130" s="55" t="n">
        <f aca="false">ROUND(Y130*$E$9/12,2)</f>
        <v>0</v>
      </c>
      <c r="AA130" s="55" t="n">
        <f aca="false">MIN($F$9,Y130+Z130)</f>
        <v>0</v>
      </c>
      <c r="AB130" s="55" t="n">
        <f aca="false">MAX(0,MIN(Y130+Z130-AA130,$D130-(H130+M130+R130+W130)))</f>
        <v>0</v>
      </c>
      <c r="AC130" s="55" t="n">
        <f aca="false">AA130+AB130</f>
        <v>0</v>
      </c>
      <c r="AD130" s="55" t="n">
        <f aca="false">ROUND(MAX(0,AD129+AE129-AH129),2)</f>
        <v>0</v>
      </c>
      <c r="AE130" s="55" t="n">
        <f aca="false">ROUND(AD130*$E$10/12,2)</f>
        <v>0</v>
      </c>
      <c r="AF130" s="55" t="n">
        <f aca="false">MIN($F$10,AD130+AE130)</f>
        <v>0</v>
      </c>
      <c r="AG130" s="55" t="n">
        <f aca="false">MAX(0,MIN(AD130+AE130-AF130,$D130-(H130+M130+R130+W130+AB130)))</f>
        <v>0</v>
      </c>
      <c r="AH130" s="55" t="n">
        <f aca="false">AF130+AG130</f>
        <v>0</v>
      </c>
      <c r="AI130" s="55" t="n">
        <f aca="false">ROUND(MAX(0,AI129+AJ129-AM129),2)</f>
        <v>0</v>
      </c>
      <c r="AJ130" s="55" t="n">
        <f aca="false">ROUND(AI130*$E$11/12,2)</f>
        <v>0</v>
      </c>
      <c r="AK130" s="55" t="n">
        <f aca="false">MIN($F$11,AI130+AJ130)</f>
        <v>0</v>
      </c>
      <c r="AL130" s="55" t="n">
        <f aca="false">MAX(0,MIN(AI130+AJ130-AK130,$D130-(H130+M130+R130+W130+AB130+AG130)))</f>
        <v>0</v>
      </c>
      <c r="AM130" s="55" t="n">
        <f aca="false">AK130+AL130</f>
        <v>0</v>
      </c>
      <c r="AN130" s="55" t="n">
        <f aca="false">ROUND(MAX(0,AN129+AO129-AR129),2)</f>
        <v>0</v>
      </c>
      <c r="AO130" s="55" t="n">
        <f aca="false">ROUND(AN130*$E$12/12,2)</f>
        <v>0</v>
      </c>
      <c r="AP130" s="55" t="n">
        <f aca="false">MIN($F$12,AN130+AO130)</f>
        <v>0</v>
      </c>
      <c r="AQ130" s="55" t="n">
        <f aca="false">MAX(0,MIN(AN130+AO130-AP130,$D130-(H130+M130+R130+W130+AB130+AG130+AL130)))</f>
        <v>0</v>
      </c>
      <c r="AR130" s="55" t="n">
        <f aca="false">AP130+AQ130</f>
        <v>0</v>
      </c>
      <c r="AS130" s="55" t="n">
        <f aca="false">ROUND(MAX(0,AS129+AT129-AW129),2)</f>
        <v>0</v>
      </c>
      <c r="AT130" s="55" t="n">
        <f aca="false">ROUND(AS130*$E$13/12,2)</f>
        <v>0</v>
      </c>
      <c r="AU130" s="55" t="n">
        <f aca="false">MIN($F$13,AS130+AT130)</f>
        <v>0</v>
      </c>
      <c r="AV130" s="55" t="n">
        <f aca="false">MAX(0,MIN(AS130+AT130-AU130,$D130-(H130+M130+R130+W130+AB130+AG130+AL130+AQ130)))</f>
        <v>0</v>
      </c>
      <c r="AW130" s="55" t="n">
        <f aca="false">AU130+AV130</f>
        <v>0</v>
      </c>
      <c r="AX130" s="55" t="n">
        <f aca="false">ROUND(MAX(0,AX129+AY129-BB129),2)</f>
        <v>0</v>
      </c>
      <c r="AY130" s="55" t="n">
        <f aca="false">ROUND(AX130*$E$14/12,2)</f>
        <v>0</v>
      </c>
      <c r="AZ130" s="55" t="n">
        <f aca="false">MIN($F$14,AX130+AY130)</f>
        <v>0</v>
      </c>
      <c r="BA130" s="55" t="n">
        <f aca="false">MAX(0,MIN(AX130+AY130-AZ130,$D130-(H130+M130+R130+W130+AB130+AG130+AL130+AQ130+AV130)))</f>
        <v>0</v>
      </c>
      <c r="BB130" s="55" t="n">
        <f aca="false">AZ130+BA130</f>
        <v>0</v>
      </c>
      <c r="BC130" s="55" t="n">
        <f aca="false">I130+N130+S130+X130+AC130+AH130+AM130+AR130+AW130+BB130</f>
        <v>0</v>
      </c>
      <c r="BD130" s="55" t="n">
        <f aca="false">ROUND((E130+F130-I130)+(J130+K130-N130)+(O130+P130-S130)+(T130+U130-X130)+(Y130+Z130-AC130)+(AD130+AE130-AH130)+(AI130+AJ130-AM130)+(AN130+AO130-AR130)+(AS130+AT130-AW130)+(AX130+AY130-BB130),2)</f>
        <v>0</v>
      </c>
      <c r="BE130" s="25" t="str">
        <f aca="false">IF(H130&gt;0.005,$C$5,IF(M130&gt;0.005,$C$6,IF(R130&gt;0.005,$C$7,IF(W130&gt;0.005,$C$8,IF(AB130&gt;0.005,$C$9,IF(AG130&gt;0.005,$C$10,IF(AL130&gt;0.005,$C$11,IF(AQ130&gt;0.005,$C$12,IF(AV130&gt;0.005,$C$13,IF(BA130&gt;0.005,$C$14,""))))))))))</f>
        <v/>
      </c>
    </row>
    <row r="131" customFormat="false" ht="15" hidden="false" customHeight="false" outlineLevel="0" collapsed="false">
      <c r="A131" s="24" t="n">
        <v>108</v>
      </c>
      <c r="B131" s="54" t="n">
        <f aca="false">EDATE($C$17,A131-1)</f>
        <v>49583</v>
      </c>
      <c r="C131" s="55" t="n">
        <f aca="false">G131+L131+Q131+V131+AA131+AF131+AK131+AP131+AU131+AZ131</f>
        <v>0</v>
      </c>
      <c r="D131" s="55" t="n">
        <f aca="false">MAX(0,$C$16-C131)</f>
        <v>5822</v>
      </c>
      <c r="E131" s="55" t="n">
        <f aca="false">ROUND(MAX(0,E130+F130-I130),2)</f>
        <v>0</v>
      </c>
      <c r="F131" s="55" t="n">
        <f aca="false">ROUND(E131*$E$5/12,2)</f>
        <v>0</v>
      </c>
      <c r="G131" s="55" t="n">
        <f aca="false">MIN($F$5,E131+F131)</f>
        <v>0</v>
      </c>
      <c r="H131" s="55" t="n">
        <f aca="false">MAX(0,MIN(E131+F131-G131,$D131))</f>
        <v>0</v>
      </c>
      <c r="I131" s="55" t="n">
        <f aca="false">G131+H131</f>
        <v>0</v>
      </c>
      <c r="J131" s="55" t="n">
        <f aca="false">ROUND(MAX(0,J130+K130-N130),2)</f>
        <v>0</v>
      </c>
      <c r="K131" s="55" t="n">
        <f aca="false">ROUND(J131*$E$6/12,2)</f>
        <v>0</v>
      </c>
      <c r="L131" s="55" t="n">
        <f aca="false">MIN($F$6,J131+K131)</f>
        <v>0</v>
      </c>
      <c r="M131" s="55" t="n">
        <f aca="false">MAX(0,MIN(J131+K131-L131,$D131-(H131)))</f>
        <v>0</v>
      </c>
      <c r="N131" s="55" t="n">
        <f aca="false">L131+M131</f>
        <v>0</v>
      </c>
      <c r="O131" s="55" t="n">
        <f aca="false">ROUND(MAX(0,O130+P130-S130),2)</f>
        <v>0</v>
      </c>
      <c r="P131" s="55" t="n">
        <f aca="false">ROUND(O131*$E$7/12,2)</f>
        <v>0</v>
      </c>
      <c r="Q131" s="55" t="n">
        <f aca="false">MIN($F$7,O131+P131)</f>
        <v>0</v>
      </c>
      <c r="R131" s="55" t="n">
        <f aca="false">MAX(0,MIN(O131+P131-Q131,$D131-(H131+M131)))</f>
        <v>0</v>
      </c>
      <c r="S131" s="55" t="n">
        <f aca="false">Q131+R131</f>
        <v>0</v>
      </c>
      <c r="T131" s="55" t="n">
        <f aca="false">ROUND(MAX(0,T130+U130-X130),2)</f>
        <v>0</v>
      </c>
      <c r="U131" s="55" t="n">
        <f aca="false">ROUND(T131*$E$8/12,2)</f>
        <v>0</v>
      </c>
      <c r="V131" s="55" t="n">
        <f aca="false">MIN($F$8,T131+U131)</f>
        <v>0</v>
      </c>
      <c r="W131" s="55" t="n">
        <f aca="false">MAX(0,MIN(T131+U131-V131,$D131-(H131+M131+R131)))</f>
        <v>0</v>
      </c>
      <c r="X131" s="55" t="n">
        <f aca="false">V131+W131</f>
        <v>0</v>
      </c>
      <c r="Y131" s="55" t="n">
        <f aca="false">ROUND(MAX(0,Y130+Z130-AC130),2)</f>
        <v>0</v>
      </c>
      <c r="Z131" s="55" t="n">
        <f aca="false">ROUND(Y131*$E$9/12,2)</f>
        <v>0</v>
      </c>
      <c r="AA131" s="55" t="n">
        <f aca="false">MIN($F$9,Y131+Z131)</f>
        <v>0</v>
      </c>
      <c r="AB131" s="55" t="n">
        <f aca="false">MAX(0,MIN(Y131+Z131-AA131,$D131-(H131+M131+R131+W131)))</f>
        <v>0</v>
      </c>
      <c r="AC131" s="55" t="n">
        <f aca="false">AA131+AB131</f>
        <v>0</v>
      </c>
      <c r="AD131" s="55" t="n">
        <f aca="false">ROUND(MAX(0,AD130+AE130-AH130),2)</f>
        <v>0</v>
      </c>
      <c r="AE131" s="55" t="n">
        <f aca="false">ROUND(AD131*$E$10/12,2)</f>
        <v>0</v>
      </c>
      <c r="AF131" s="55" t="n">
        <f aca="false">MIN($F$10,AD131+AE131)</f>
        <v>0</v>
      </c>
      <c r="AG131" s="55" t="n">
        <f aca="false">MAX(0,MIN(AD131+AE131-AF131,$D131-(H131+M131+R131+W131+AB131)))</f>
        <v>0</v>
      </c>
      <c r="AH131" s="55" t="n">
        <f aca="false">AF131+AG131</f>
        <v>0</v>
      </c>
      <c r="AI131" s="55" t="n">
        <f aca="false">ROUND(MAX(0,AI130+AJ130-AM130),2)</f>
        <v>0</v>
      </c>
      <c r="AJ131" s="55" t="n">
        <f aca="false">ROUND(AI131*$E$11/12,2)</f>
        <v>0</v>
      </c>
      <c r="AK131" s="55" t="n">
        <f aca="false">MIN($F$11,AI131+AJ131)</f>
        <v>0</v>
      </c>
      <c r="AL131" s="55" t="n">
        <f aca="false">MAX(0,MIN(AI131+AJ131-AK131,$D131-(H131+M131+R131+W131+AB131+AG131)))</f>
        <v>0</v>
      </c>
      <c r="AM131" s="55" t="n">
        <f aca="false">AK131+AL131</f>
        <v>0</v>
      </c>
      <c r="AN131" s="55" t="n">
        <f aca="false">ROUND(MAX(0,AN130+AO130-AR130),2)</f>
        <v>0</v>
      </c>
      <c r="AO131" s="55" t="n">
        <f aca="false">ROUND(AN131*$E$12/12,2)</f>
        <v>0</v>
      </c>
      <c r="AP131" s="55" t="n">
        <f aca="false">MIN($F$12,AN131+AO131)</f>
        <v>0</v>
      </c>
      <c r="AQ131" s="55" t="n">
        <f aca="false">MAX(0,MIN(AN131+AO131-AP131,$D131-(H131+M131+R131+W131+AB131+AG131+AL131)))</f>
        <v>0</v>
      </c>
      <c r="AR131" s="55" t="n">
        <f aca="false">AP131+AQ131</f>
        <v>0</v>
      </c>
      <c r="AS131" s="55" t="n">
        <f aca="false">ROUND(MAX(0,AS130+AT130-AW130),2)</f>
        <v>0</v>
      </c>
      <c r="AT131" s="55" t="n">
        <f aca="false">ROUND(AS131*$E$13/12,2)</f>
        <v>0</v>
      </c>
      <c r="AU131" s="55" t="n">
        <f aca="false">MIN($F$13,AS131+AT131)</f>
        <v>0</v>
      </c>
      <c r="AV131" s="55" t="n">
        <f aca="false">MAX(0,MIN(AS131+AT131-AU131,$D131-(H131+M131+R131+W131+AB131+AG131+AL131+AQ131)))</f>
        <v>0</v>
      </c>
      <c r="AW131" s="55" t="n">
        <f aca="false">AU131+AV131</f>
        <v>0</v>
      </c>
      <c r="AX131" s="55" t="n">
        <f aca="false">ROUND(MAX(0,AX130+AY130-BB130),2)</f>
        <v>0</v>
      </c>
      <c r="AY131" s="55" t="n">
        <f aca="false">ROUND(AX131*$E$14/12,2)</f>
        <v>0</v>
      </c>
      <c r="AZ131" s="55" t="n">
        <f aca="false">MIN($F$14,AX131+AY131)</f>
        <v>0</v>
      </c>
      <c r="BA131" s="55" t="n">
        <f aca="false">MAX(0,MIN(AX131+AY131-AZ131,$D131-(H131+M131+R131+W131+AB131+AG131+AL131+AQ131+AV131)))</f>
        <v>0</v>
      </c>
      <c r="BB131" s="55" t="n">
        <f aca="false">AZ131+BA131</f>
        <v>0</v>
      </c>
      <c r="BC131" s="55" t="n">
        <f aca="false">I131+N131+S131+X131+AC131+AH131+AM131+AR131+AW131+BB131</f>
        <v>0</v>
      </c>
      <c r="BD131" s="55" t="n">
        <f aca="false">ROUND((E131+F131-I131)+(J131+K131-N131)+(O131+P131-S131)+(T131+U131-X131)+(Y131+Z131-AC131)+(AD131+AE131-AH131)+(AI131+AJ131-AM131)+(AN131+AO131-AR131)+(AS131+AT131-AW131)+(AX131+AY131-BB131),2)</f>
        <v>0</v>
      </c>
      <c r="BE131" s="25" t="str">
        <f aca="false">IF(H131&gt;0.005,$C$5,IF(M131&gt;0.005,$C$6,IF(R131&gt;0.005,$C$7,IF(W131&gt;0.005,$C$8,IF(AB131&gt;0.005,$C$9,IF(AG131&gt;0.005,$C$10,IF(AL131&gt;0.005,$C$11,IF(AQ131&gt;0.005,$C$12,IF(AV131&gt;0.005,$C$13,IF(BA131&gt;0.005,$C$14,""))))))))))</f>
        <v/>
      </c>
    </row>
    <row r="132" customFormat="false" ht="15" hidden="false" customHeight="false" outlineLevel="0" collapsed="false">
      <c r="A132" s="24" t="n">
        <v>109</v>
      </c>
      <c r="B132" s="54" t="n">
        <f aca="false">EDATE($C$17,A132-1)</f>
        <v>49614</v>
      </c>
      <c r="C132" s="55" t="n">
        <f aca="false">G132+L132+Q132+V132+AA132+AF132+AK132+AP132+AU132+AZ132</f>
        <v>0</v>
      </c>
      <c r="D132" s="55" t="n">
        <f aca="false">MAX(0,$C$16-C132)</f>
        <v>5822</v>
      </c>
      <c r="E132" s="55" t="n">
        <f aca="false">ROUND(MAX(0,E131+F131-I131),2)</f>
        <v>0</v>
      </c>
      <c r="F132" s="55" t="n">
        <f aca="false">ROUND(E132*$E$5/12,2)</f>
        <v>0</v>
      </c>
      <c r="G132" s="55" t="n">
        <f aca="false">MIN($F$5,E132+F132)</f>
        <v>0</v>
      </c>
      <c r="H132" s="55" t="n">
        <f aca="false">MAX(0,MIN(E132+F132-G132,$D132))</f>
        <v>0</v>
      </c>
      <c r="I132" s="55" t="n">
        <f aca="false">G132+H132</f>
        <v>0</v>
      </c>
      <c r="J132" s="55" t="n">
        <f aca="false">ROUND(MAX(0,J131+K131-N131),2)</f>
        <v>0</v>
      </c>
      <c r="K132" s="55" t="n">
        <f aca="false">ROUND(J132*$E$6/12,2)</f>
        <v>0</v>
      </c>
      <c r="L132" s="55" t="n">
        <f aca="false">MIN($F$6,J132+K132)</f>
        <v>0</v>
      </c>
      <c r="M132" s="55" t="n">
        <f aca="false">MAX(0,MIN(J132+K132-L132,$D132-(H132)))</f>
        <v>0</v>
      </c>
      <c r="N132" s="55" t="n">
        <f aca="false">L132+M132</f>
        <v>0</v>
      </c>
      <c r="O132" s="55" t="n">
        <f aca="false">ROUND(MAX(0,O131+P131-S131),2)</f>
        <v>0</v>
      </c>
      <c r="P132" s="55" t="n">
        <f aca="false">ROUND(O132*$E$7/12,2)</f>
        <v>0</v>
      </c>
      <c r="Q132" s="55" t="n">
        <f aca="false">MIN($F$7,O132+P132)</f>
        <v>0</v>
      </c>
      <c r="R132" s="55" t="n">
        <f aca="false">MAX(0,MIN(O132+P132-Q132,$D132-(H132+M132)))</f>
        <v>0</v>
      </c>
      <c r="S132" s="55" t="n">
        <f aca="false">Q132+R132</f>
        <v>0</v>
      </c>
      <c r="T132" s="55" t="n">
        <f aca="false">ROUND(MAX(0,T131+U131-X131),2)</f>
        <v>0</v>
      </c>
      <c r="U132" s="55" t="n">
        <f aca="false">ROUND(T132*$E$8/12,2)</f>
        <v>0</v>
      </c>
      <c r="V132" s="55" t="n">
        <f aca="false">MIN($F$8,T132+U132)</f>
        <v>0</v>
      </c>
      <c r="W132" s="55" t="n">
        <f aca="false">MAX(0,MIN(T132+U132-V132,$D132-(H132+M132+R132)))</f>
        <v>0</v>
      </c>
      <c r="X132" s="55" t="n">
        <f aca="false">V132+W132</f>
        <v>0</v>
      </c>
      <c r="Y132" s="55" t="n">
        <f aca="false">ROUND(MAX(0,Y131+Z131-AC131),2)</f>
        <v>0</v>
      </c>
      <c r="Z132" s="55" t="n">
        <f aca="false">ROUND(Y132*$E$9/12,2)</f>
        <v>0</v>
      </c>
      <c r="AA132" s="55" t="n">
        <f aca="false">MIN($F$9,Y132+Z132)</f>
        <v>0</v>
      </c>
      <c r="AB132" s="55" t="n">
        <f aca="false">MAX(0,MIN(Y132+Z132-AA132,$D132-(H132+M132+R132+W132)))</f>
        <v>0</v>
      </c>
      <c r="AC132" s="55" t="n">
        <f aca="false">AA132+AB132</f>
        <v>0</v>
      </c>
      <c r="AD132" s="55" t="n">
        <f aca="false">ROUND(MAX(0,AD131+AE131-AH131),2)</f>
        <v>0</v>
      </c>
      <c r="AE132" s="55" t="n">
        <f aca="false">ROUND(AD132*$E$10/12,2)</f>
        <v>0</v>
      </c>
      <c r="AF132" s="55" t="n">
        <f aca="false">MIN($F$10,AD132+AE132)</f>
        <v>0</v>
      </c>
      <c r="AG132" s="55" t="n">
        <f aca="false">MAX(0,MIN(AD132+AE132-AF132,$D132-(H132+M132+R132+W132+AB132)))</f>
        <v>0</v>
      </c>
      <c r="AH132" s="55" t="n">
        <f aca="false">AF132+AG132</f>
        <v>0</v>
      </c>
      <c r="AI132" s="55" t="n">
        <f aca="false">ROUND(MAX(0,AI131+AJ131-AM131),2)</f>
        <v>0</v>
      </c>
      <c r="AJ132" s="55" t="n">
        <f aca="false">ROUND(AI132*$E$11/12,2)</f>
        <v>0</v>
      </c>
      <c r="AK132" s="55" t="n">
        <f aca="false">MIN($F$11,AI132+AJ132)</f>
        <v>0</v>
      </c>
      <c r="AL132" s="55" t="n">
        <f aca="false">MAX(0,MIN(AI132+AJ132-AK132,$D132-(H132+M132+R132+W132+AB132+AG132)))</f>
        <v>0</v>
      </c>
      <c r="AM132" s="55" t="n">
        <f aca="false">AK132+AL132</f>
        <v>0</v>
      </c>
      <c r="AN132" s="55" t="n">
        <f aca="false">ROUND(MAX(0,AN131+AO131-AR131),2)</f>
        <v>0</v>
      </c>
      <c r="AO132" s="55" t="n">
        <f aca="false">ROUND(AN132*$E$12/12,2)</f>
        <v>0</v>
      </c>
      <c r="AP132" s="55" t="n">
        <f aca="false">MIN($F$12,AN132+AO132)</f>
        <v>0</v>
      </c>
      <c r="AQ132" s="55" t="n">
        <f aca="false">MAX(0,MIN(AN132+AO132-AP132,$D132-(H132+M132+R132+W132+AB132+AG132+AL132)))</f>
        <v>0</v>
      </c>
      <c r="AR132" s="55" t="n">
        <f aca="false">AP132+AQ132</f>
        <v>0</v>
      </c>
      <c r="AS132" s="55" t="n">
        <f aca="false">ROUND(MAX(0,AS131+AT131-AW131),2)</f>
        <v>0</v>
      </c>
      <c r="AT132" s="55" t="n">
        <f aca="false">ROUND(AS132*$E$13/12,2)</f>
        <v>0</v>
      </c>
      <c r="AU132" s="55" t="n">
        <f aca="false">MIN($F$13,AS132+AT132)</f>
        <v>0</v>
      </c>
      <c r="AV132" s="55" t="n">
        <f aca="false">MAX(0,MIN(AS132+AT132-AU132,$D132-(H132+M132+R132+W132+AB132+AG132+AL132+AQ132)))</f>
        <v>0</v>
      </c>
      <c r="AW132" s="55" t="n">
        <f aca="false">AU132+AV132</f>
        <v>0</v>
      </c>
      <c r="AX132" s="55" t="n">
        <f aca="false">ROUND(MAX(0,AX131+AY131-BB131),2)</f>
        <v>0</v>
      </c>
      <c r="AY132" s="55" t="n">
        <f aca="false">ROUND(AX132*$E$14/12,2)</f>
        <v>0</v>
      </c>
      <c r="AZ132" s="55" t="n">
        <f aca="false">MIN($F$14,AX132+AY132)</f>
        <v>0</v>
      </c>
      <c r="BA132" s="55" t="n">
        <f aca="false">MAX(0,MIN(AX132+AY132-AZ132,$D132-(H132+M132+R132+W132+AB132+AG132+AL132+AQ132+AV132)))</f>
        <v>0</v>
      </c>
      <c r="BB132" s="55" t="n">
        <f aca="false">AZ132+BA132</f>
        <v>0</v>
      </c>
      <c r="BC132" s="55" t="n">
        <f aca="false">I132+N132+S132+X132+AC132+AH132+AM132+AR132+AW132+BB132</f>
        <v>0</v>
      </c>
      <c r="BD132" s="55" t="n">
        <f aca="false">ROUND((E132+F132-I132)+(J132+K132-N132)+(O132+P132-S132)+(T132+U132-X132)+(Y132+Z132-AC132)+(AD132+AE132-AH132)+(AI132+AJ132-AM132)+(AN132+AO132-AR132)+(AS132+AT132-AW132)+(AX132+AY132-BB132),2)</f>
        <v>0</v>
      </c>
      <c r="BE132" s="25" t="str">
        <f aca="false">IF(H132&gt;0.005,$C$5,IF(M132&gt;0.005,$C$6,IF(R132&gt;0.005,$C$7,IF(W132&gt;0.005,$C$8,IF(AB132&gt;0.005,$C$9,IF(AG132&gt;0.005,$C$10,IF(AL132&gt;0.005,$C$11,IF(AQ132&gt;0.005,$C$12,IF(AV132&gt;0.005,$C$13,IF(BA132&gt;0.005,$C$14,""))))))))))</f>
        <v/>
      </c>
    </row>
    <row r="133" customFormat="false" ht="15" hidden="false" customHeight="false" outlineLevel="0" collapsed="false">
      <c r="A133" s="24" t="n">
        <v>110</v>
      </c>
      <c r="B133" s="54" t="n">
        <f aca="false">EDATE($C$17,A133-1)</f>
        <v>49644</v>
      </c>
      <c r="C133" s="55" t="n">
        <f aca="false">G133+L133+Q133+V133+AA133+AF133+AK133+AP133+AU133+AZ133</f>
        <v>0</v>
      </c>
      <c r="D133" s="55" t="n">
        <f aca="false">MAX(0,$C$16-C133)</f>
        <v>5822</v>
      </c>
      <c r="E133" s="55" t="n">
        <f aca="false">ROUND(MAX(0,E132+F132-I132),2)</f>
        <v>0</v>
      </c>
      <c r="F133" s="55" t="n">
        <f aca="false">ROUND(E133*$E$5/12,2)</f>
        <v>0</v>
      </c>
      <c r="G133" s="55" t="n">
        <f aca="false">MIN($F$5,E133+F133)</f>
        <v>0</v>
      </c>
      <c r="H133" s="55" t="n">
        <f aca="false">MAX(0,MIN(E133+F133-G133,$D133))</f>
        <v>0</v>
      </c>
      <c r="I133" s="55" t="n">
        <f aca="false">G133+H133</f>
        <v>0</v>
      </c>
      <c r="J133" s="55" t="n">
        <f aca="false">ROUND(MAX(0,J132+K132-N132),2)</f>
        <v>0</v>
      </c>
      <c r="K133" s="55" t="n">
        <f aca="false">ROUND(J133*$E$6/12,2)</f>
        <v>0</v>
      </c>
      <c r="L133" s="55" t="n">
        <f aca="false">MIN($F$6,J133+K133)</f>
        <v>0</v>
      </c>
      <c r="M133" s="55" t="n">
        <f aca="false">MAX(0,MIN(J133+K133-L133,$D133-(H133)))</f>
        <v>0</v>
      </c>
      <c r="N133" s="55" t="n">
        <f aca="false">L133+M133</f>
        <v>0</v>
      </c>
      <c r="O133" s="55" t="n">
        <f aca="false">ROUND(MAX(0,O132+P132-S132),2)</f>
        <v>0</v>
      </c>
      <c r="P133" s="55" t="n">
        <f aca="false">ROUND(O133*$E$7/12,2)</f>
        <v>0</v>
      </c>
      <c r="Q133" s="55" t="n">
        <f aca="false">MIN($F$7,O133+P133)</f>
        <v>0</v>
      </c>
      <c r="R133" s="55" t="n">
        <f aca="false">MAX(0,MIN(O133+P133-Q133,$D133-(H133+M133)))</f>
        <v>0</v>
      </c>
      <c r="S133" s="55" t="n">
        <f aca="false">Q133+R133</f>
        <v>0</v>
      </c>
      <c r="T133" s="55" t="n">
        <f aca="false">ROUND(MAX(0,T132+U132-X132),2)</f>
        <v>0</v>
      </c>
      <c r="U133" s="55" t="n">
        <f aca="false">ROUND(T133*$E$8/12,2)</f>
        <v>0</v>
      </c>
      <c r="V133" s="55" t="n">
        <f aca="false">MIN($F$8,T133+U133)</f>
        <v>0</v>
      </c>
      <c r="W133" s="55" t="n">
        <f aca="false">MAX(0,MIN(T133+U133-V133,$D133-(H133+M133+R133)))</f>
        <v>0</v>
      </c>
      <c r="X133" s="55" t="n">
        <f aca="false">V133+W133</f>
        <v>0</v>
      </c>
      <c r="Y133" s="55" t="n">
        <f aca="false">ROUND(MAX(0,Y132+Z132-AC132),2)</f>
        <v>0</v>
      </c>
      <c r="Z133" s="55" t="n">
        <f aca="false">ROUND(Y133*$E$9/12,2)</f>
        <v>0</v>
      </c>
      <c r="AA133" s="55" t="n">
        <f aca="false">MIN($F$9,Y133+Z133)</f>
        <v>0</v>
      </c>
      <c r="AB133" s="55" t="n">
        <f aca="false">MAX(0,MIN(Y133+Z133-AA133,$D133-(H133+M133+R133+W133)))</f>
        <v>0</v>
      </c>
      <c r="AC133" s="55" t="n">
        <f aca="false">AA133+AB133</f>
        <v>0</v>
      </c>
      <c r="AD133" s="55" t="n">
        <f aca="false">ROUND(MAX(0,AD132+AE132-AH132),2)</f>
        <v>0</v>
      </c>
      <c r="AE133" s="55" t="n">
        <f aca="false">ROUND(AD133*$E$10/12,2)</f>
        <v>0</v>
      </c>
      <c r="AF133" s="55" t="n">
        <f aca="false">MIN($F$10,AD133+AE133)</f>
        <v>0</v>
      </c>
      <c r="AG133" s="55" t="n">
        <f aca="false">MAX(0,MIN(AD133+AE133-AF133,$D133-(H133+M133+R133+W133+AB133)))</f>
        <v>0</v>
      </c>
      <c r="AH133" s="55" t="n">
        <f aca="false">AF133+AG133</f>
        <v>0</v>
      </c>
      <c r="AI133" s="55" t="n">
        <f aca="false">ROUND(MAX(0,AI132+AJ132-AM132),2)</f>
        <v>0</v>
      </c>
      <c r="AJ133" s="55" t="n">
        <f aca="false">ROUND(AI133*$E$11/12,2)</f>
        <v>0</v>
      </c>
      <c r="AK133" s="55" t="n">
        <f aca="false">MIN($F$11,AI133+AJ133)</f>
        <v>0</v>
      </c>
      <c r="AL133" s="55" t="n">
        <f aca="false">MAX(0,MIN(AI133+AJ133-AK133,$D133-(H133+M133+R133+W133+AB133+AG133)))</f>
        <v>0</v>
      </c>
      <c r="AM133" s="55" t="n">
        <f aca="false">AK133+AL133</f>
        <v>0</v>
      </c>
      <c r="AN133" s="55" t="n">
        <f aca="false">ROUND(MAX(0,AN132+AO132-AR132),2)</f>
        <v>0</v>
      </c>
      <c r="AO133" s="55" t="n">
        <f aca="false">ROUND(AN133*$E$12/12,2)</f>
        <v>0</v>
      </c>
      <c r="AP133" s="55" t="n">
        <f aca="false">MIN($F$12,AN133+AO133)</f>
        <v>0</v>
      </c>
      <c r="AQ133" s="55" t="n">
        <f aca="false">MAX(0,MIN(AN133+AO133-AP133,$D133-(H133+M133+R133+W133+AB133+AG133+AL133)))</f>
        <v>0</v>
      </c>
      <c r="AR133" s="55" t="n">
        <f aca="false">AP133+AQ133</f>
        <v>0</v>
      </c>
      <c r="AS133" s="55" t="n">
        <f aca="false">ROUND(MAX(0,AS132+AT132-AW132),2)</f>
        <v>0</v>
      </c>
      <c r="AT133" s="55" t="n">
        <f aca="false">ROUND(AS133*$E$13/12,2)</f>
        <v>0</v>
      </c>
      <c r="AU133" s="55" t="n">
        <f aca="false">MIN($F$13,AS133+AT133)</f>
        <v>0</v>
      </c>
      <c r="AV133" s="55" t="n">
        <f aca="false">MAX(0,MIN(AS133+AT133-AU133,$D133-(H133+M133+R133+W133+AB133+AG133+AL133+AQ133)))</f>
        <v>0</v>
      </c>
      <c r="AW133" s="55" t="n">
        <f aca="false">AU133+AV133</f>
        <v>0</v>
      </c>
      <c r="AX133" s="55" t="n">
        <f aca="false">ROUND(MAX(0,AX132+AY132-BB132),2)</f>
        <v>0</v>
      </c>
      <c r="AY133" s="55" t="n">
        <f aca="false">ROUND(AX133*$E$14/12,2)</f>
        <v>0</v>
      </c>
      <c r="AZ133" s="55" t="n">
        <f aca="false">MIN($F$14,AX133+AY133)</f>
        <v>0</v>
      </c>
      <c r="BA133" s="55" t="n">
        <f aca="false">MAX(0,MIN(AX133+AY133-AZ133,$D133-(H133+M133+R133+W133+AB133+AG133+AL133+AQ133+AV133)))</f>
        <v>0</v>
      </c>
      <c r="BB133" s="55" t="n">
        <f aca="false">AZ133+BA133</f>
        <v>0</v>
      </c>
      <c r="BC133" s="55" t="n">
        <f aca="false">I133+N133+S133+X133+AC133+AH133+AM133+AR133+AW133+BB133</f>
        <v>0</v>
      </c>
      <c r="BD133" s="55" t="n">
        <f aca="false">ROUND((E133+F133-I133)+(J133+K133-N133)+(O133+P133-S133)+(T133+U133-X133)+(Y133+Z133-AC133)+(AD133+AE133-AH133)+(AI133+AJ133-AM133)+(AN133+AO133-AR133)+(AS133+AT133-AW133)+(AX133+AY133-BB133),2)</f>
        <v>0</v>
      </c>
      <c r="BE133" s="25" t="str">
        <f aca="false">IF(H133&gt;0.005,$C$5,IF(M133&gt;0.005,$C$6,IF(R133&gt;0.005,$C$7,IF(W133&gt;0.005,$C$8,IF(AB133&gt;0.005,$C$9,IF(AG133&gt;0.005,$C$10,IF(AL133&gt;0.005,$C$11,IF(AQ133&gt;0.005,$C$12,IF(AV133&gt;0.005,$C$13,IF(BA133&gt;0.005,$C$14,""))))))))))</f>
        <v/>
      </c>
    </row>
    <row r="134" customFormat="false" ht="15" hidden="false" customHeight="false" outlineLevel="0" collapsed="false">
      <c r="A134" s="24" t="n">
        <v>111</v>
      </c>
      <c r="B134" s="54" t="n">
        <f aca="false">EDATE($C$17,A134-1)</f>
        <v>49675</v>
      </c>
      <c r="C134" s="55" t="n">
        <f aca="false">G134+L134+Q134+V134+AA134+AF134+AK134+AP134+AU134+AZ134</f>
        <v>0</v>
      </c>
      <c r="D134" s="55" t="n">
        <f aca="false">MAX(0,$C$16-C134)</f>
        <v>5822</v>
      </c>
      <c r="E134" s="55" t="n">
        <f aca="false">ROUND(MAX(0,E133+F133-I133),2)</f>
        <v>0</v>
      </c>
      <c r="F134" s="55" t="n">
        <f aca="false">ROUND(E134*$E$5/12,2)</f>
        <v>0</v>
      </c>
      <c r="G134" s="55" t="n">
        <f aca="false">MIN($F$5,E134+F134)</f>
        <v>0</v>
      </c>
      <c r="H134" s="55" t="n">
        <f aca="false">MAX(0,MIN(E134+F134-G134,$D134))</f>
        <v>0</v>
      </c>
      <c r="I134" s="55" t="n">
        <f aca="false">G134+H134</f>
        <v>0</v>
      </c>
      <c r="J134" s="55" t="n">
        <f aca="false">ROUND(MAX(0,J133+K133-N133),2)</f>
        <v>0</v>
      </c>
      <c r="K134" s="55" t="n">
        <f aca="false">ROUND(J134*$E$6/12,2)</f>
        <v>0</v>
      </c>
      <c r="L134" s="55" t="n">
        <f aca="false">MIN($F$6,J134+K134)</f>
        <v>0</v>
      </c>
      <c r="M134" s="55" t="n">
        <f aca="false">MAX(0,MIN(J134+K134-L134,$D134-(H134)))</f>
        <v>0</v>
      </c>
      <c r="N134" s="55" t="n">
        <f aca="false">L134+M134</f>
        <v>0</v>
      </c>
      <c r="O134" s="55" t="n">
        <f aca="false">ROUND(MAX(0,O133+P133-S133),2)</f>
        <v>0</v>
      </c>
      <c r="P134" s="55" t="n">
        <f aca="false">ROUND(O134*$E$7/12,2)</f>
        <v>0</v>
      </c>
      <c r="Q134" s="55" t="n">
        <f aca="false">MIN($F$7,O134+P134)</f>
        <v>0</v>
      </c>
      <c r="R134" s="55" t="n">
        <f aca="false">MAX(0,MIN(O134+P134-Q134,$D134-(H134+M134)))</f>
        <v>0</v>
      </c>
      <c r="S134" s="55" t="n">
        <f aca="false">Q134+R134</f>
        <v>0</v>
      </c>
      <c r="T134" s="55" t="n">
        <f aca="false">ROUND(MAX(0,T133+U133-X133),2)</f>
        <v>0</v>
      </c>
      <c r="U134" s="55" t="n">
        <f aca="false">ROUND(T134*$E$8/12,2)</f>
        <v>0</v>
      </c>
      <c r="V134" s="55" t="n">
        <f aca="false">MIN($F$8,T134+U134)</f>
        <v>0</v>
      </c>
      <c r="W134" s="55" t="n">
        <f aca="false">MAX(0,MIN(T134+U134-V134,$D134-(H134+M134+R134)))</f>
        <v>0</v>
      </c>
      <c r="X134" s="55" t="n">
        <f aca="false">V134+W134</f>
        <v>0</v>
      </c>
      <c r="Y134" s="55" t="n">
        <f aca="false">ROUND(MAX(0,Y133+Z133-AC133),2)</f>
        <v>0</v>
      </c>
      <c r="Z134" s="55" t="n">
        <f aca="false">ROUND(Y134*$E$9/12,2)</f>
        <v>0</v>
      </c>
      <c r="AA134" s="55" t="n">
        <f aca="false">MIN($F$9,Y134+Z134)</f>
        <v>0</v>
      </c>
      <c r="AB134" s="55" t="n">
        <f aca="false">MAX(0,MIN(Y134+Z134-AA134,$D134-(H134+M134+R134+W134)))</f>
        <v>0</v>
      </c>
      <c r="AC134" s="55" t="n">
        <f aca="false">AA134+AB134</f>
        <v>0</v>
      </c>
      <c r="AD134" s="55" t="n">
        <f aca="false">ROUND(MAX(0,AD133+AE133-AH133),2)</f>
        <v>0</v>
      </c>
      <c r="AE134" s="55" t="n">
        <f aca="false">ROUND(AD134*$E$10/12,2)</f>
        <v>0</v>
      </c>
      <c r="AF134" s="55" t="n">
        <f aca="false">MIN($F$10,AD134+AE134)</f>
        <v>0</v>
      </c>
      <c r="AG134" s="55" t="n">
        <f aca="false">MAX(0,MIN(AD134+AE134-AF134,$D134-(H134+M134+R134+W134+AB134)))</f>
        <v>0</v>
      </c>
      <c r="AH134" s="55" t="n">
        <f aca="false">AF134+AG134</f>
        <v>0</v>
      </c>
      <c r="AI134" s="55" t="n">
        <f aca="false">ROUND(MAX(0,AI133+AJ133-AM133),2)</f>
        <v>0</v>
      </c>
      <c r="AJ134" s="55" t="n">
        <f aca="false">ROUND(AI134*$E$11/12,2)</f>
        <v>0</v>
      </c>
      <c r="AK134" s="55" t="n">
        <f aca="false">MIN($F$11,AI134+AJ134)</f>
        <v>0</v>
      </c>
      <c r="AL134" s="55" t="n">
        <f aca="false">MAX(0,MIN(AI134+AJ134-AK134,$D134-(H134+M134+R134+W134+AB134+AG134)))</f>
        <v>0</v>
      </c>
      <c r="AM134" s="55" t="n">
        <f aca="false">AK134+AL134</f>
        <v>0</v>
      </c>
      <c r="AN134" s="55" t="n">
        <f aca="false">ROUND(MAX(0,AN133+AO133-AR133),2)</f>
        <v>0</v>
      </c>
      <c r="AO134" s="55" t="n">
        <f aca="false">ROUND(AN134*$E$12/12,2)</f>
        <v>0</v>
      </c>
      <c r="AP134" s="55" t="n">
        <f aca="false">MIN($F$12,AN134+AO134)</f>
        <v>0</v>
      </c>
      <c r="AQ134" s="55" t="n">
        <f aca="false">MAX(0,MIN(AN134+AO134-AP134,$D134-(H134+M134+R134+W134+AB134+AG134+AL134)))</f>
        <v>0</v>
      </c>
      <c r="AR134" s="55" t="n">
        <f aca="false">AP134+AQ134</f>
        <v>0</v>
      </c>
      <c r="AS134" s="55" t="n">
        <f aca="false">ROUND(MAX(0,AS133+AT133-AW133),2)</f>
        <v>0</v>
      </c>
      <c r="AT134" s="55" t="n">
        <f aca="false">ROUND(AS134*$E$13/12,2)</f>
        <v>0</v>
      </c>
      <c r="AU134" s="55" t="n">
        <f aca="false">MIN($F$13,AS134+AT134)</f>
        <v>0</v>
      </c>
      <c r="AV134" s="55" t="n">
        <f aca="false">MAX(0,MIN(AS134+AT134-AU134,$D134-(H134+M134+R134+W134+AB134+AG134+AL134+AQ134)))</f>
        <v>0</v>
      </c>
      <c r="AW134" s="55" t="n">
        <f aca="false">AU134+AV134</f>
        <v>0</v>
      </c>
      <c r="AX134" s="55" t="n">
        <f aca="false">ROUND(MAX(0,AX133+AY133-BB133),2)</f>
        <v>0</v>
      </c>
      <c r="AY134" s="55" t="n">
        <f aca="false">ROUND(AX134*$E$14/12,2)</f>
        <v>0</v>
      </c>
      <c r="AZ134" s="55" t="n">
        <f aca="false">MIN($F$14,AX134+AY134)</f>
        <v>0</v>
      </c>
      <c r="BA134" s="55" t="n">
        <f aca="false">MAX(0,MIN(AX134+AY134-AZ134,$D134-(H134+M134+R134+W134+AB134+AG134+AL134+AQ134+AV134)))</f>
        <v>0</v>
      </c>
      <c r="BB134" s="55" t="n">
        <f aca="false">AZ134+BA134</f>
        <v>0</v>
      </c>
      <c r="BC134" s="55" t="n">
        <f aca="false">I134+N134+S134+X134+AC134+AH134+AM134+AR134+AW134+BB134</f>
        <v>0</v>
      </c>
      <c r="BD134" s="55" t="n">
        <f aca="false">ROUND((E134+F134-I134)+(J134+K134-N134)+(O134+P134-S134)+(T134+U134-X134)+(Y134+Z134-AC134)+(AD134+AE134-AH134)+(AI134+AJ134-AM134)+(AN134+AO134-AR134)+(AS134+AT134-AW134)+(AX134+AY134-BB134),2)</f>
        <v>0</v>
      </c>
      <c r="BE134" s="25" t="str">
        <f aca="false">IF(H134&gt;0.005,$C$5,IF(M134&gt;0.005,$C$6,IF(R134&gt;0.005,$C$7,IF(W134&gt;0.005,$C$8,IF(AB134&gt;0.005,$C$9,IF(AG134&gt;0.005,$C$10,IF(AL134&gt;0.005,$C$11,IF(AQ134&gt;0.005,$C$12,IF(AV134&gt;0.005,$C$13,IF(BA134&gt;0.005,$C$14,""))))))))))</f>
        <v/>
      </c>
    </row>
    <row r="135" customFormat="false" ht="15" hidden="false" customHeight="false" outlineLevel="0" collapsed="false">
      <c r="A135" s="24" t="n">
        <v>112</v>
      </c>
      <c r="B135" s="54" t="n">
        <f aca="false">EDATE($C$17,A135-1)</f>
        <v>49706</v>
      </c>
      <c r="C135" s="55" t="n">
        <f aca="false">G135+L135+Q135+V135+AA135+AF135+AK135+AP135+AU135+AZ135</f>
        <v>0</v>
      </c>
      <c r="D135" s="55" t="n">
        <f aca="false">MAX(0,$C$16-C135)</f>
        <v>5822</v>
      </c>
      <c r="E135" s="55" t="n">
        <f aca="false">ROUND(MAX(0,E134+F134-I134),2)</f>
        <v>0</v>
      </c>
      <c r="F135" s="55" t="n">
        <f aca="false">ROUND(E135*$E$5/12,2)</f>
        <v>0</v>
      </c>
      <c r="G135" s="55" t="n">
        <f aca="false">MIN($F$5,E135+F135)</f>
        <v>0</v>
      </c>
      <c r="H135" s="55" t="n">
        <f aca="false">MAX(0,MIN(E135+F135-G135,$D135))</f>
        <v>0</v>
      </c>
      <c r="I135" s="55" t="n">
        <f aca="false">G135+H135</f>
        <v>0</v>
      </c>
      <c r="J135" s="55" t="n">
        <f aca="false">ROUND(MAX(0,J134+K134-N134),2)</f>
        <v>0</v>
      </c>
      <c r="K135" s="55" t="n">
        <f aca="false">ROUND(J135*$E$6/12,2)</f>
        <v>0</v>
      </c>
      <c r="L135" s="55" t="n">
        <f aca="false">MIN($F$6,J135+K135)</f>
        <v>0</v>
      </c>
      <c r="M135" s="55" t="n">
        <f aca="false">MAX(0,MIN(J135+K135-L135,$D135-(H135)))</f>
        <v>0</v>
      </c>
      <c r="N135" s="55" t="n">
        <f aca="false">L135+M135</f>
        <v>0</v>
      </c>
      <c r="O135" s="55" t="n">
        <f aca="false">ROUND(MAX(0,O134+P134-S134),2)</f>
        <v>0</v>
      </c>
      <c r="P135" s="55" t="n">
        <f aca="false">ROUND(O135*$E$7/12,2)</f>
        <v>0</v>
      </c>
      <c r="Q135" s="55" t="n">
        <f aca="false">MIN($F$7,O135+P135)</f>
        <v>0</v>
      </c>
      <c r="R135" s="55" t="n">
        <f aca="false">MAX(0,MIN(O135+P135-Q135,$D135-(H135+M135)))</f>
        <v>0</v>
      </c>
      <c r="S135" s="55" t="n">
        <f aca="false">Q135+R135</f>
        <v>0</v>
      </c>
      <c r="T135" s="55" t="n">
        <f aca="false">ROUND(MAX(0,T134+U134-X134),2)</f>
        <v>0</v>
      </c>
      <c r="U135" s="55" t="n">
        <f aca="false">ROUND(T135*$E$8/12,2)</f>
        <v>0</v>
      </c>
      <c r="V135" s="55" t="n">
        <f aca="false">MIN($F$8,T135+U135)</f>
        <v>0</v>
      </c>
      <c r="W135" s="55" t="n">
        <f aca="false">MAX(0,MIN(T135+U135-V135,$D135-(H135+M135+R135)))</f>
        <v>0</v>
      </c>
      <c r="X135" s="55" t="n">
        <f aca="false">V135+W135</f>
        <v>0</v>
      </c>
      <c r="Y135" s="55" t="n">
        <f aca="false">ROUND(MAX(0,Y134+Z134-AC134),2)</f>
        <v>0</v>
      </c>
      <c r="Z135" s="55" t="n">
        <f aca="false">ROUND(Y135*$E$9/12,2)</f>
        <v>0</v>
      </c>
      <c r="AA135" s="55" t="n">
        <f aca="false">MIN($F$9,Y135+Z135)</f>
        <v>0</v>
      </c>
      <c r="AB135" s="55" t="n">
        <f aca="false">MAX(0,MIN(Y135+Z135-AA135,$D135-(H135+M135+R135+W135)))</f>
        <v>0</v>
      </c>
      <c r="AC135" s="55" t="n">
        <f aca="false">AA135+AB135</f>
        <v>0</v>
      </c>
      <c r="AD135" s="55" t="n">
        <f aca="false">ROUND(MAX(0,AD134+AE134-AH134),2)</f>
        <v>0</v>
      </c>
      <c r="AE135" s="55" t="n">
        <f aca="false">ROUND(AD135*$E$10/12,2)</f>
        <v>0</v>
      </c>
      <c r="AF135" s="55" t="n">
        <f aca="false">MIN($F$10,AD135+AE135)</f>
        <v>0</v>
      </c>
      <c r="AG135" s="55" t="n">
        <f aca="false">MAX(0,MIN(AD135+AE135-AF135,$D135-(H135+M135+R135+W135+AB135)))</f>
        <v>0</v>
      </c>
      <c r="AH135" s="55" t="n">
        <f aca="false">AF135+AG135</f>
        <v>0</v>
      </c>
      <c r="AI135" s="55" t="n">
        <f aca="false">ROUND(MAX(0,AI134+AJ134-AM134),2)</f>
        <v>0</v>
      </c>
      <c r="AJ135" s="55" t="n">
        <f aca="false">ROUND(AI135*$E$11/12,2)</f>
        <v>0</v>
      </c>
      <c r="AK135" s="55" t="n">
        <f aca="false">MIN($F$11,AI135+AJ135)</f>
        <v>0</v>
      </c>
      <c r="AL135" s="55" t="n">
        <f aca="false">MAX(0,MIN(AI135+AJ135-AK135,$D135-(H135+M135+R135+W135+AB135+AG135)))</f>
        <v>0</v>
      </c>
      <c r="AM135" s="55" t="n">
        <f aca="false">AK135+AL135</f>
        <v>0</v>
      </c>
      <c r="AN135" s="55" t="n">
        <f aca="false">ROUND(MAX(0,AN134+AO134-AR134),2)</f>
        <v>0</v>
      </c>
      <c r="AO135" s="55" t="n">
        <f aca="false">ROUND(AN135*$E$12/12,2)</f>
        <v>0</v>
      </c>
      <c r="AP135" s="55" t="n">
        <f aca="false">MIN($F$12,AN135+AO135)</f>
        <v>0</v>
      </c>
      <c r="AQ135" s="55" t="n">
        <f aca="false">MAX(0,MIN(AN135+AO135-AP135,$D135-(H135+M135+R135+W135+AB135+AG135+AL135)))</f>
        <v>0</v>
      </c>
      <c r="AR135" s="55" t="n">
        <f aca="false">AP135+AQ135</f>
        <v>0</v>
      </c>
      <c r="AS135" s="55" t="n">
        <f aca="false">ROUND(MAX(0,AS134+AT134-AW134),2)</f>
        <v>0</v>
      </c>
      <c r="AT135" s="55" t="n">
        <f aca="false">ROUND(AS135*$E$13/12,2)</f>
        <v>0</v>
      </c>
      <c r="AU135" s="55" t="n">
        <f aca="false">MIN($F$13,AS135+AT135)</f>
        <v>0</v>
      </c>
      <c r="AV135" s="55" t="n">
        <f aca="false">MAX(0,MIN(AS135+AT135-AU135,$D135-(H135+M135+R135+W135+AB135+AG135+AL135+AQ135)))</f>
        <v>0</v>
      </c>
      <c r="AW135" s="55" t="n">
        <f aca="false">AU135+AV135</f>
        <v>0</v>
      </c>
      <c r="AX135" s="55" t="n">
        <f aca="false">ROUND(MAX(0,AX134+AY134-BB134),2)</f>
        <v>0</v>
      </c>
      <c r="AY135" s="55" t="n">
        <f aca="false">ROUND(AX135*$E$14/12,2)</f>
        <v>0</v>
      </c>
      <c r="AZ135" s="55" t="n">
        <f aca="false">MIN($F$14,AX135+AY135)</f>
        <v>0</v>
      </c>
      <c r="BA135" s="55" t="n">
        <f aca="false">MAX(0,MIN(AX135+AY135-AZ135,$D135-(H135+M135+R135+W135+AB135+AG135+AL135+AQ135+AV135)))</f>
        <v>0</v>
      </c>
      <c r="BB135" s="55" t="n">
        <f aca="false">AZ135+BA135</f>
        <v>0</v>
      </c>
      <c r="BC135" s="55" t="n">
        <f aca="false">I135+N135+S135+X135+AC135+AH135+AM135+AR135+AW135+BB135</f>
        <v>0</v>
      </c>
      <c r="BD135" s="55" t="n">
        <f aca="false">ROUND((E135+F135-I135)+(J135+K135-N135)+(O135+P135-S135)+(T135+U135-X135)+(Y135+Z135-AC135)+(AD135+AE135-AH135)+(AI135+AJ135-AM135)+(AN135+AO135-AR135)+(AS135+AT135-AW135)+(AX135+AY135-BB135),2)</f>
        <v>0</v>
      </c>
      <c r="BE135" s="25" t="str">
        <f aca="false">IF(H135&gt;0.005,$C$5,IF(M135&gt;0.005,$C$6,IF(R135&gt;0.005,$C$7,IF(W135&gt;0.005,$C$8,IF(AB135&gt;0.005,$C$9,IF(AG135&gt;0.005,$C$10,IF(AL135&gt;0.005,$C$11,IF(AQ135&gt;0.005,$C$12,IF(AV135&gt;0.005,$C$13,IF(BA135&gt;0.005,$C$14,""))))))))))</f>
        <v/>
      </c>
    </row>
    <row r="136" customFormat="false" ht="15" hidden="false" customHeight="false" outlineLevel="0" collapsed="false">
      <c r="A136" s="24" t="n">
        <v>113</v>
      </c>
      <c r="B136" s="54" t="n">
        <f aca="false">EDATE($C$17,A136-1)</f>
        <v>49735</v>
      </c>
      <c r="C136" s="55" t="n">
        <f aca="false">G136+L136+Q136+V136+AA136+AF136+AK136+AP136+AU136+AZ136</f>
        <v>0</v>
      </c>
      <c r="D136" s="55" t="n">
        <f aca="false">MAX(0,$C$16-C136)</f>
        <v>5822</v>
      </c>
      <c r="E136" s="55" t="n">
        <f aca="false">ROUND(MAX(0,E135+F135-I135),2)</f>
        <v>0</v>
      </c>
      <c r="F136" s="55" t="n">
        <f aca="false">ROUND(E136*$E$5/12,2)</f>
        <v>0</v>
      </c>
      <c r="G136" s="55" t="n">
        <f aca="false">MIN($F$5,E136+F136)</f>
        <v>0</v>
      </c>
      <c r="H136" s="55" t="n">
        <f aca="false">MAX(0,MIN(E136+F136-G136,$D136))</f>
        <v>0</v>
      </c>
      <c r="I136" s="55" t="n">
        <f aca="false">G136+H136</f>
        <v>0</v>
      </c>
      <c r="J136" s="55" t="n">
        <f aca="false">ROUND(MAX(0,J135+K135-N135),2)</f>
        <v>0</v>
      </c>
      <c r="K136" s="55" t="n">
        <f aca="false">ROUND(J136*$E$6/12,2)</f>
        <v>0</v>
      </c>
      <c r="L136" s="55" t="n">
        <f aca="false">MIN($F$6,J136+K136)</f>
        <v>0</v>
      </c>
      <c r="M136" s="55" t="n">
        <f aca="false">MAX(0,MIN(J136+K136-L136,$D136-(H136)))</f>
        <v>0</v>
      </c>
      <c r="N136" s="55" t="n">
        <f aca="false">L136+M136</f>
        <v>0</v>
      </c>
      <c r="O136" s="55" t="n">
        <f aca="false">ROUND(MAX(0,O135+P135-S135),2)</f>
        <v>0</v>
      </c>
      <c r="P136" s="55" t="n">
        <f aca="false">ROUND(O136*$E$7/12,2)</f>
        <v>0</v>
      </c>
      <c r="Q136" s="55" t="n">
        <f aca="false">MIN($F$7,O136+P136)</f>
        <v>0</v>
      </c>
      <c r="R136" s="55" t="n">
        <f aca="false">MAX(0,MIN(O136+P136-Q136,$D136-(H136+M136)))</f>
        <v>0</v>
      </c>
      <c r="S136" s="55" t="n">
        <f aca="false">Q136+R136</f>
        <v>0</v>
      </c>
      <c r="T136" s="55" t="n">
        <f aca="false">ROUND(MAX(0,T135+U135-X135),2)</f>
        <v>0</v>
      </c>
      <c r="U136" s="55" t="n">
        <f aca="false">ROUND(T136*$E$8/12,2)</f>
        <v>0</v>
      </c>
      <c r="V136" s="55" t="n">
        <f aca="false">MIN($F$8,T136+U136)</f>
        <v>0</v>
      </c>
      <c r="W136" s="55" t="n">
        <f aca="false">MAX(0,MIN(T136+U136-V136,$D136-(H136+M136+R136)))</f>
        <v>0</v>
      </c>
      <c r="X136" s="55" t="n">
        <f aca="false">V136+W136</f>
        <v>0</v>
      </c>
      <c r="Y136" s="55" t="n">
        <f aca="false">ROUND(MAX(0,Y135+Z135-AC135),2)</f>
        <v>0</v>
      </c>
      <c r="Z136" s="55" t="n">
        <f aca="false">ROUND(Y136*$E$9/12,2)</f>
        <v>0</v>
      </c>
      <c r="AA136" s="55" t="n">
        <f aca="false">MIN($F$9,Y136+Z136)</f>
        <v>0</v>
      </c>
      <c r="AB136" s="55" t="n">
        <f aca="false">MAX(0,MIN(Y136+Z136-AA136,$D136-(H136+M136+R136+W136)))</f>
        <v>0</v>
      </c>
      <c r="AC136" s="55" t="n">
        <f aca="false">AA136+AB136</f>
        <v>0</v>
      </c>
      <c r="AD136" s="55" t="n">
        <f aca="false">ROUND(MAX(0,AD135+AE135-AH135),2)</f>
        <v>0</v>
      </c>
      <c r="AE136" s="55" t="n">
        <f aca="false">ROUND(AD136*$E$10/12,2)</f>
        <v>0</v>
      </c>
      <c r="AF136" s="55" t="n">
        <f aca="false">MIN($F$10,AD136+AE136)</f>
        <v>0</v>
      </c>
      <c r="AG136" s="55" t="n">
        <f aca="false">MAX(0,MIN(AD136+AE136-AF136,$D136-(H136+M136+R136+W136+AB136)))</f>
        <v>0</v>
      </c>
      <c r="AH136" s="55" t="n">
        <f aca="false">AF136+AG136</f>
        <v>0</v>
      </c>
      <c r="AI136" s="55" t="n">
        <f aca="false">ROUND(MAX(0,AI135+AJ135-AM135),2)</f>
        <v>0</v>
      </c>
      <c r="AJ136" s="55" t="n">
        <f aca="false">ROUND(AI136*$E$11/12,2)</f>
        <v>0</v>
      </c>
      <c r="AK136" s="55" t="n">
        <f aca="false">MIN($F$11,AI136+AJ136)</f>
        <v>0</v>
      </c>
      <c r="AL136" s="55" t="n">
        <f aca="false">MAX(0,MIN(AI136+AJ136-AK136,$D136-(H136+M136+R136+W136+AB136+AG136)))</f>
        <v>0</v>
      </c>
      <c r="AM136" s="55" t="n">
        <f aca="false">AK136+AL136</f>
        <v>0</v>
      </c>
      <c r="AN136" s="55" t="n">
        <f aca="false">ROUND(MAX(0,AN135+AO135-AR135),2)</f>
        <v>0</v>
      </c>
      <c r="AO136" s="55" t="n">
        <f aca="false">ROUND(AN136*$E$12/12,2)</f>
        <v>0</v>
      </c>
      <c r="AP136" s="55" t="n">
        <f aca="false">MIN($F$12,AN136+AO136)</f>
        <v>0</v>
      </c>
      <c r="AQ136" s="55" t="n">
        <f aca="false">MAX(0,MIN(AN136+AO136-AP136,$D136-(H136+M136+R136+W136+AB136+AG136+AL136)))</f>
        <v>0</v>
      </c>
      <c r="AR136" s="55" t="n">
        <f aca="false">AP136+AQ136</f>
        <v>0</v>
      </c>
      <c r="AS136" s="55" t="n">
        <f aca="false">ROUND(MAX(0,AS135+AT135-AW135),2)</f>
        <v>0</v>
      </c>
      <c r="AT136" s="55" t="n">
        <f aca="false">ROUND(AS136*$E$13/12,2)</f>
        <v>0</v>
      </c>
      <c r="AU136" s="55" t="n">
        <f aca="false">MIN($F$13,AS136+AT136)</f>
        <v>0</v>
      </c>
      <c r="AV136" s="55" t="n">
        <f aca="false">MAX(0,MIN(AS136+AT136-AU136,$D136-(H136+M136+R136+W136+AB136+AG136+AL136+AQ136)))</f>
        <v>0</v>
      </c>
      <c r="AW136" s="55" t="n">
        <f aca="false">AU136+AV136</f>
        <v>0</v>
      </c>
      <c r="AX136" s="55" t="n">
        <f aca="false">ROUND(MAX(0,AX135+AY135-BB135),2)</f>
        <v>0</v>
      </c>
      <c r="AY136" s="55" t="n">
        <f aca="false">ROUND(AX136*$E$14/12,2)</f>
        <v>0</v>
      </c>
      <c r="AZ136" s="55" t="n">
        <f aca="false">MIN($F$14,AX136+AY136)</f>
        <v>0</v>
      </c>
      <c r="BA136" s="55" t="n">
        <f aca="false">MAX(0,MIN(AX136+AY136-AZ136,$D136-(H136+M136+R136+W136+AB136+AG136+AL136+AQ136+AV136)))</f>
        <v>0</v>
      </c>
      <c r="BB136" s="55" t="n">
        <f aca="false">AZ136+BA136</f>
        <v>0</v>
      </c>
      <c r="BC136" s="55" t="n">
        <f aca="false">I136+N136+S136+X136+AC136+AH136+AM136+AR136+AW136+BB136</f>
        <v>0</v>
      </c>
      <c r="BD136" s="55" t="n">
        <f aca="false">ROUND((E136+F136-I136)+(J136+K136-N136)+(O136+P136-S136)+(T136+U136-X136)+(Y136+Z136-AC136)+(AD136+AE136-AH136)+(AI136+AJ136-AM136)+(AN136+AO136-AR136)+(AS136+AT136-AW136)+(AX136+AY136-BB136),2)</f>
        <v>0</v>
      </c>
      <c r="BE136" s="25" t="str">
        <f aca="false">IF(H136&gt;0.005,$C$5,IF(M136&gt;0.005,$C$6,IF(R136&gt;0.005,$C$7,IF(W136&gt;0.005,$C$8,IF(AB136&gt;0.005,$C$9,IF(AG136&gt;0.005,$C$10,IF(AL136&gt;0.005,$C$11,IF(AQ136&gt;0.005,$C$12,IF(AV136&gt;0.005,$C$13,IF(BA136&gt;0.005,$C$14,""))))))))))</f>
        <v/>
      </c>
    </row>
    <row r="137" customFormat="false" ht="15" hidden="false" customHeight="false" outlineLevel="0" collapsed="false">
      <c r="A137" s="24" t="n">
        <v>114</v>
      </c>
      <c r="B137" s="54" t="n">
        <f aca="false">EDATE($C$17,A137-1)</f>
        <v>49766</v>
      </c>
      <c r="C137" s="55" t="n">
        <f aca="false">G137+L137+Q137+V137+AA137+AF137+AK137+AP137+AU137+AZ137</f>
        <v>0</v>
      </c>
      <c r="D137" s="55" t="n">
        <f aca="false">MAX(0,$C$16-C137)</f>
        <v>5822</v>
      </c>
      <c r="E137" s="55" t="n">
        <f aca="false">ROUND(MAX(0,E136+F136-I136),2)</f>
        <v>0</v>
      </c>
      <c r="F137" s="55" t="n">
        <f aca="false">ROUND(E137*$E$5/12,2)</f>
        <v>0</v>
      </c>
      <c r="G137" s="55" t="n">
        <f aca="false">MIN($F$5,E137+F137)</f>
        <v>0</v>
      </c>
      <c r="H137" s="55" t="n">
        <f aca="false">MAX(0,MIN(E137+F137-G137,$D137))</f>
        <v>0</v>
      </c>
      <c r="I137" s="55" t="n">
        <f aca="false">G137+H137</f>
        <v>0</v>
      </c>
      <c r="J137" s="55" t="n">
        <f aca="false">ROUND(MAX(0,J136+K136-N136),2)</f>
        <v>0</v>
      </c>
      <c r="K137" s="55" t="n">
        <f aca="false">ROUND(J137*$E$6/12,2)</f>
        <v>0</v>
      </c>
      <c r="L137" s="55" t="n">
        <f aca="false">MIN($F$6,J137+K137)</f>
        <v>0</v>
      </c>
      <c r="M137" s="55" t="n">
        <f aca="false">MAX(0,MIN(J137+K137-L137,$D137-(H137)))</f>
        <v>0</v>
      </c>
      <c r="N137" s="55" t="n">
        <f aca="false">L137+M137</f>
        <v>0</v>
      </c>
      <c r="O137" s="55" t="n">
        <f aca="false">ROUND(MAX(0,O136+P136-S136),2)</f>
        <v>0</v>
      </c>
      <c r="P137" s="55" t="n">
        <f aca="false">ROUND(O137*$E$7/12,2)</f>
        <v>0</v>
      </c>
      <c r="Q137" s="55" t="n">
        <f aca="false">MIN($F$7,O137+P137)</f>
        <v>0</v>
      </c>
      <c r="R137" s="55" t="n">
        <f aca="false">MAX(0,MIN(O137+P137-Q137,$D137-(H137+M137)))</f>
        <v>0</v>
      </c>
      <c r="S137" s="55" t="n">
        <f aca="false">Q137+R137</f>
        <v>0</v>
      </c>
      <c r="T137" s="55" t="n">
        <f aca="false">ROUND(MAX(0,T136+U136-X136),2)</f>
        <v>0</v>
      </c>
      <c r="U137" s="55" t="n">
        <f aca="false">ROUND(T137*$E$8/12,2)</f>
        <v>0</v>
      </c>
      <c r="V137" s="55" t="n">
        <f aca="false">MIN($F$8,T137+U137)</f>
        <v>0</v>
      </c>
      <c r="W137" s="55" t="n">
        <f aca="false">MAX(0,MIN(T137+U137-V137,$D137-(H137+M137+R137)))</f>
        <v>0</v>
      </c>
      <c r="X137" s="55" t="n">
        <f aca="false">V137+W137</f>
        <v>0</v>
      </c>
      <c r="Y137" s="55" t="n">
        <f aca="false">ROUND(MAX(0,Y136+Z136-AC136),2)</f>
        <v>0</v>
      </c>
      <c r="Z137" s="55" t="n">
        <f aca="false">ROUND(Y137*$E$9/12,2)</f>
        <v>0</v>
      </c>
      <c r="AA137" s="55" t="n">
        <f aca="false">MIN($F$9,Y137+Z137)</f>
        <v>0</v>
      </c>
      <c r="AB137" s="55" t="n">
        <f aca="false">MAX(0,MIN(Y137+Z137-AA137,$D137-(H137+M137+R137+W137)))</f>
        <v>0</v>
      </c>
      <c r="AC137" s="55" t="n">
        <f aca="false">AA137+AB137</f>
        <v>0</v>
      </c>
      <c r="AD137" s="55" t="n">
        <f aca="false">ROUND(MAX(0,AD136+AE136-AH136),2)</f>
        <v>0</v>
      </c>
      <c r="AE137" s="55" t="n">
        <f aca="false">ROUND(AD137*$E$10/12,2)</f>
        <v>0</v>
      </c>
      <c r="AF137" s="55" t="n">
        <f aca="false">MIN($F$10,AD137+AE137)</f>
        <v>0</v>
      </c>
      <c r="AG137" s="55" t="n">
        <f aca="false">MAX(0,MIN(AD137+AE137-AF137,$D137-(H137+M137+R137+W137+AB137)))</f>
        <v>0</v>
      </c>
      <c r="AH137" s="55" t="n">
        <f aca="false">AF137+AG137</f>
        <v>0</v>
      </c>
      <c r="AI137" s="55" t="n">
        <f aca="false">ROUND(MAX(0,AI136+AJ136-AM136),2)</f>
        <v>0</v>
      </c>
      <c r="AJ137" s="55" t="n">
        <f aca="false">ROUND(AI137*$E$11/12,2)</f>
        <v>0</v>
      </c>
      <c r="AK137" s="55" t="n">
        <f aca="false">MIN($F$11,AI137+AJ137)</f>
        <v>0</v>
      </c>
      <c r="AL137" s="55" t="n">
        <f aca="false">MAX(0,MIN(AI137+AJ137-AK137,$D137-(H137+M137+R137+W137+AB137+AG137)))</f>
        <v>0</v>
      </c>
      <c r="AM137" s="55" t="n">
        <f aca="false">AK137+AL137</f>
        <v>0</v>
      </c>
      <c r="AN137" s="55" t="n">
        <f aca="false">ROUND(MAX(0,AN136+AO136-AR136),2)</f>
        <v>0</v>
      </c>
      <c r="AO137" s="55" t="n">
        <f aca="false">ROUND(AN137*$E$12/12,2)</f>
        <v>0</v>
      </c>
      <c r="AP137" s="55" t="n">
        <f aca="false">MIN($F$12,AN137+AO137)</f>
        <v>0</v>
      </c>
      <c r="AQ137" s="55" t="n">
        <f aca="false">MAX(0,MIN(AN137+AO137-AP137,$D137-(H137+M137+R137+W137+AB137+AG137+AL137)))</f>
        <v>0</v>
      </c>
      <c r="AR137" s="55" t="n">
        <f aca="false">AP137+AQ137</f>
        <v>0</v>
      </c>
      <c r="AS137" s="55" t="n">
        <f aca="false">ROUND(MAX(0,AS136+AT136-AW136),2)</f>
        <v>0</v>
      </c>
      <c r="AT137" s="55" t="n">
        <f aca="false">ROUND(AS137*$E$13/12,2)</f>
        <v>0</v>
      </c>
      <c r="AU137" s="55" t="n">
        <f aca="false">MIN($F$13,AS137+AT137)</f>
        <v>0</v>
      </c>
      <c r="AV137" s="55" t="n">
        <f aca="false">MAX(0,MIN(AS137+AT137-AU137,$D137-(H137+M137+R137+W137+AB137+AG137+AL137+AQ137)))</f>
        <v>0</v>
      </c>
      <c r="AW137" s="55" t="n">
        <f aca="false">AU137+AV137</f>
        <v>0</v>
      </c>
      <c r="AX137" s="55" t="n">
        <f aca="false">ROUND(MAX(0,AX136+AY136-BB136),2)</f>
        <v>0</v>
      </c>
      <c r="AY137" s="55" t="n">
        <f aca="false">ROUND(AX137*$E$14/12,2)</f>
        <v>0</v>
      </c>
      <c r="AZ137" s="55" t="n">
        <f aca="false">MIN($F$14,AX137+AY137)</f>
        <v>0</v>
      </c>
      <c r="BA137" s="55" t="n">
        <f aca="false">MAX(0,MIN(AX137+AY137-AZ137,$D137-(H137+M137+R137+W137+AB137+AG137+AL137+AQ137+AV137)))</f>
        <v>0</v>
      </c>
      <c r="BB137" s="55" t="n">
        <f aca="false">AZ137+BA137</f>
        <v>0</v>
      </c>
      <c r="BC137" s="55" t="n">
        <f aca="false">I137+N137+S137+X137+AC137+AH137+AM137+AR137+AW137+BB137</f>
        <v>0</v>
      </c>
      <c r="BD137" s="55" t="n">
        <f aca="false">ROUND((E137+F137-I137)+(J137+K137-N137)+(O137+P137-S137)+(T137+U137-X137)+(Y137+Z137-AC137)+(AD137+AE137-AH137)+(AI137+AJ137-AM137)+(AN137+AO137-AR137)+(AS137+AT137-AW137)+(AX137+AY137-BB137),2)</f>
        <v>0</v>
      </c>
      <c r="BE137" s="25" t="str">
        <f aca="false">IF(H137&gt;0.005,$C$5,IF(M137&gt;0.005,$C$6,IF(R137&gt;0.005,$C$7,IF(W137&gt;0.005,$C$8,IF(AB137&gt;0.005,$C$9,IF(AG137&gt;0.005,$C$10,IF(AL137&gt;0.005,$C$11,IF(AQ137&gt;0.005,$C$12,IF(AV137&gt;0.005,$C$13,IF(BA137&gt;0.005,$C$14,""))))))))))</f>
        <v/>
      </c>
    </row>
    <row r="138" customFormat="false" ht="15" hidden="false" customHeight="false" outlineLevel="0" collapsed="false">
      <c r="A138" s="24" t="n">
        <v>115</v>
      </c>
      <c r="B138" s="54" t="n">
        <f aca="false">EDATE($C$17,A138-1)</f>
        <v>49796</v>
      </c>
      <c r="C138" s="55" t="n">
        <f aca="false">G138+L138+Q138+V138+AA138+AF138+AK138+AP138+AU138+AZ138</f>
        <v>0</v>
      </c>
      <c r="D138" s="55" t="n">
        <f aca="false">MAX(0,$C$16-C138)</f>
        <v>5822</v>
      </c>
      <c r="E138" s="55" t="n">
        <f aca="false">ROUND(MAX(0,E137+F137-I137),2)</f>
        <v>0</v>
      </c>
      <c r="F138" s="55" t="n">
        <f aca="false">ROUND(E138*$E$5/12,2)</f>
        <v>0</v>
      </c>
      <c r="G138" s="55" t="n">
        <f aca="false">MIN($F$5,E138+F138)</f>
        <v>0</v>
      </c>
      <c r="H138" s="55" t="n">
        <f aca="false">MAX(0,MIN(E138+F138-G138,$D138))</f>
        <v>0</v>
      </c>
      <c r="I138" s="55" t="n">
        <f aca="false">G138+H138</f>
        <v>0</v>
      </c>
      <c r="J138" s="55" t="n">
        <f aca="false">ROUND(MAX(0,J137+K137-N137),2)</f>
        <v>0</v>
      </c>
      <c r="K138" s="55" t="n">
        <f aca="false">ROUND(J138*$E$6/12,2)</f>
        <v>0</v>
      </c>
      <c r="L138" s="55" t="n">
        <f aca="false">MIN($F$6,J138+K138)</f>
        <v>0</v>
      </c>
      <c r="M138" s="55" t="n">
        <f aca="false">MAX(0,MIN(J138+K138-L138,$D138-(H138)))</f>
        <v>0</v>
      </c>
      <c r="N138" s="55" t="n">
        <f aca="false">L138+M138</f>
        <v>0</v>
      </c>
      <c r="O138" s="55" t="n">
        <f aca="false">ROUND(MAX(0,O137+P137-S137),2)</f>
        <v>0</v>
      </c>
      <c r="P138" s="55" t="n">
        <f aca="false">ROUND(O138*$E$7/12,2)</f>
        <v>0</v>
      </c>
      <c r="Q138" s="55" t="n">
        <f aca="false">MIN($F$7,O138+P138)</f>
        <v>0</v>
      </c>
      <c r="R138" s="55" t="n">
        <f aca="false">MAX(0,MIN(O138+P138-Q138,$D138-(H138+M138)))</f>
        <v>0</v>
      </c>
      <c r="S138" s="55" t="n">
        <f aca="false">Q138+R138</f>
        <v>0</v>
      </c>
      <c r="T138" s="55" t="n">
        <f aca="false">ROUND(MAX(0,T137+U137-X137),2)</f>
        <v>0</v>
      </c>
      <c r="U138" s="55" t="n">
        <f aca="false">ROUND(T138*$E$8/12,2)</f>
        <v>0</v>
      </c>
      <c r="V138" s="55" t="n">
        <f aca="false">MIN($F$8,T138+U138)</f>
        <v>0</v>
      </c>
      <c r="W138" s="55" t="n">
        <f aca="false">MAX(0,MIN(T138+U138-V138,$D138-(H138+M138+R138)))</f>
        <v>0</v>
      </c>
      <c r="X138" s="55" t="n">
        <f aca="false">V138+W138</f>
        <v>0</v>
      </c>
      <c r="Y138" s="55" t="n">
        <f aca="false">ROUND(MAX(0,Y137+Z137-AC137),2)</f>
        <v>0</v>
      </c>
      <c r="Z138" s="55" t="n">
        <f aca="false">ROUND(Y138*$E$9/12,2)</f>
        <v>0</v>
      </c>
      <c r="AA138" s="55" t="n">
        <f aca="false">MIN($F$9,Y138+Z138)</f>
        <v>0</v>
      </c>
      <c r="AB138" s="55" t="n">
        <f aca="false">MAX(0,MIN(Y138+Z138-AA138,$D138-(H138+M138+R138+W138)))</f>
        <v>0</v>
      </c>
      <c r="AC138" s="55" t="n">
        <f aca="false">AA138+AB138</f>
        <v>0</v>
      </c>
      <c r="AD138" s="55" t="n">
        <f aca="false">ROUND(MAX(0,AD137+AE137-AH137),2)</f>
        <v>0</v>
      </c>
      <c r="AE138" s="55" t="n">
        <f aca="false">ROUND(AD138*$E$10/12,2)</f>
        <v>0</v>
      </c>
      <c r="AF138" s="55" t="n">
        <f aca="false">MIN($F$10,AD138+AE138)</f>
        <v>0</v>
      </c>
      <c r="AG138" s="55" t="n">
        <f aca="false">MAX(0,MIN(AD138+AE138-AF138,$D138-(H138+M138+R138+W138+AB138)))</f>
        <v>0</v>
      </c>
      <c r="AH138" s="55" t="n">
        <f aca="false">AF138+AG138</f>
        <v>0</v>
      </c>
      <c r="AI138" s="55" t="n">
        <f aca="false">ROUND(MAX(0,AI137+AJ137-AM137),2)</f>
        <v>0</v>
      </c>
      <c r="AJ138" s="55" t="n">
        <f aca="false">ROUND(AI138*$E$11/12,2)</f>
        <v>0</v>
      </c>
      <c r="AK138" s="55" t="n">
        <f aca="false">MIN($F$11,AI138+AJ138)</f>
        <v>0</v>
      </c>
      <c r="AL138" s="55" t="n">
        <f aca="false">MAX(0,MIN(AI138+AJ138-AK138,$D138-(H138+M138+R138+W138+AB138+AG138)))</f>
        <v>0</v>
      </c>
      <c r="AM138" s="55" t="n">
        <f aca="false">AK138+AL138</f>
        <v>0</v>
      </c>
      <c r="AN138" s="55" t="n">
        <f aca="false">ROUND(MAX(0,AN137+AO137-AR137),2)</f>
        <v>0</v>
      </c>
      <c r="AO138" s="55" t="n">
        <f aca="false">ROUND(AN138*$E$12/12,2)</f>
        <v>0</v>
      </c>
      <c r="AP138" s="55" t="n">
        <f aca="false">MIN($F$12,AN138+AO138)</f>
        <v>0</v>
      </c>
      <c r="AQ138" s="55" t="n">
        <f aca="false">MAX(0,MIN(AN138+AO138-AP138,$D138-(H138+M138+R138+W138+AB138+AG138+AL138)))</f>
        <v>0</v>
      </c>
      <c r="AR138" s="55" t="n">
        <f aca="false">AP138+AQ138</f>
        <v>0</v>
      </c>
      <c r="AS138" s="55" t="n">
        <f aca="false">ROUND(MAX(0,AS137+AT137-AW137),2)</f>
        <v>0</v>
      </c>
      <c r="AT138" s="55" t="n">
        <f aca="false">ROUND(AS138*$E$13/12,2)</f>
        <v>0</v>
      </c>
      <c r="AU138" s="55" t="n">
        <f aca="false">MIN($F$13,AS138+AT138)</f>
        <v>0</v>
      </c>
      <c r="AV138" s="55" t="n">
        <f aca="false">MAX(0,MIN(AS138+AT138-AU138,$D138-(H138+M138+R138+W138+AB138+AG138+AL138+AQ138)))</f>
        <v>0</v>
      </c>
      <c r="AW138" s="55" t="n">
        <f aca="false">AU138+AV138</f>
        <v>0</v>
      </c>
      <c r="AX138" s="55" t="n">
        <f aca="false">ROUND(MAX(0,AX137+AY137-BB137),2)</f>
        <v>0</v>
      </c>
      <c r="AY138" s="55" t="n">
        <f aca="false">ROUND(AX138*$E$14/12,2)</f>
        <v>0</v>
      </c>
      <c r="AZ138" s="55" t="n">
        <f aca="false">MIN($F$14,AX138+AY138)</f>
        <v>0</v>
      </c>
      <c r="BA138" s="55" t="n">
        <f aca="false">MAX(0,MIN(AX138+AY138-AZ138,$D138-(H138+M138+R138+W138+AB138+AG138+AL138+AQ138+AV138)))</f>
        <v>0</v>
      </c>
      <c r="BB138" s="55" t="n">
        <f aca="false">AZ138+BA138</f>
        <v>0</v>
      </c>
      <c r="BC138" s="55" t="n">
        <f aca="false">I138+N138+S138+X138+AC138+AH138+AM138+AR138+AW138+BB138</f>
        <v>0</v>
      </c>
      <c r="BD138" s="55" t="n">
        <f aca="false">ROUND((E138+F138-I138)+(J138+K138-N138)+(O138+P138-S138)+(T138+U138-X138)+(Y138+Z138-AC138)+(AD138+AE138-AH138)+(AI138+AJ138-AM138)+(AN138+AO138-AR138)+(AS138+AT138-AW138)+(AX138+AY138-BB138),2)</f>
        <v>0</v>
      </c>
      <c r="BE138" s="25" t="str">
        <f aca="false">IF(H138&gt;0.005,$C$5,IF(M138&gt;0.005,$C$6,IF(R138&gt;0.005,$C$7,IF(W138&gt;0.005,$C$8,IF(AB138&gt;0.005,$C$9,IF(AG138&gt;0.005,$C$10,IF(AL138&gt;0.005,$C$11,IF(AQ138&gt;0.005,$C$12,IF(AV138&gt;0.005,$C$13,IF(BA138&gt;0.005,$C$14,""))))))))))</f>
        <v/>
      </c>
    </row>
    <row r="139" customFormat="false" ht="15" hidden="false" customHeight="false" outlineLevel="0" collapsed="false">
      <c r="A139" s="24" t="n">
        <v>116</v>
      </c>
      <c r="B139" s="54" t="n">
        <f aca="false">EDATE($C$17,A139-1)</f>
        <v>49827</v>
      </c>
      <c r="C139" s="55" t="n">
        <f aca="false">G139+L139+Q139+V139+AA139+AF139+AK139+AP139+AU139+AZ139</f>
        <v>0</v>
      </c>
      <c r="D139" s="55" t="n">
        <f aca="false">MAX(0,$C$16-C139)</f>
        <v>5822</v>
      </c>
      <c r="E139" s="55" t="n">
        <f aca="false">ROUND(MAX(0,E138+F138-I138),2)</f>
        <v>0</v>
      </c>
      <c r="F139" s="55" t="n">
        <f aca="false">ROUND(E139*$E$5/12,2)</f>
        <v>0</v>
      </c>
      <c r="G139" s="55" t="n">
        <f aca="false">MIN($F$5,E139+F139)</f>
        <v>0</v>
      </c>
      <c r="H139" s="55" t="n">
        <f aca="false">MAX(0,MIN(E139+F139-G139,$D139))</f>
        <v>0</v>
      </c>
      <c r="I139" s="55" t="n">
        <f aca="false">G139+H139</f>
        <v>0</v>
      </c>
      <c r="J139" s="55" t="n">
        <f aca="false">ROUND(MAX(0,J138+K138-N138),2)</f>
        <v>0</v>
      </c>
      <c r="K139" s="55" t="n">
        <f aca="false">ROUND(J139*$E$6/12,2)</f>
        <v>0</v>
      </c>
      <c r="L139" s="55" t="n">
        <f aca="false">MIN($F$6,J139+K139)</f>
        <v>0</v>
      </c>
      <c r="M139" s="55" t="n">
        <f aca="false">MAX(0,MIN(J139+K139-L139,$D139-(H139)))</f>
        <v>0</v>
      </c>
      <c r="N139" s="55" t="n">
        <f aca="false">L139+M139</f>
        <v>0</v>
      </c>
      <c r="O139" s="55" t="n">
        <f aca="false">ROUND(MAX(0,O138+P138-S138),2)</f>
        <v>0</v>
      </c>
      <c r="P139" s="55" t="n">
        <f aca="false">ROUND(O139*$E$7/12,2)</f>
        <v>0</v>
      </c>
      <c r="Q139" s="55" t="n">
        <f aca="false">MIN($F$7,O139+P139)</f>
        <v>0</v>
      </c>
      <c r="R139" s="55" t="n">
        <f aca="false">MAX(0,MIN(O139+P139-Q139,$D139-(H139+M139)))</f>
        <v>0</v>
      </c>
      <c r="S139" s="55" t="n">
        <f aca="false">Q139+R139</f>
        <v>0</v>
      </c>
      <c r="T139" s="55" t="n">
        <f aca="false">ROUND(MAX(0,T138+U138-X138),2)</f>
        <v>0</v>
      </c>
      <c r="U139" s="55" t="n">
        <f aca="false">ROUND(T139*$E$8/12,2)</f>
        <v>0</v>
      </c>
      <c r="V139" s="55" t="n">
        <f aca="false">MIN($F$8,T139+U139)</f>
        <v>0</v>
      </c>
      <c r="W139" s="55" t="n">
        <f aca="false">MAX(0,MIN(T139+U139-V139,$D139-(H139+M139+R139)))</f>
        <v>0</v>
      </c>
      <c r="X139" s="55" t="n">
        <f aca="false">V139+W139</f>
        <v>0</v>
      </c>
      <c r="Y139" s="55" t="n">
        <f aca="false">ROUND(MAX(0,Y138+Z138-AC138),2)</f>
        <v>0</v>
      </c>
      <c r="Z139" s="55" t="n">
        <f aca="false">ROUND(Y139*$E$9/12,2)</f>
        <v>0</v>
      </c>
      <c r="AA139" s="55" t="n">
        <f aca="false">MIN($F$9,Y139+Z139)</f>
        <v>0</v>
      </c>
      <c r="AB139" s="55" t="n">
        <f aca="false">MAX(0,MIN(Y139+Z139-AA139,$D139-(H139+M139+R139+W139)))</f>
        <v>0</v>
      </c>
      <c r="AC139" s="55" t="n">
        <f aca="false">AA139+AB139</f>
        <v>0</v>
      </c>
      <c r="AD139" s="55" t="n">
        <f aca="false">ROUND(MAX(0,AD138+AE138-AH138),2)</f>
        <v>0</v>
      </c>
      <c r="AE139" s="55" t="n">
        <f aca="false">ROUND(AD139*$E$10/12,2)</f>
        <v>0</v>
      </c>
      <c r="AF139" s="55" t="n">
        <f aca="false">MIN($F$10,AD139+AE139)</f>
        <v>0</v>
      </c>
      <c r="AG139" s="55" t="n">
        <f aca="false">MAX(0,MIN(AD139+AE139-AF139,$D139-(H139+M139+R139+W139+AB139)))</f>
        <v>0</v>
      </c>
      <c r="AH139" s="55" t="n">
        <f aca="false">AF139+AG139</f>
        <v>0</v>
      </c>
      <c r="AI139" s="55" t="n">
        <f aca="false">ROUND(MAX(0,AI138+AJ138-AM138),2)</f>
        <v>0</v>
      </c>
      <c r="AJ139" s="55" t="n">
        <f aca="false">ROUND(AI139*$E$11/12,2)</f>
        <v>0</v>
      </c>
      <c r="AK139" s="55" t="n">
        <f aca="false">MIN($F$11,AI139+AJ139)</f>
        <v>0</v>
      </c>
      <c r="AL139" s="55" t="n">
        <f aca="false">MAX(0,MIN(AI139+AJ139-AK139,$D139-(H139+M139+R139+W139+AB139+AG139)))</f>
        <v>0</v>
      </c>
      <c r="AM139" s="55" t="n">
        <f aca="false">AK139+AL139</f>
        <v>0</v>
      </c>
      <c r="AN139" s="55" t="n">
        <f aca="false">ROUND(MAX(0,AN138+AO138-AR138),2)</f>
        <v>0</v>
      </c>
      <c r="AO139" s="55" t="n">
        <f aca="false">ROUND(AN139*$E$12/12,2)</f>
        <v>0</v>
      </c>
      <c r="AP139" s="55" t="n">
        <f aca="false">MIN($F$12,AN139+AO139)</f>
        <v>0</v>
      </c>
      <c r="AQ139" s="55" t="n">
        <f aca="false">MAX(0,MIN(AN139+AO139-AP139,$D139-(H139+M139+R139+W139+AB139+AG139+AL139)))</f>
        <v>0</v>
      </c>
      <c r="AR139" s="55" t="n">
        <f aca="false">AP139+AQ139</f>
        <v>0</v>
      </c>
      <c r="AS139" s="55" t="n">
        <f aca="false">ROUND(MAX(0,AS138+AT138-AW138),2)</f>
        <v>0</v>
      </c>
      <c r="AT139" s="55" t="n">
        <f aca="false">ROUND(AS139*$E$13/12,2)</f>
        <v>0</v>
      </c>
      <c r="AU139" s="55" t="n">
        <f aca="false">MIN($F$13,AS139+AT139)</f>
        <v>0</v>
      </c>
      <c r="AV139" s="55" t="n">
        <f aca="false">MAX(0,MIN(AS139+AT139-AU139,$D139-(H139+M139+R139+W139+AB139+AG139+AL139+AQ139)))</f>
        <v>0</v>
      </c>
      <c r="AW139" s="55" t="n">
        <f aca="false">AU139+AV139</f>
        <v>0</v>
      </c>
      <c r="AX139" s="55" t="n">
        <f aca="false">ROUND(MAX(0,AX138+AY138-BB138),2)</f>
        <v>0</v>
      </c>
      <c r="AY139" s="55" t="n">
        <f aca="false">ROUND(AX139*$E$14/12,2)</f>
        <v>0</v>
      </c>
      <c r="AZ139" s="55" t="n">
        <f aca="false">MIN($F$14,AX139+AY139)</f>
        <v>0</v>
      </c>
      <c r="BA139" s="55" t="n">
        <f aca="false">MAX(0,MIN(AX139+AY139-AZ139,$D139-(H139+M139+R139+W139+AB139+AG139+AL139+AQ139+AV139)))</f>
        <v>0</v>
      </c>
      <c r="BB139" s="55" t="n">
        <f aca="false">AZ139+BA139</f>
        <v>0</v>
      </c>
      <c r="BC139" s="55" t="n">
        <f aca="false">I139+N139+S139+X139+AC139+AH139+AM139+AR139+AW139+BB139</f>
        <v>0</v>
      </c>
      <c r="BD139" s="55" t="n">
        <f aca="false">ROUND((E139+F139-I139)+(J139+K139-N139)+(O139+P139-S139)+(T139+U139-X139)+(Y139+Z139-AC139)+(AD139+AE139-AH139)+(AI139+AJ139-AM139)+(AN139+AO139-AR139)+(AS139+AT139-AW139)+(AX139+AY139-BB139),2)</f>
        <v>0</v>
      </c>
      <c r="BE139" s="25" t="str">
        <f aca="false">IF(H139&gt;0.005,$C$5,IF(M139&gt;0.005,$C$6,IF(R139&gt;0.005,$C$7,IF(W139&gt;0.005,$C$8,IF(AB139&gt;0.005,$C$9,IF(AG139&gt;0.005,$C$10,IF(AL139&gt;0.005,$C$11,IF(AQ139&gt;0.005,$C$12,IF(AV139&gt;0.005,$C$13,IF(BA139&gt;0.005,$C$14,""))))))))))</f>
        <v/>
      </c>
    </row>
    <row r="140" customFormat="false" ht="15" hidden="false" customHeight="false" outlineLevel="0" collapsed="false">
      <c r="A140" s="24" t="n">
        <v>117</v>
      </c>
      <c r="B140" s="54" t="n">
        <f aca="false">EDATE($C$17,A140-1)</f>
        <v>49857</v>
      </c>
      <c r="C140" s="55" t="n">
        <f aca="false">G140+L140+Q140+V140+AA140+AF140+AK140+AP140+AU140+AZ140</f>
        <v>0</v>
      </c>
      <c r="D140" s="55" t="n">
        <f aca="false">MAX(0,$C$16-C140)</f>
        <v>5822</v>
      </c>
      <c r="E140" s="55" t="n">
        <f aca="false">ROUND(MAX(0,E139+F139-I139),2)</f>
        <v>0</v>
      </c>
      <c r="F140" s="55" t="n">
        <f aca="false">ROUND(E140*$E$5/12,2)</f>
        <v>0</v>
      </c>
      <c r="G140" s="55" t="n">
        <f aca="false">MIN($F$5,E140+F140)</f>
        <v>0</v>
      </c>
      <c r="H140" s="55" t="n">
        <f aca="false">MAX(0,MIN(E140+F140-G140,$D140))</f>
        <v>0</v>
      </c>
      <c r="I140" s="55" t="n">
        <f aca="false">G140+H140</f>
        <v>0</v>
      </c>
      <c r="J140" s="55" t="n">
        <f aca="false">ROUND(MAX(0,J139+K139-N139),2)</f>
        <v>0</v>
      </c>
      <c r="K140" s="55" t="n">
        <f aca="false">ROUND(J140*$E$6/12,2)</f>
        <v>0</v>
      </c>
      <c r="L140" s="55" t="n">
        <f aca="false">MIN($F$6,J140+K140)</f>
        <v>0</v>
      </c>
      <c r="M140" s="55" t="n">
        <f aca="false">MAX(0,MIN(J140+K140-L140,$D140-(H140)))</f>
        <v>0</v>
      </c>
      <c r="N140" s="55" t="n">
        <f aca="false">L140+M140</f>
        <v>0</v>
      </c>
      <c r="O140" s="55" t="n">
        <f aca="false">ROUND(MAX(0,O139+P139-S139),2)</f>
        <v>0</v>
      </c>
      <c r="P140" s="55" t="n">
        <f aca="false">ROUND(O140*$E$7/12,2)</f>
        <v>0</v>
      </c>
      <c r="Q140" s="55" t="n">
        <f aca="false">MIN($F$7,O140+P140)</f>
        <v>0</v>
      </c>
      <c r="R140" s="55" t="n">
        <f aca="false">MAX(0,MIN(O140+P140-Q140,$D140-(H140+M140)))</f>
        <v>0</v>
      </c>
      <c r="S140" s="55" t="n">
        <f aca="false">Q140+R140</f>
        <v>0</v>
      </c>
      <c r="T140" s="55" t="n">
        <f aca="false">ROUND(MAX(0,T139+U139-X139),2)</f>
        <v>0</v>
      </c>
      <c r="U140" s="55" t="n">
        <f aca="false">ROUND(T140*$E$8/12,2)</f>
        <v>0</v>
      </c>
      <c r="V140" s="55" t="n">
        <f aca="false">MIN($F$8,T140+U140)</f>
        <v>0</v>
      </c>
      <c r="W140" s="55" t="n">
        <f aca="false">MAX(0,MIN(T140+U140-V140,$D140-(H140+M140+R140)))</f>
        <v>0</v>
      </c>
      <c r="X140" s="55" t="n">
        <f aca="false">V140+W140</f>
        <v>0</v>
      </c>
      <c r="Y140" s="55" t="n">
        <f aca="false">ROUND(MAX(0,Y139+Z139-AC139),2)</f>
        <v>0</v>
      </c>
      <c r="Z140" s="55" t="n">
        <f aca="false">ROUND(Y140*$E$9/12,2)</f>
        <v>0</v>
      </c>
      <c r="AA140" s="55" t="n">
        <f aca="false">MIN($F$9,Y140+Z140)</f>
        <v>0</v>
      </c>
      <c r="AB140" s="55" t="n">
        <f aca="false">MAX(0,MIN(Y140+Z140-AA140,$D140-(H140+M140+R140+W140)))</f>
        <v>0</v>
      </c>
      <c r="AC140" s="55" t="n">
        <f aca="false">AA140+AB140</f>
        <v>0</v>
      </c>
      <c r="AD140" s="55" t="n">
        <f aca="false">ROUND(MAX(0,AD139+AE139-AH139),2)</f>
        <v>0</v>
      </c>
      <c r="AE140" s="55" t="n">
        <f aca="false">ROUND(AD140*$E$10/12,2)</f>
        <v>0</v>
      </c>
      <c r="AF140" s="55" t="n">
        <f aca="false">MIN($F$10,AD140+AE140)</f>
        <v>0</v>
      </c>
      <c r="AG140" s="55" t="n">
        <f aca="false">MAX(0,MIN(AD140+AE140-AF140,$D140-(H140+M140+R140+W140+AB140)))</f>
        <v>0</v>
      </c>
      <c r="AH140" s="55" t="n">
        <f aca="false">AF140+AG140</f>
        <v>0</v>
      </c>
      <c r="AI140" s="55" t="n">
        <f aca="false">ROUND(MAX(0,AI139+AJ139-AM139),2)</f>
        <v>0</v>
      </c>
      <c r="AJ140" s="55" t="n">
        <f aca="false">ROUND(AI140*$E$11/12,2)</f>
        <v>0</v>
      </c>
      <c r="AK140" s="55" t="n">
        <f aca="false">MIN($F$11,AI140+AJ140)</f>
        <v>0</v>
      </c>
      <c r="AL140" s="55" t="n">
        <f aca="false">MAX(0,MIN(AI140+AJ140-AK140,$D140-(H140+M140+R140+W140+AB140+AG140)))</f>
        <v>0</v>
      </c>
      <c r="AM140" s="55" t="n">
        <f aca="false">AK140+AL140</f>
        <v>0</v>
      </c>
      <c r="AN140" s="55" t="n">
        <f aca="false">ROUND(MAX(0,AN139+AO139-AR139),2)</f>
        <v>0</v>
      </c>
      <c r="AO140" s="55" t="n">
        <f aca="false">ROUND(AN140*$E$12/12,2)</f>
        <v>0</v>
      </c>
      <c r="AP140" s="55" t="n">
        <f aca="false">MIN($F$12,AN140+AO140)</f>
        <v>0</v>
      </c>
      <c r="AQ140" s="55" t="n">
        <f aca="false">MAX(0,MIN(AN140+AO140-AP140,$D140-(H140+M140+R140+W140+AB140+AG140+AL140)))</f>
        <v>0</v>
      </c>
      <c r="AR140" s="55" t="n">
        <f aca="false">AP140+AQ140</f>
        <v>0</v>
      </c>
      <c r="AS140" s="55" t="n">
        <f aca="false">ROUND(MAX(0,AS139+AT139-AW139),2)</f>
        <v>0</v>
      </c>
      <c r="AT140" s="55" t="n">
        <f aca="false">ROUND(AS140*$E$13/12,2)</f>
        <v>0</v>
      </c>
      <c r="AU140" s="55" t="n">
        <f aca="false">MIN($F$13,AS140+AT140)</f>
        <v>0</v>
      </c>
      <c r="AV140" s="55" t="n">
        <f aca="false">MAX(0,MIN(AS140+AT140-AU140,$D140-(H140+M140+R140+W140+AB140+AG140+AL140+AQ140)))</f>
        <v>0</v>
      </c>
      <c r="AW140" s="55" t="n">
        <f aca="false">AU140+AV140</f>
        <v>0</v>
      </c>
      <c r="AX140" s="55" t="n">
        <f aca="false">ROUND(MAX(0,AX139+AY139-BB139),2)</f>
        <v>0</v>
      </c>
      <c r="AY140" s="55" t="n">
        <f aca="false">ROUND(AX140*$E$14/12,2)</f>
        <v>0</v>
      </c>
      <c r="AZ140" s="55" t="n">
        <f aca="false">MIN($F$14,AX140+AY140)</f>
        <v>0</v>
      </c>
      <c r="BA140" s="55" t="n">
        <f aca="false">MAX(0,MIN(AX140+AY140-AZ140,$D140-(H140+M140+R140+W140+AB140+AG140+AL140+AQ140+AV140)))</f>
        <v>0</v>
      </c>
      <c r="BB140" s="55" t="n">
        <f aca="false">AZ140+BA140</f>
        <v>0</v>
      </c>
      <c r="BC140" s="55" t="n">
        <f aca="false">I140+N140+S140+X140+AC140+AH140+AM140+AR140+AW140+BB140</f>
        <v>0</v>
      </c>
      <c r="BD140" s="55" t="n">
        <f aca="false">ROUND((E140+F140-I140)+(J140+K140-N140)+(O140+P140-S140)+(T140+U140-X140)+(Y140+Z140-AC140)+(AD140+AE140-AH140)+(AI140+AJ140-AM140)+(AN140+AO140-AR140)+(AS140+AT140-AW140)+(AX140+AY140-BB140),2)</f>
        <v>0</v>
      </c>
      <c r="BE140" s="25" t="str">
        <f aca="false">IF(H140&gt;0.005,$C$5,IF(M140&gt;0.005,$C$6,IF(R140&gt;0.005,$C$7,IF(W140&gt;0.005,$C$8,IF(AB140&gt;0.005,$C$9,IF(AG140&gt;0.005,$C$10,IF(AL140&gt;0.005,$C$11,IF(AQ140&gt;0.005,$C$12,IF(AV140&gt;0.005,$C$13,IF(BA140&gt;0.005,$C$14,""))))))))))</f>
        <v/>
      </c>
    </row>
    <row r="141" customFormat="false" ht="15" hidden="false" customHeight="false" outlineLevel="0" collapsed="false">
      <c r="A141" s="24" t="n">
        <v>118</v>
      </c>
      <c r="B141" s="54" t="n">
        <f aca="false">EDATE($C$17,A141-1)</f>
        <v>49888</v>
      </c>
      <c r="C141" s="55" t="n">
        <f aca="false">G141+L141+Q141+V141+AA141+AF141+AK141+AP141+AU141+AZ141</f>
        <v>0</v>
      </c>
      <c r="D141" s="55" t="n">
        <f aca="false">MAX(0,$C$16-C141)</f>
        <v>5822</v>
      </c>
      <c r="E141" s="55" t="n">
        <f aca="false">ROUND(MAX(0,E140+F140-I140),2)</f>
        <v>0</v>
      </c>
      <c r="F141" s="55" t="n">
        <f aca="false">ROUND(E141*$E$5/12,2)</f>
        <v>0</v>
      </c>
      <c r="G141" s="55" t="n">
        <f aca="false">MIN($F$5,E141+F141)</f>
        <v>0</v>
      </c>
      <c r="H141" s="55" t="n">
        <f aca="false">MAX(0,MIN(E141+F141-G141,$D141))</f>
        <v>0</v>
      </c>
      <c r="I141" s="55" t="n">
        <f aca="false">G141+H141</f>
        <v>0</v>
      </c>
      <c r="J141" s="55" t="n">
        <f aca="false">ROUND(MAX(0,J140+K140-N140),2)</f>
        <v>0</v>
      </c>
      <c r="K141" s="55" t="n">
        <f aca="false">ROUND(J141*$E$6/12,2)</f>
        <v>0</v>
      </c>
      <c r="L141" s="55" t="n">
        <f aca="false">MIN($F$6,J141+K141)</f>
        <v>0</v>
      </c>
      <c r="M141" s="55" t="n">
        <f aca="false">MAX(0,MIN(J141+K141-L141,$D141-(H141)))</f>
        <v>0</v>
      </c>
      <c r="N141" s="55" t="n">
        <f aca="false">L141+M141</f>
        <v>0</v>
      </c>
      <c r="O141" s="55" t="n">
        <f aca="false">ROUND(MAX(0,O140+P140-S140),2)</f>
        <v>0</v>
      </c>
      <c r="P141" s="55" t="n">
        <f aca="false">ROUND(O141*$E$7/12,2)</f>
        <v>0</v>
      </c>
      <c r="Q141" s="55" t="n">
        <f aca="false">MIN($F$7,O141+P141)</f>
        <v>0</v>
      </c>
      <c r="R141" s="55" t="n">
        <f aca="false">MAX(0,MIN(O141+P141-Q141,$D141-(H141+M141)))</f>
        <v>0</v>
      </c>
      <c r="S141" s="55" t="n">
        <f aca="false">Q141+R141</f>
        <v>0</v>
      </c>
      <c r="T141" s="55" t="n">
        <f aca="false">ROUND(MAX(0,T140+U140-X140),2)</f>
        <v>0</v>
      </c>
      <c r="U141" s="55" t="n">
        <f aca="false">ROUND(T141*$E$8/12,2)</f>
        <v>0</v>
      </c>
      <c r="V141" s="55" t="n">
        <f aca="false">MIN($F$8,T141+U141)</f>
        <v>0</v>
      </c>
      <c r="W141" s="55" t="n">
        <f aca="false">MAX(0,MIN(T141+U141-V141,$D141-(H141+M141+R141)))</f>
        <v>0</v>
      </c>
      <c r="X141" s="55" t="n">
        <f aca="false">V141+W141</f>
        <v>0</v>
      </c>
      <c r="Y141" s="55" t="n">
        <f aca="false">ROUND(MAX(0,Y140+Z140-AC140),2)</f>
        <v>0</v>
      </c>
      <c r="Z141" s="55" t="n">
        <f aca="false">ROUND(Y141*$E$9/12,2)</f>
        <v>0</v>
      </c>
      <c r="AA141" s="55" t="n">
        <f aca="false">MIN($F$9,Y141+Z141)</f>
        <v>0</v>
      </c>
      <c r="AB141" s="55" t="n">
        <f aca="false">MAX(0,MIN(Y141+Z141-AA141,$D141-(H141+M141+R141+W141)))</f>
        <v>0</v>
      </c>
      <c r="AC141" s="55" t="n">
        <f aca="false">AA141+AB141</f>
        <v>0</v>
      </c>
      <c r="AD141" s="55" t="n">
        <f aca="false">ROUND(MAX(0,AD140+AE140-AH140),2)</f>
        <v>0</v>
      </c>
      <c r="AE141" s="55" t="n">
        <f aca="false">ROUND(AD141*$E$10/12,2)</f>
        <v>0</v>
      </c>
      <c r="AF141" s="55" t="n">
        <f aca="false">MIN($F$10,AD141+AE141)</f>
        <v>0</v>
      </c>
      <c r="AG141" s="55" t="n">
        <f aca="false">MAX(0,MIN(AD141+AE141-AF141,$D141-(H141+M141+R141+W141+AB141)))</f>
        <v>0</v>
      </c>
      <c r="AH141" s="55" t="n">
        <f aca="false">AF141+AG141</f>
        <v>0</v>
      </c>
      <c r="AI141" s="55" t="n">
        <f aca="false">ROUND(MAX(0,AI140+AJ140-AM140),2)</f>
        <v>0</v>
      </c>
      <c r="AJ141" s="55" t="n">
        <f aca="false">ROUND(AI141*$E$11/12,2)</f>
        <v>0</v>
      </c>
      <c r="AK141" s="55" t="n">
        <f aca="false">MIN($F$11,AI141+AJ141)</f>
        <v>0</v>
      </c>
      <c r="AL141" s="55" t="n">
        <f aca="false">MAX(0,MIN(AI141+AJ141-AK141,$D141-(H141+M141+R141+W141+AB141+AG141)))</f>
        <v>0</v>
      </c>
      <c r="AM141" s="55" t="n">
        <f aca="false">AK141+AL141</f>
        <v>0</v>
      </c>
      <c r="AN141" s="55" t="n">
        <f aca="false">ROUND(MAX(0,AN140+AO140-AR140),2)</f>
        <v>0</v>
      </c>
      <c r="AO141" s="55" t="n">
        <f aca="false">ROUND(AN141*$E$12/12,2)</f>
        <v>0</v>
      </c>
      <c r="AP141" s="55" t="n">
        <f aca="false">MIN($F$12,AN141+AO141)</f>
        <v>0</v>
      </c>
      <c r="AQ141" s="55" t="n">
        <f aca="false">MAX(0,MIN(AN141+AO141-AP141,$D141-(H141+M141+R141+W141+AB141+AG141+AL141)))</f>
        <v>0</v>
      </c>
      <c r="AR141" s="55" t="n">
        <f aca="false">AP141+AQ141</f>
        <v>0</v>
      </c>
      <c r="AS141" s="55" t="n">
        <f aca="false">ROUND(MAX(0,AS140+AT140-AW140),2)</f>
        <v>0</v>
      </c>
      <c r="AT141" s="55" t="n">
        <f aca="false">ROUND(AS141*$E$13/12,2)</f>
        <v>0</v>
      </c>
      <c r="AU141" s="55" t="n">
        <f aca="false">MIN($F$13,AS141+AT141)</f>
        <v>0</v>
      </c>
      <c r="AV141" s="55" t="n">
        <f aca="false">MAX(0,MIN(AS141+AT141-AU141,$D141-(H141+M141+R141+W141+AB141+AG141+AL141+AQ141)))</f>
        <v>0</v>
      </c>
      <c r="AW141" s="55" t="n">
        <f aca="false">AU141+AV141</f>
        <v>0</v>
      </c>
      <c r="AX141" s="55" t="n">
        <f aca="false">ROUND(MAX(0,AX140+AY140-BB140),2)</f>
        <v>0</v>
      </c>
      <c r="AY141" s="55" t="n">
        <f aca="false">ROUND(AX141*$E$14/12,2)</f>
        <v>0</v>
      </c>
      <c r="AZ141" s="55" t="n">
        <f aca="false">MIN($F$14,AX141+AY141)</f>
        <v>0</v>
      </c>
      <c r="BA141" s="55" t="n">
        <f aca="false">MAX(0,MIN(AX141+AY141-AZ141,$D141-(H141+M141+R141+W141+AB141+AG141+AL141+AQ141+AV141)))</f>
        <v>0</v>
      </c>
      <c r="BB141" s="55" t="n">
        <f aca="false">AZ141+BA141</f>
        <v>0</v>
      </c>
      <c r="BC141" s="55" t="n">
        <f aca="false">I141+N141+S141+X141+AC141+AH141+AM141+AR141+AW141+BB141</f>
        <v>0</v>
      </c>
      <c r="BD141" s="55" t="n">
        <f aca="false">ROUND((E141+F141-I141)+(J141+K141-N141)+(O141+P141-S141)+(T141+U141-X141)+(Y141+Z141-AC141)+(AD141+AE141-AH141)+(AI141+AJ141-AM141)+(AN141+AO141-AR141)+(AS141+AT141-AW141)+(AX141+AY141-BB141),2)</f>
        <v>0</v>
      </c>
      <c r="BE141" s="25" t="str">
        <f aca="false">IF(H141&gt;0.005,$C$5,IF(M141&gt;0.005,$C$6,IF(R141&gt;0.005,$C$7,IF(W141&gt;0.005,$C$8,IF(AB141&gt;0.005,$C$9,IF(AG141&gt;0.005,$C$10,IF(AL141&gt;0.005,$C$11,IF(AQ141&gt;0.005,$C$12,IF(AV141&gt;0.005,$C$13,IF(BA141&gt;0.005,$C$14,""))))))))))</f>
        <v/>
      </c>
    </row>
    <row r="142" customFormat="false" ht="15" hidden="false" customHeight="false" outlineLevel="0" collapsed="false">
      <c r="A142" s="24" t="n">
        <v>119</v>
      </c>
      <c r="B142" s="54" t="n">
        <f aca="false">EDATE($C$17,A142-1)</f>
        <v>49919</v>
      </c>
      <c r="C142" s="55" t="n">
        <f aca="false">G142+L142+Q142+V142+AA142+AF142+AK142+AP142+AU142+AZ142</f>
        <v>0</v>
      </c>
      <c r="D142" s="55" t="n">
        <f aca="false">MAX(0,$C$16-C142)</f>
        <v>5822</v>
      </c>
      <c r="E142" s="55" t="n">
        <f aca="false">ROUND(MAX(0,E141+F141-I141),2)</f>
        <v>0</v>
      </c>
      <c r="F142" s="55" t="n">
        <f aca="false">ROUND(E142*$E$5/12,2)</f>
        <v>0</v>
      </c>
      <c r="G142" s="55" t="n">
        <f aca="false">MIN($F$5,E142+F142)</f>
        <v>0</v>
      </c>
      <c r="H142" s="55" t="n">
        <f aca="false">MAX(0,MIN(E142+F142-G142,$D142))</f>
        <v>0</v>
      </c>
      <c r="I142" s="55" t="n">
        <f aca="false">G142+H142</f>
        <v>0</v>
      </c>
      <c r="J142" s="55" t="n">
        <f aca="false">ROUND(MAX(0,J141+K141-N141),2)</f>
        <v>0</v>
      </c>
      <c r="K142" s="55" t="n">
        <f aca="false">ROUND(J142*$E$6/12,2)</f>
        <v>0</v>
      </c>
      <c r="L142" s="55" t="n">
        <f aca="false">MIN($F$6,J142+K142)</f>
        <v>0</v>
      </c>
      <c r="M142" s="55" t="n">
        <f aca="false">MAX(0,MIN(J142+K142-L142,$D142-(H142)))</f>
        <v>0</v>
      </c>
      <c r="N142" s="55" t="n">
        <f aca="false">L142+M142</f>
        <v>0</v>
      </c>
      <c r="O142" s="55" t="n">
        <f aca="false">ROUND(MAX(0,O141+P141-S141),2)</f>
        <v>0</v>
      </c>
      <c r="P142" s="55" t="n">
        <f aca="false">ROUND(O142*$E$7/12,2)</f>
        <v>0</v>
      </c>
      <c r="Q142" s="55" t="n">
        <f aca="false">MIN($F$7,O142+P142)</f>
        <v>0</v>
      </c>
      <c r="R142" s="55" t="n">
        <f aca="false">MAX(0,MIN(O142+P142-Q142,$D142-(H142+M142)))</f>
        <v>0</v>
      </c>
      <c r="S142" s="55" t="n">
        <f aca="false">Q142+R142</f>
        <v>0</v>
      </c>
      <c r="T142" s="55" t="n">
        <f aca="false">ROUND(MAX(0,T141+U141-X141),2)</f>
        <v>0</v>
      </c>
      <c r="U142" s="55" t="n">
        <f aca="false">ROUND(T142*$E$8/12,2)</f>
        <v>0</v>
      </c>
      <c r="V142" s="55" t="n">
        <f aca="false">MIN($F$8,T142+U142)</f>
        <v>0</v>
      </c>
      <c r="W142" s="55" t="n">
        <f aca="false">MAX(0,MIN(T142+U142-V142,$D142-(H142+M142+R142)))</f>
        <v>0</v>
      </c>
      <c r="X142" s="55" t="n">
        <f aca="false">V142+W142</f>
        <v>0</v>
      </c>
      <c r="Y142" s="55" t="n">
        <f aca="false">ROUND(MAX(0,Y141+Z141-AC141),2)</f>
        <v>0</v>
      </c>
      <c r="Z142" s="55" t="n">
        <f aca="false">ROUND(Y142*$E$9/12,2)</f>
        <v>0</v>
      </c>
      <c r="AA142" s="55" t="n">
        <f aca="false">MIN($F$9,Y142+Z142)</f>
        <v>0</v>
      </c>
      <c r="AB142" s="55" t="n">
        <f aca="false">MAX(0,MIN(Y142+Z142-AA142,$D142-(H142+M142+R142+W142)))</f>
        <v>0</v>
      </c>
      <c r="AC142" s="55" t="n">
        <f aca="false">AA142+AB142</f>
        <v>0</v>
      </c>
      <c r="AD142" s="55" t="n">
        <f aca="false">ROUND(MAX(0,AD141+AE141-AH141),2)</f>
        <v>0</v>
      </c>
      <c r="AE142" s="55" t="n">
        <f aca="false">ROUND(AD142*$E$10/12,2)</f>
        <v>0</v>
      </c>
      <c r="AF142" s="55" t="n">
        <f aca="false">MIN($F$10,AD142+AE142)</f>
        <v>0</v>
      </c>
      <c r="AG142" s="55" t="n">
        <f aca="false">MAX(0,MIN(AD142+AE142-AF142,$D142-(H142+M142+R142+W142+AB142)))</f>
        <v>0</v>
      </c>
      <c r="AH142" s="55" t="n">
        <f aca="false">AF142+AG142</f>
        <v>0</v>
      </c>
      <c r="AI142" s="55" t="n">
        <f aca="false">ROUND(MAX(0,AI141+AJ141-AM141),2)</f>
        <v>0</v>
      </c>
      <c r="AJ142" s="55" t="n">
        <f aca="false">ROUND(AI142*$E$11/12,2)</f>
        <v>0</v>
      </c>
      <c r="AK142" s="55" t="n">
        <f aca="false">MIN($F$11,AI142+AJ142)</f>
        <v>0</v>
      </c>
      <c r="AL142" s="55" t="n">
        <f aca="false">MAX(0,MIN(AI142+AJ142-AK142,$D142-(H142+M142+R142+W142+AB142+AG142)))</f>
        <v>0</v>
      </c>
      <c r="AM142" s="55" t="n">
        <f aca="false">AK142+AL142</f>
        <v>0</v>
      </c>
      <c r="AN142" s="55" t="n">
        <f aca="false">ROUND(MAX(0,AN141+AO141-AR141),2)</f>
        <v>0</v>
      </c>
      <c r="AO142" s="55" t="n">
        <f aca="false">ROUND(AN142*$E$12/12,2)</f>
        <v>0</v>
      </c>
      <c r="AP142" s="55" t="n">
        <f aca="false">MIN($F$12,AN142+AO142)</f>
        <v>0</v>
      </c>
      <c r="AQ142" s="55" t="n">
        <f aca="false">MAX(0,MIN(AN142+AO142-AP142,$D142-(H142+M142+R142+W142+AB142+AG142+AL142)))</f>
        <v>0</v>
      </c>
      <c r="AR142" s="55" t="n">
        <f aca="false">AP142+AQ142</f>
        <v>0</v>
      </c>
      <c r="AS142" s="55" t="n">
        <f aca="false">ROUND(MAX(0,AS141+AT141-AW141),2)</f>
        <v>0</v>
      </c>
      <c r="AT142" s="55" t="n">
        <f aca="false">ROUND(AS142*$E$13/12,2)</f>
        <v>0</v>
      </c>
      <c r="AU142" s="55" t="n">
        <f aca="false">MIN($F$13,AS142+AT142)</f>
        <v>0</v>
      </c>
      <c r="AV142" s="55" t="n">
        <f aca="false">MAX(0,MIN(AS142+AT142-AU142,$D142-(H142+M142+R142+W142+AB142+AG142+AL142+AQ142)))</f>
        <v>0</v>
      </c>
      <c r="AW142" s="55" t="n">
        <f aca="false">AU142+AV142</f>
        <v>0</v>
      </c>
      <c r="AX142" s="55" t="n">
        <f aca="false">ROUND(MAX(0,AX141+AY141-BB141),2)</f>
        <v>0</v>
      </c>
      <c r="AY142" s="55" t="n">
        <f aca="false">ROUND(AX142*$E$14/12,2)</f>
        <v>0</v>
      </c>
      <c r="AZ142" s="55" t="n">
        <f aca="false">MIN($F$14,AX142+AY142)</f>
        <v>0</v>
      </c>
      <c r="BA142" s="55" t="n">
        <f aca="false">MAX(0,MIN(AX142+AY142-AZ142,$D142-(H142+M142+R142+W142+AB142+AG142+AL142+AQ142+AV142)))</f>
        <v>0</v>
      </c>
      <c r="BB142" s="55" t="n">
        <f aca="false">AZ142+BA142</f>
        <v>0</v>
      </c>
      <c r="BC142" s="55" t="n">
        <f aca="false">I142+N142+S142+X142+AC142+AH142+AM142+AR142+AW142+BB142</f>
        <v>0</v>
      </c>
      <c r="BD142" s="55" t="n">
        <f aca="false">ROUND((E142+F142-I142)+(J142+K142-N142)+(O142+P142-S142)+(T142+U142-X142)+(Y142+Z142-AC142)+(AD142+AE142-AH142)+(AI142+AJ142-AM142)+(AN142+AO142-AR142)+(AS142+AT142-AW142)+(AX142+AY142-BB142),2)</f>
        <v>0</v>
      </c>
      <c r="BE142" s="25" t="str">
        <f aca="false">IF(H142&gt;0.005,$C$5,IF(M142&gt;0.005,$C$6,IF(R142&gt;0.005,$C$7,IF(W142&gt;0.005,$C$8,IF(AB142&gt;0.005,$C$9,IF(AG142&gt;0.005,$C$10,IF(AL142&gt;0.005,$C$11,IF(AQ142&gt;0.005,$C$12,IF(AV142&gt;0.005,$C$13,IF(BA142&gt;0.005,$C$14,""))))))))))</f>
        <v/>
      </c>
    </row>
    <row r="143" customFormat="false" ht="15" hidden="false" customHeight="false" outlineLevel="0" collapsed="false">
      <c r="A143" s="24" t="n">
        <v>120</v>
      </c>
      <c r="B143" s="54" t="n">
        <f aca="false">EDATE($C$17,A143-1)</f>
        <v>49949</v>
      </c>
      <c r="C143" s="55" t="n">
        <f aca="false">G143+L143+Q143+V143+AA143+AF143+AK143+AP143+AU143+AZ143</f>
        <v>0</v>
      </c>
      <c r="D143" s="55" t="n">
        <f aca="false">MAX(0,$C$16-C143)</f>
        <v>5822</v>
      </c>
      <c r="E143" s="55" t="n">
        <f aca="false">ROUND(MAX(0,E142+F142-I142),2)</f>
        <v>0</v>
      </c>
      <c r="F143" s="55" t="n">
        <f aca="false">ROUND(E143*$E$5/12,2)</f>
        <v>0</v>
      </c>
      <c r="G143" s="55" t="n">
        <f aca="false">MIN($F$5,E143+F143)</f>
        <v>0</v>
      </c>
      <c r="H143" s="55" t="n">
        <f aca="false">MAX(0,MIN(E143+F143-G143,$D143))</f>
        <v>0</v>
      </c>
      <c r="I143" s="55" t="n">
        <f aca="false">G143+H143</f>
        <v>0</v>
      </c>
      <c r="J143" s="55" t="n">
        <f aca="false">ROUND(MAX(0,J142+K142-N142),2)</f>
        <v>0</v>
      </c>
      <c r="K143" s="55" t="n">
        <f aca="false">ROUND(J143*$E$6/12,2)</f>
        <v>0</v>
      </c>
      <c r="L143" s="55" t="n">
        <f aca="false">MIN($F$6,J143+K143)</f>
        <v>0</v>
      </c>
      <c r="M143" s="55" t="n">
        <f aca="false">MAX(0,MIN(J143+K143-L143,$D143-(H143)))</f>
        <v>0</v>
      </c>
      <c r="N143" s="55" t="n">
        <f aca="false">L143+M143</f>
        <v>0</v>
      </c>
      <c r="O143" s="55" t="n">
        <f aca="false">ROUND(MAX(0,O142+P142-S142),2)</f>
        <v>0</v>
      </c>
      <c r="P143" s="55" t="n">
        <f aca="false">ROUND(O143*$E$7/12,2)</f>
        <v>0</v>
      </c>
      <c r="Q143" s="55" t="n">
        <f aca="false">MIN($F$7,O143+P143)</f>
        <v>0</v>
      </c>
      <c r="R143" s="55" t="n">
        <f aca="false">MAX(0,MIN(O143+P143-Q143,$D143-(H143+M143)))</f>
        <v>0</v>
      </c>
      <c r="S143" s="55" t="n">
        <f aca="false">Q143+R143</f>
        <v>0</v>
      </c>
      <c r="T143" s="55" t="n">
        <f aca="false">ROUND(MAX(0,T142+U142-X142),2)</f>
        <v>0</v>
      </c>
      <c r="U143" s="55" t="n">
        <f aca="false">ROUND(T143*$E$8/12,2)</f>
        <v>0</v>
      </c>
      <c r="V143" s="55" t="n">
        <f aca="false">MIN($F$8,T143+U143)</f>
        <v>0</v>
      </c>
      <c r="W143" s="55" t="n">
        <f aca="false">MAX(0,MIN(T143+U143-V143,$D143-(H143+M143+R143)))</f>
        <v>0</v>
      </c>
      <c r="X143" s="55" t="n">
        <f aca="false">V143+W143</f>
        <v>0</v>
      </c>
      <c r="Y143" s="55" t="n">
        <f aca="false">ROUND(MAX(0,Y142+Z142-AC142),2)</f>
        <v>0</v>
      </c>
      <c r="Z143" s="55" t="n">
        <f aca="false">ROUND(Y143*$E$9/12,2)</f>
        <v>0</v>
      </c>
      <c r="AA143" s="55" t="n">
        <f aca="false">MIN($F$9,Y143+Z143)</f>
        <v>0</v>
      </c>
      <c r="AB143" s="55" t="n">
        <f aca="false">MAX(0,MIN(Y143+Z143-AA143,$D143-(H143+M143+R143+W143)))</f>
        <v>0</v>
      </c>
      <c r="AC143" s="55" t="n">
        <f aca="false">AA143+AB143</f>
        <v>0</v>
      </c>
      <c r="AD143" s="55" t="n">
        <f aca="false">ROUND(MAX(0,AD142+AE142-AH142),2)</f>
        <v>0</v>
      </c>
      <c r="AE143" s="55" t="n">
        <f aca="false">ROUND(AD143*$E$10/12,2)</f>
        <v>0</v>
      </c>
      <c r="AF143" s="55" t="n">
        <f aca="false">MIN($F$10,AD143+AE143)</f>
        <v>0</v>
      </c>
      <c r="AG143" s="55" t="n">
        <f aca="false">MAX(0,MIN(AD143+AE143-AF143,$D143-(H143+M143+R143+W143+AB143)))</f>
        <v>0</v>
      </c>
      <c r="AH143" s="55" t="n">
        <f aca="false">AF143+AG143</f>
        <v>0</v>
      </c>
      <c r="AI143" s="55" t="n">
        <f aca="false">ROUND(MAX(0,AI142+AJ142-AM142),2)</f>
        <v>0</v>
      </c>
      <c r="AJ143" s="55" t="n">
        <f aca="false">ROUND(AI143*$E$11/12,2)</f>
        <v>0</v>
      </c>
      <c r="AK143" s="55" t="n">
        <f aca="false">MIN($F$11,AI143+AJ143)</f>
        <v>0</v>
      </c>
      <c r="AL143" s="55" t="n">
        <f aca="false">MAX(0,MIN(AI143+AJ143-AK143,$D143-(H143+M143+R143+W143+AB143+AG143)))</f>
        <v>0</v>
      </c>
      <c r="AM143" s="55" t="n">
        <f aca="false">AK143+AL143</f>
        <v>0</v>
      </c>
      <c r="AN143" s="55" t="n">
        <f aca="false">ROUND(MAX(0,AN142+AO142-AR142),2)</f>
        <v>0</v>
      </c>
      <c r="AO143" s="55" t="n">
        <f aca="false">ROUND(AN143*$E$12/12,2)</f>
        <v>0</v>
      </c>
      <c r="AP143" s="55" t="n">
        <f aca="false">MIN($F$12,AN143+AO143)</f>
        <v>0</v>
      </c>
      <c r="AQ143" s="55" t="n">
        <f aca="false">MAX(0,MIN(AN143+AO143-AP143,$D143-(H143+M143+R143+W143+AB143+AG143+AL143)))</f>
        <v>0</v>
      </c>
      <c r="AR143" s="55" t="n">
        <f aca="false">AP143+AQ143</f>
        <v>0</v>
      </c>
      <c r="AS143" s="55" t="n">
        <f aca="false">ROUND(MAX(0,AS142+AT142-AW142),2)</f>
        <v>0</v>
      </c>
      <c r="AT143" s="55" t="n">
        <f aca="false">ROUND(AS143*$E$13/12,2)</f>
        <v>0</v>
      </c>
      <c r="AU143" s="55" t="n">
        <f aca="false">MIN($F$13,AS143+AT143)</f>
        <v>0</v>
      </c>
      <c r="AV143" s="55" t="n">
        <f aca="false">MAX(0,MIN(AS143+AT143-AU143,$D143-(H143+M143+R143+W143+AB143+AG143+AL143+AQ143)))</f>
        <v>0</v>
      </c>
      <c r="AW143" s="55" t="n">
        <f aca="false">AU143+AV143</f>
        <v>0</v>
      </c>
      <c r="AX143" s="55" t="n">
        <f aca="false">ROUND(MAX(0,AX142+AY142-BB142),2)</f>
        <v>0</v>
      </c>
      <c r="AY143" s="55" t="n">
        <f aca="false">ROUND(AX143*$E$14/12,2)</f>
        <v>0</v>
      </c>
      <c r="AZ143" s="55" t="n">
        <f aca="false">MIN($F$14,AX143+AY143)</f>
        <v>0</v>
      </c>
      <c r="BA143" s="55" t="n">
        <f aca="false">MAX(0,MIN(AX143+AY143-AZ143,$D143-(H143+M143+R143+W143+AB143+AG143+AL143+AQ143+AV143)))</f>
        <v>0</v>
      </c>
      <c r="BB143" s="55" t="n">
        <f aca="false">AZ143+BA143</f>
        <v>0</v>
      </c>
      <c r="BC143" s="55" t="n">
        <f aca="false">I143+N143+S143+X143+AC143+AH143+AM143+AR143+AW143+BB143</f>
        <v>0</v>
      </c>
      <c r="BD143" s="55" t="n">
        <f aca="false">ROUND((E143+F143-I143)+(J143+K143-N143)+(O143+P143-S143)+(T143+U143-X143)+(Y143+Z143-AC143)+(AD143+AE143-AH143)+(AI143+AJ143-AM143)+(AN143+AO143-AR143)+(AS143+AT143-AW143)+(AX143+AY143-BB143),2)</f>
        <v>0</v>
      </c>
      <c r="BE143" s="25" t="str">
        <f aca="false">IF(H143&gt;0.005,$C$5,IF(M143&gt;0.005,$C$6,IF(R143&gt;0.005,$C$7,IF(W143&gt;0.005,$C$8,IF(AB143&gt;0.005,$C$9,IF(AG143&gt;0.005,$C$10,IF(AL143&gt;0.005,$C$11,IF(AQ143&gt;0.005,$C$12,IF(AV143&gt;0.005,$C$13,IF(BA143&gt;0.005,$C$14,""))))))))))</f>
        <v/>
      </c>
    </row>
    <row r="144" customFormat="false" ht="15" hidden="false" customHeight="false" outlineLevel="0" collapsed="false">
      <c r="A144" s="24" t="n">
        <v>121</v>
      </c>
      <c r="B144" s="54" t="n">
        <f aca="false">EDATE($C$17,A144-1)</f>
        <v>49980</v>
      </c>
      <c r="C144" s="55" t="n">
        <f aca="false">G144+L144+Q144+V144+AA144+AF144+AK144+AP144+AU144+AZ144</f>
        <v>0</v>
      </c>
      <c r="D144" s="55" t="n">
        <f aca="false">MAX(0,$C$16-C144)</f>
        <v>5822</v>
      </c>
      <c r="E144" s="55" t="n">
        <f aca="false">ROUND(MAX(0,E143+F143-I143),2)</f>
        <v>0</v>
      </c>
      <c r="F144" s="55" t="n">
        <f aca="false">ROUND(E144*$E$5/12,2)</f>
        <v>0</v>
      </c>
      <c r="G144" s="55" t="n">
        <f aca="false">MIN($F$5,E144+F144)</f>
        <v>0</v>
      </c>
      <c r="H144" s="55" t="n">
        <f aca="false">MAX(0,MIN(E144+F144-G144,$D144))</f>
        <v>0</v>
      </c>
      <c r="I144" s="55" t="n">
        <f aca="false">G144+H144</f>
        <v>0</v>
      </c>
      <c r="J144" s="55" t="n">
        <f aca="false">ROUND(MAX(0,J143+K143-N143),2)</f>
        <v>0</v>
      </c>
      <c r="K144" s="55" t="n">
        <f aca="false">ROUND(J144*$E$6/12,2)</f>
        <v>0</v>
      </c>
      <c r="L144" s="55" t="n">
        <f aca="false">MIN($F$6,J144+K144)</f>
        <v>0</v>
      </c>
      <c r="M144" s="55" t="n">
        <f aca="false">MAX(0,MIN(J144+K144-L144,$D144-(H144)))</f>
        <v>0</v>
      </c>
      <c r="N144" s="55" t="n">
        <f aca="false">L144+M144</f>
        <v>0</v>
      </c>
      <c r="O144" s="55" t="n">
        <f aca="false">ROUND(MAX(0,O143+P143-S143),2)</f>
        <v>0</v>
      </c>
      <c r="P144" s="55" t="n">
        <f aca="false">ROUND(O144*$E$7/12,2)</f>
        <v>0</v>
      </c>
      <c r="Q144" s="55" t="n">
        <f aca="false">MIN($F$7,O144+P144)</f>
        <v>0</v>
      </c>
      <c r="R144" s="55" t="n">
        <f aca="false">MAX(0,MIN(O144+P144-Q144,$D144-(H144+M144)))</f>
        <v>0</v>
      </c>
      <c r="S144" s="55" t="n">
        <f aca="false">Q144+R144</f>
        <v>0</v>
      </c>
      <c r="T144" s="55" t="n">
        <f aca="false">ROUND(MAX(0,T143+U143-X143),2)</f>
        <v>0</v>
      </c>
      <c r="U144" s="55" t="n">
        <f aca="false">ROUND(T144*$E$8/12,2)</f>
        <v>0</v>
      </c>
      <c r="V144" s="55" t="n">
        <f aca="false">MIN($F$8,T144+U144)</f>
        <v>0</v>
      </c>
      <c r="W144" s="55" t="n">
        <f aca="false">MAX(0,MIN(T144+U144-V144,$D144-(H144+M144+R144)))</f>
        <v>0</v>
      </c>
      <c r="X144" s="55" t="n">
        <f aca="false">V144+W144</f>
        <v>0</v>
      </c>
      <c r="Y144" s="55" t="n">
        <f aca="false">ROUND(MAX(0,Y143+Z143-AC143),2)</f>
        <v>0</v>
      </c>
      <c r="Z144" s="55" t="n">
        <f aca="false">ROUND(Y144*$E$9/12,2)</f>
        <v>0</v>
      </c>
      <c r="AA144" s="55" t="n">
        <f aca="false">MIN($F$9,Y144+Z144)</f>
        <v>0</v>
      </c>
      <c r="AB144" s="55" t="n">
        <f aca="false">MAX(0,MIN(Y144+Z144-AA144,$D144-(H144+M144+R144+W144)))</f>
        <v>0</v>
      </c>
      <c r="AC144" s="55" t="n">
        <f aca="false">AA144+AB144</f>
        <v>0</v>
      </c>
      <c r="AD144" s="55" t="n">
        <f aca="false">ROUND(MAX(0,AD143+AE143-AH143),2)</f>
        <v>0</v>
      </c>
      <c r="AE144" s="55" t="n">
        <f aca="false">ROUND(AD144*$E$10/12,2)</f>
        <v>0</v>
      </c>
      <c r="AF144" s="55" t="n">
        <f aca="false">MIN($F$10,AD144+AE144)</f>
        <v>0</v>
      </c>
      <c r="AG144" s="55" t="n">
        <f aca="false">MAX(0,MIN(AD144+AE144-AF144,$D144-(H144+M144+R144+W144+AB144)))</f>
        <v>0</v>
      </c>
      <c r="AH144" s="55" t="n">
        <f aca="false">AF144+AG144</f>
        <v>0</v>
      </c>
      <c r="AI144" s="55" t="n">
        <f aca="false">ROUND(MAX(0,AI143+AJ143-AM143),2)</f>
        <v>0</v>
      </c>
      <c r="AJ144" s="55" t="n">
        <f aca="false">ROUND(AI144*$E$11/12,2)</f>
        <v>0</v>
      </c>
      <c r="AK144" s="55" t="n">
        <f aca="false">MIN($F$11,AI144+AJ144)</f>
        <v>0</v>
      </c>
      <c r="AL144" s="55" t="n">
        <f aca="false">MAX(0,MIN(AI144+AJ144-AK144,$D144-(H144+M144+R144+W144+AB144+AG144)))</f>
        <v>0</v>
      </c>
      <c r="AM144" s="55" t="n">
        <f aca="false">AK144+AL144</f>
        <v>0</v>
      </c>
      <c r="AN144" s="55" t="n">
        <f aca="false">ROUND(MAX(0,AN143+AO143-AR143),2)</f>
        <v>0</v>
      </c>
      <c r="AO144" s="55" t="n">
        <f aca="false">ROUND(AN144*$E$12/12,2)</f>
        <v>0</v>
      </c>
      <c r="AP144" s="55" t="n">
        <f aca="false">MIN($F$12,AN144+AO144)</f>
        <v>0</v>
      </c>
      <c r="AQ144" s="55" t="n">
        <f aca="false">MAX(0,MIN(AN144+AO144-AP144,$D144-(H144+M144+R144+W144+AB144+AG144+AL144)))</f>
        <v>0</v>
      </c>
      <c r="AR144" s="55" t="n">
        <f aca="false">AP144+AQ144</f>
        <v>0</v>
      </c>
      <c r="AS144" s="55" t="n">
        <f aca="false">ROUND(MAX(0,AS143+AT143-AW143),2)</f>
        <v>0</v>
      </c>
      <c r="AT144" s="55" t="n">
        <f aca="false">ROUND(AS144*$E$13/12,2)</f>
        <v>0</v>
      </c>
      <c r="AU144" s="55" t="n">
        <f aca="false">MIN($F$13,AS144+AT144)</f>
        <v>0</v>
      </c>
      <c r="AV144" s="55" t="n">
        <f aca="false">MAX(0,MIN(AS144+AT144-AU144,$D144-(H144+M144+R144+W144+AB144+AG144+AL144+AQ144)))</f>
        <v>0</v>
      </c>
      <c r="AW144" s="55" t="n">
        <f aca="false">AU144+AV144</f>
        <v>0</v>
      </c>
      <c r="AX144" s="55" t="n">
        <f aca="false">ROUND(MAX(0,AX143+AY143-BB143),2)</f>
        <v>0</v>
      </c>
      <c r="AY144" s="55" t="n">
        <f aca="false">ROUND(AX144*$E$14/12,2)</f>
        <v>0</v>
      </c>
      <c r="AZ144" s="55" t="n">
        <f aca="false">MIN($F$14,AX144+AY144)</f>
        <v>0</v>
      </c>
      <c r="BA144" s="55" t="n">
        <f aca="false">MAX(0,MIN(AX144+AY144-AZ144,$D144-(H144+M144+R144+W144+AB144+AG144+AL144+AQ144+AV144)))</f>
        <v>0</v>
      </c>
      <c r="BB144" s="55" t="n">
        <f aca="false">AZ144+BA144</f>
        <v>0</v>
      </c>
      <c r="BC144" s="55" t="n">
        <f aca="false">I144+N144+S144+X144+AC144+AH144+AM144+AR144+AW144+BB144</f>
        <v>0</v>
      </c>
      <c r="BD144" s="55" t="n">
        <f aca="false">ROUND((E144+F144-I144)+(J144+K144-N144)+(O144+P144-S144)+(T144+U144-X144)+(Y144+Z144-AC144)+(AD144+AE144-AH144)+(AI144+AJ144-AM144)+(AN144+AO144-AR144)+(AS144+AT144-AW144)+(AX144+AY144-BB144),2)</f>
        <v>0</v>
      </c>
      <c r="BE144" s="25" t="str">
        <f aca="false">IF(H144&gt;0.005,$C$5,IF(M144&gt;0.005,$C$6,IF(R144&gt;0.005,$C$7,IF(W144&gt;0.005,$C$8,IF(AB144&gt;0.005,$C$9,IF(AG144&gt;0.005,$C$10,IF(AL144&gt;0.005,$C$11,IF(AQ144&gt;0.005,$C$12,IF(AV144&gt;0.005,$C$13,IF(BA144&gt;0.005,$C$14,""))))))))))</f>
        <v/>
      </c>
    </row>
    <row r="145" customFormat="false" ht="15" hidden="false" customHeight="false" outlineLevel="0" collapsed="false">
      <c r="A145" s="24" t="n">
        <v>122</v>
      </c>
      <c r="B145" s="54" t="n">
        <f aca="false">EDATE($C$17,A145-1)</f>
        <v>50010</v>
      </c>
      <c r="C145" s="55" t="n">
        <f aca="false">G145+L145+Q145+V145+AA145+AF145+AK145+AP145+AU145+AZ145</f>
        <v>0</v>
      </c>
      <c r="D145" s="55" t="n">
        <f aca="false">MAX(0,$C$16-C145)</f>
        <v>5822</v>
      </c>
      <c r="E145" s="55" t="n">
        <f aca="false">ROUND(MAX(0,E144+F144-I144),2)</f>
        <v>0</v>
      </c>
      <c r="F145" s="55" t="n">
        <f aca="false">ROUND(E145*$E$5/12,2)</f>
        <v>0</v>
      </c>
      <c r="G145" s="55" t="n">
        <f aca="false">MIN($F$5,E145+F145)</f>
        <v>0</v>
      </c>
      <c r="H145" s="55" t="n">
        <f aca="false">MAX(0,MIN(E145+F145-G145,$D145))</f>
        <v>0</v>
      </c>
      <c r="I145" s="55" t="n">
        <f aca="false">G145+H145</f>
        <v>0</v>
      </c>
      <c r="J145" s="55" t="n">
        <f aca="false">ROUND(MAX(0,J144+K144-N144),2)</f>
        <v>0</v>
      </c>
      <c r="K145" s="55" t="n">
        <f aca="false">ROUND(J145*$E$6/12,2)</f>
        <v>0</v>
      </c>
      <c r="L145" s="55" t="n">
        <f aca="false">MIN($F$6,J145+K145)</f>
        <v>0</v>
      </c>
      <c r="M145" s="55" t="n">
        <f aca="false">MAX(0,MIN(J145+K145-L145,$D145-(H145)))</f>
        <v>0</v>
      </c>
      <c r="N145" s="55" t="n">
        <f aca="false">L145+M145</f>
        <v>0</v>
      </c>
      <c r="O145" s="55" t="n">
        <f aca="false">ROUND(MAX(0,O144+P144-S144),2)</f>
        <v>0</v>
      </c>
      <c r="P145" s="55" t="n">
        <f aca="false">ROUND(O145*$E$7/12,2)</f>
        <v>0</v>
      </c>
      <c r="Q145" s="55" t="n">
        <f aca="false">MIN($F$7,O145+P145)</f>
        <v>0</v>
      </c>
      <c r="R145" s="55" t="n">
        <f aca="false">MAX(0,MIN(O145+P145-Q145,$D145-(H145+M145)))</f>
        <v>0</v>
      </c>
      <c r="S145" s="55" t="n">
        <f aca="false">Q145+R145</f>
        <v>0</v>
      </c>
      <c r="T145" s="55" t="n">
        <f aca="false">ROUND(MAX(0,T144+U144-X144),2)</f>
        <v>0</v>
      </c>
      <c r="U145" s="55" t="n">
        <f aca="false">ROUND(T145*$E$8/12,2)</f>
        <v>0</v>
      </c>
      <c r="V145" s="55" t="n">
        <f aca="false">MIN($F$8,T145+U145)</f>
        <v>0</v>
      </c>
      <c r="W145" s="55" t="n">
        <f aca="false">MAX(0,MIN(T145+U145-V145,$D145-(H145+M145+R145)))</f>
        <v>0</v>
      </c>
      <c r="X145" s="55" t="n">
        <f aca="false">V145+W145</f>
        <v>0</v>
      </c>
      <c r="Y145" s="55" t="n">
        <f aca="false">ROUND(MAX(0,Y144+Z144-AC144),2)</f>
        <v>0</v>
      </c>
      <c r="Z145" s="55" t="n">
        <f aca="false">ROUND(Y145*$E$9/12,2)</f>
        <v>0</v>
      </c>
      <c r="AA145" s="55" t="n">
        <f aca="false">MIN($F$9,Y145+Z145)</f>
        <v>0</v>
      </c>
      <c r="AB145" s="55" t="n">
        <f aca="false">MAX(0,MIN(Y145+Z145-AA145,$D145-(H145+M145+R145+W145)))</f>
        <v>0</v>
      </c>
      <c r="AC145" s="55" t="n">
        <f aca="false">AA145+AB145</f>
        <v>0</v>
      </c>
      <c r="AD145" s="55" t="n">
        <f aca="false">ROUND(MAX(0,AD144+AE144-AH144),2)</f>
        <v>0</v>
      </c>
      <c r="AE145" s="55" t="n">
        <f aca="false">ROUND(AD145*$E$10/12,2)</f>
        <v>0</v>
      </c>
      <c r="AF145" s="55" t="n">
        <f aca="false">MIN($F$10,AD145+AE145)</f>
        <v>0</v>
      </c>
      <c r="AG145" s="55" t="n">
        <f aca="false">MAX(0,MIN(AD145+AE145-AF145,$D145-(H145+M145+R145+W145+AB145)))</f>
        <v>0</v>
      </c>
      <c r="AH145" s="55" t="n">
        <f aca="false">AF145+AG145</f>
        <v>0</v>
      </c>
      <c r="AI145" s="55" t="n">
        <f aca="false">ROUND(MAX(0,AI144+AJ144-AM144),2)</f>
        <v>0</v>
      </c>
      <c r="AJ145" s="55" t="n">
        <f aca="false">ROUND(AI145*$E$11/12,2)</f>
        <v>0</v>
      </c>
      <c r="AK145" s="55" t="n">
        <f aca="false">MIN($F$11,AI145+AJ145)</f>
        <v>0</v>
      </c>
      <c r="AL145" s="55" t="n">
        <f aca="false">MAX(0,MIN(AI145+AJ145-AK145,$D145-(H145+M145+R145+W145+AB145+AG145)))</f>
        <v>0</v>
      </c>
      <c r="AM145" s="55" t="n">
        <f aca="false">AK145+AL145</f>
        <v>0</v>
      </c>
      <c r="AN145" s="55" t="n">
        <f aca="false">ROUND(MAX(0,AN144+AO144-AR144),2)</f>
        <v>0</v>
      </c>
      <c r="AO145" s="55" t="n">
        <f aca="false">ROUND(AN145*$E$12/12,2)</f>
        <v>0</v>
      </c>
      <c r="AP145" s="55" t="n">
        <f aca="false">MIN($F$12,AN145+AO145)</f>
        <v>0</v>
      </c>
      <c r="AQ145" s="55" t="n">
        <f aca="false">MAX(0,MIN(AN145+AO145-AP145,$D145-(H145+M145+R145+W145+AB145+AG145+AL145)))</f>
        <v>0</v>
      </c>
      <c r="AR145" s="55" t="n">
        <f aca="false">AP145+AQ145</f>
        <v>0</v>
      </c>
      <c r="AS145" s="55" t="n">
        <f aca="false">ROUND(MAX(0,AS144+AT144-AW144),2)</f>
        <v>0</v>
      </c>
      <c r="AT145" s="55" t="n">
        <f aca="false">ROUND(AS145*$E$13/12,2)</f>
        <v>0</v>
      </c>
      <c r="AU145" s="55" t="n">
        <f aca="false">MIN($F$13,AS145+AT145)</f>
        <v>0</v>
      </c>
      <c r="AV145" s="55" t="n">
        <f aca="false">MAX(0,MIN(AS145+AT145-AU145,$D145-(H145+M145+R145+W145+AB145+AG145+AL145+AQ145)))</f>
        <v>0</v>
      </c>
      <c r="AW145" s="55" t="n">
        <f aca="false">AU145+AV145</f>
        <v>0</v>
      </c>
      <c r="AX145" s="55" t="n">
        <f aca="false">ROUND(MAX(0,AX144+AY144-BB144),2)</f>
        <v>0</v>
      </c>
      <c r="AY145" s="55" t="n">
        <f aca="false">ROUND(AX145*$E$14/12,2)</f>
        <v>0</v>
      </c>
      <c r="AZ145" s="55" t="n">
        <f aca="false">MIN($F$14,AX145+AY145)</f>
        <v>0</v>
      </c>
      <c r="BA145" s="55" t="n">
        <f aca="false">MAX(0,MIN(AX145+AY145-AZ145,$D145-(H145+M145+R145+W145+AB145+AG145+AL145+AQ145+AV145)))</f>
        <v>0</v>
      </c>
      <c r="BB145" s="55" t="n">
        <f aca="false">AZ145+BA145</f>
        <v>0</v>
      </c>
      <c r="BC145" s="55" t="n">
        <f aca="false">I145+N145+S145+X145+AC145+AH145+AM145+AR145+AW145+BB145</f>
        <v>0</v>
      </c>
      <c r="BD145" s="55" t="n">
        <f aca="false">ROUND((E145+F145-I145)+(J145+K145-N145)+(O145+P145-S145)+(T145+U145-X145)+(Y145+Z145-AC145)+(AD145+AE145-AH145)+(AI145+AJ145-AM145)+(AN145+AO145-AR145)+(AS145+AT145-AW145)+(AX145+AY145-BB145),2)</f>
        <v>0</v>
      </c>
      <c r="BE145" s="25" t="str">
        <f aca="false">IF(H145&gt;0.005,$C$5,IF(M145&gt;0.005,$C$6,IF(R145&gt;0.005,$C$7,IF(W145&gt;0.005,$C$8,IF(AB145&gt;0.005,$C$9,IF(AG145&gt;0.005,$C$10,IF(AL145&gt;0.005,$C$11,IF(AQ145&gt;0.005,$C$12,IF(AV145&gt;0.005,$C$13,IF(BA145&gt;0.005,$C$14,""))))))))))</f>
        <v/>
      </c>
    </row>
    <row r="146" customFormat="false" ht="15" hidden="false" customHeight="false" outlineLevel="0" collapsed="false">
      <c r="A146" s="24" t="n">
        <v>123</v>
      </c>
      <c r="B146" s="54" t="n">
        <f aca="false">EDATE($C$17,A146-1)</f>
        <v>50041</v>
      </c>
      <c r="C146" s="55" t="n">
        <f aca="false">G146+L146+Q146+V146+AA146+AF146+AK146+AP146+AU146+AZ146</f>
        <v>0</v>
      </c>
      <c r="D146" s="55" t="n">
        <f aca="false">MAX(0,$C$16-C146)</f>
        <v>5822</v>
      </c>
      <c r="E146" s="55" t="n">
        <f aca="false">ROUND(MAX(0,E145+F145-I145),2)</f>
        <v>0</v>
      </c>
      <c r="F146" s="55" t="n">
        <f aca="false">ROUND(E146*$E$5/12,2)</f>
        <v>0</v>
      </c>
      <c r="G146" s="55" t="n">
        <f aca="false">MIN($F$5,E146+F146)</f>
        <v>0</v>
      </c>
      <c r="H146" s="55" t="n">
        <f aca="false">MAX(0,MIN(E146+F146-G146,$D146))</f>
        <v>0</v>
      </c>
      <c r="I146" s="55" t="n">
        <f aca="false">G146+H146</f>
        <v>0</v>
      </c>
      <c r="J146" s="55" t="n">
        <f aca="false">ROUND(MAX(0,J145+K145-N145),2)</f>
        <v>0</v>
      </c>
      <c r="K146" s="55" t="n">
        <f aca="false">ROUND(J146*$E$6/12,2)</f>
        <v>0</v>
      </c>
      <c r="L146" s="55" t="n">
        <f aca="false">MIN($F$6,J146+K146)</f>
        <v>0</v>
      </c>
      <c r="M146" s="55" t="n">
        <f aca="false">MAX(0,MIN(J146+K146-L146,$D146-(H146)))</f>
        <v>0</v>
      </c>
      <c r="N146" s="55" t="n">
        <f aca="false">L146+M146</f>
        <v>0</v>
      </c>
      <c r="O146" s="55" t="n">
        <f aca="false">ROUND(MAX(0,O145+P145-S145),2)</f>
        <v>0</v>
      </c>
      <c r="P146" s="55" t="n">
        <f aca="false">ROUND(O146*$E$7/12,2)</f>
        <v>0</v>
      </c>
      <c r="Q146" s="55" t="n">
        <f aca="false">MIN($F$7,O146+P146)</f>
        <v>0</v>
      </c>
      <c r="R146" s="55" t="n">
        <f aca="false">MAX(0,MIN(O146+P146-Q146,$D146-(H146+M146)))</f>
        <v>0</v>
      </c>
      <c r="S146" s="55" t="n">
        <f aca="false">Q146+R146</f>
        <v>0</v>
      </c>
      <c r="T146" s="55" t="n">
        <f aca="false">ROUND(MAX(0,T145+U145-X145),2)</f>
        <v>0</v>
      </c>
      <c r="U146" s="55" t="n">
        <f aca="false">ROUND(T146*$E$8/12,2)</f>
        <v>0</v>
      </c>
      <c r="V146" s="55" t="n">
        <f aca="false">MIN($F$8,T146+U146)</f>
        <v>0</v>
      </c>
      <c r="W146" s="55" t="n">
        <f aca="false">MAX(0,MIN(T146+U146-V146,$D146-(H146+M146+R146)))</f>
        <v>0</v>
      </c>
      <c r="X146" s="55" t="n">
        <f aca="false">V146+W146</f>
        <v>0</v>
      </c>
      <c r="Y146" s="55" t="n">
        <f aca="false">ROUND(MAX(0,Y145+Z145-AC145),2)</f>
        <v>0</v>
      </c>
      <c r="Z146" s="55" t="n">
        <f aca="false">ROUND(Y146*$E$9/12,2)</f>
        <v>0</v>
      </c>
      <c r="AA146" s="55" t="n">
        <f aca="false">MIN($F$9,Y146+Z146)</f>
        <v>0</v>
      </c>
      <c r="AB146" s="55" t="n">
        <f aca="false">MAX(0,MIN(Y146+Z146-AA146,$D146-(H146+M146+R146+W146)))</f>
        <v>0</v>
      </c>
      <c r="AC146" s="55" t="n">
        <f aca="false">AA146+AB146</f>
        <v>0</v>
      </c>
      <c r="AD146" s="55" t="n">
        <f aca="false">ROUND(MAX(0,AD145+AE145-AH145),2)</f>
        <v>0</v>
      </c>
      <c r="AE146" s="55" t="n">
        <f aca="false">ROUND(AD146*$E$10/12,2)</f>
        <v>0</v>
      </c>
      <c r="AF146" s="55" t="n">
        <f aca="false">MIN($F$10,AD146+AE146)</f>
        <v>0</v>
      </c>
      <c r="AG146" s="55" t="n">
        <f aca="false">MAX(0,MIN(AD146+AE146-AF146,$D146-(H146+M146+R146+W146+AB146)))</f>
        <v>0</v>
      </c>
      <c r="AH146" s="55" t="n">
        <f aca="false">AF146+AG146</f>
        <v>0</v>
      </c>
      <c r="AI146" s="55" t="n">
        <f aca="false">ROUND(MAX(0,AI145+AJ145-AM145),2)</f>
        <v>0</v>
      </c>
      <c r="AJ146" s="55" t="n">
        <f aca="false">ROUND(AI146*$E$11/12,2)</f>
        <v>0</v>
      </c>
      <c r="AK146" s="55" t="n">
        <f aca="false">MIN($F$11,AI146+AJ146)</f>
        <v>0</v>
      </c>
      <c r="AL146" s="55" t="n">
        <f aca="false">MAX(0,MIN(AI146+AJ146-AK146,$D146-(H146+M146+R146+W146+AB146+AG146)))</f>
        <v>0</v>
      </c>
      <c r="AM146" s="55" t="n">
        <f aca="false">AK146+AL146</f>
        <v>0</v>
      </c>
      <c r="AN146" s="55" t="n">
        <f aca="false">ROUND(MAX(0,AN145+AO145-AR145),2)</f>
        <v>0</v>
      </c>
      <c r="AO146" s="55" t="n">
        <f aca="false">ROUND(AN146*$E$12/12,2)</f>
        <v>0</v>
      </c>
      <c r="AP146" s="55" t="n">
        <f aca="false">MIN($F$12,AN146+AO146)</f>
        <v>0</v>
      </c>
      <c r="AQ146" s="55" t="n">
        <f aca="false">MAX(0,MIN(AN146+AO146-AP146,$D146-(H146+M146+R146+W146+AB146+AG146+AL146)))</f>
        <v>0</v>
      </c>
      <c r="AR146" s="55" t="n">
        <f aca="false">AP146+AQ146</f>
        <v>0</v>
      </c>
      <c r="AS146" s="55" t="n">
        <f aca="false">ROUND(MAX(0,AS145+AT145-AW145),2)</f>
        <v>0</v>
      </c>
      <c r="AT146" s="55" t="n">
        <f aca="false">ROUND(AS146*$E$13/12,2)</f>
        <v>0</v>
      </c>
      <c r="AU146" s="55" t="n">
        <f aca="false">MIN($F$13,AS146+AT146)</f>
        <v>0</v>
      </c>
      <c r="AV146" s="55" t="n">
        <f aca="false">MAX(0,MIN(AS146+AT146-AU146,$D146-(H146+M146+R146+W146+AB146+AG146+AL146+AQ146)))</f>
        <v>0</v>
      </c>
      <c r="AW146" s="55" t="n">
        <f aca="false">AU146+AV146</f>
        <v>0</v>
      </c>
      <c r="AX146" s="55" t="n">
        <f aca="false">ROUND(MAX(0,AX145+AY145-BB145),2)</f>
        <v>0</v>
      </c>
      <c r="AY146" s="55" t="n">
        <f aca="false">ROUND(AX146*$E$14/12,2)</f>
        <v>0</v>
      </c>
      <c r="AZ146" s="55" t="n">
        <f aca="false">MIN($F$14,AX146+AY146)</f>
        <v>0</v>
      </c>
      <c r="BA146" s="55" t="n">
        <f aca="false">MAX(0,MIN(AX146+AY146-AZ146,$D146-(H146+M146+R146+W146+AB146+AG146+AL146+AQ146+AV146)))</f>
        <v>0</v>
      </c>
      <c r="BB146" s="55" t="n">
        <f aca="false">AZ146+BA146</f>
        <v>0</v>
      </c>
      <c r="BC146" s="55" t="n">
        <f aca="false">I146+N146+S146+X146+AC146+AH146+AM146+AR146+AW146+BB146</f>
        <v>0</v>
      </c>
      <c r="BD146" s="55" t="n">
        <f aca="false">ROUND((E146+F146-I146)+(J146+K146-N146)+(O146+P146-S146)+(T146+U146-X146)+(Y146+Z146-AC146)+(AD146+AE146-AH146)+(AI146+AJ146-AM146)+(AN146+AO146-AR146)+(AS146+AT146-AW146)+(AX146+AY146-BB146),2)</f>
        <v>0</v>
      </c>
      <c r="BE146" s="25" t="str">
        <f aca="false">IF(H146&gt;0.005,$C$5,IF(M146&gt;0.005,$C$6,IF(R146&gt;0.005,$C$7,IF(W146&gt;0.005,$C$8,IF(AB146&gt;0.005,$C$9,IF(AG146&gt;0.005,$C$10,IF(AL146&gt;0.005,$C$11,IF(AQ146&gt;0.005,$C$12,IF(AV146&gt;0.005,$C$13,IF(BA146&gt;0.005,$C$14,""))))))))))</f>
        <v/>
      </c>
    </row>
    <row r="147" customFormat="false" ht="15" hidden="false" customHeight="false" outlineLevel="0" collapsed="false">
      <c r="A147" s="24" t="n">
        <v>124</v>
      </c>
      <c r="B147" s="54" t="n">
        <f aca="false">EDATE($C$17,A147-1)</f>
        <v>50072</v>
      </c>
      <c r="C147" s="55" t="n">
        <f aca="false">G147+L147+Q147+V147+AA147+AF147+AK147+AP147+AU147+AZ147</f>
        <v>0</v>
      </c>
      <c r="D147" s="55" t="n">
        <f aca="false">MAX(0,$C$16-C147)</f>
        <v>5822</v>
      </c>
      <c r="E147" s="55" t="n">
        <f aca="false">ROUND(MAX(0,E146+F146-I146),2)</f>
        <v>0</v>
      </c>
      <c r="F147" s="55" t="n">
        <f aca="false">ROUND(E147*$E$5/12,2)</f>
        <v>0</v>
      </c>
      <c r="G147" s="55" t="n">
        <f aca="false">MIN($F$5,E147+F147)</f>
        <v>0</v>
      </c>
      <c r="H147" s="55" t="n">
        <f aca="false">MAX(0,MIN(E147+F147-G147,$D147))</f>
        <v>0</v>
      </c>
      <c r="I147" s="55" t="n">
        <f aca="false">G147+H147</f>
        <v>0</v>
      </c>
      <c r="J147" s="55" t="n">
        <f aca="false">ROUND(MAX(0,J146+K146-N146),2)</f>
        <v>0</v>
      </c>
      <c r="K147" s="55" t="n">
        <f aca="false">ROUND(J147*$E$6/12,2)</f>
        <v>0</v>
      </c>
      <c r="L147" s="55" t="n">
        <f aca="false">MIN($F$6,J147+K147)</f>
        <v>0</v>
      </c>
      <c r="M147" s="55" t="n">
        <f aca="false">MAX(0,MIN(J147+K147-L147,$D147-(H147)))</f>
        <v>0</v>
      </c>
      <c r="N147" s="55" t="n">
        <f aca="false">L147+M147</f>
        <v>0</v>
      </c>
      <c r="O147" s="55" t="n">
        <f aca="false">ROUND(MAX(0,O146+P146-S146),2)</f>
        <v>0</v>
      </c>
      <c r="P147" s="55" t="n">
        <f aca="false">ROUND(O147*$E$7/12,2)</f>
        <v>0</v>
      </c>
      <c r="Q147" s="55" t="n">
        <f aca="false">MIN($F$7,O147+P147)</f>
        <v>0</v>
      </c>
      <c r="R147" s="55" t="n">
        <f aca="false">MAX(0,MIN(O147+P147-Q147,$D147-(H147+M147)))</f>
        <v>0</v>
      </c>
      <c r="S147" s="55" t="n">
        <f aca="false">Q147+R147</f>
        <v>0</v>
      </c>
      <c r="T147" s="55" t="n">
        <f aca="false">ROUND(MAX(0,T146+U146-X146),2)</f>
        <v>0</v>
      </c>
      <c r="U147" s="55" t="n">
        <f aca="false">ROUND(T147*$E$8/12,2)</f>
        <v>0</v>
      </c>
      <c r="V147" s="55" t="n">
        <f aca="false">MIN($F$8,T147+U147)</f>
        <v>0</v>
      </c>
      <c r="W147" s="55" t="n">
        <f aca="false">MAX(0,MIN(T147+U147-V147,$D147-(H147+M147+R147)))</f>
        <v>0</v>
      </c>
      <c r="X147" s="55" t="n">
        <f aca="false">V147+W147</f>
        <v>0</v>
      </c>
      <c r="Y147" s="55" t="n">
        <f aca="false">ROUND(MAX(0,Y146+Z146-AC146),2)</f>
        <v>0</v>
      </c>
      <c r="Z147" s="55" t="n">
        <f aca="false">ROUND(Y147*$E$9/12,2)</f>
        <v>0</v>
      </c>
      <c r="AA147" s="55" t="n">
        <f aca="false">MIN($F$9,Y147+Z147)</f>
        <v>0</v>
      </c>
      <c r="AB147" s="55" t="n">
        <f aca="false">MAX(0,MIN(Y147+Z147-AA147,$D147-(H147+M147+R147+W147)))</f>
        <v>0</v>
      </c>
      <c r="AC147" s="55" t="n">
        <f aca="false">AA147+AB147</f>
        <v>0</v>
      </c>
      <c r="AD147" s="55" t="n">
        <f aca="false">ROUND(MAX(0,AD146+AE146-AH146),2)</f>
        <v>0</v>
      </c>
      <c r="AE147" s="55" t="n">
        <f aca="false">ROUND(AD147*$E$10/12,2)</f>
        <v>0</v>
      </c>
      <c r="AF147" s="55" t="n">
        <f aca="false">MIN($F$10,AD147+AE147)</f>
        <v>0</v>
      </c>
      <c r="AG147" s="55" t="n">
        <f aca="false">MAX(0,MIN(AD147+AE147-AF147,$D147-(H147+M147+R147+W147+AB147)))</f>
        <v>0</v>
      </c>
      <c r="AH147" s="55" t="n">
        <f aca="false">AF147+AG147</f>
        <v>0</v>
      </c>
      <c r="AI147" s="55" t="n">
        <f aca="false">ROUND(MAX(0,AI146+AJ146-AM146),2)</f>
        <v>0</v>
      </c>
      <c r="AJ147" s="55" t="n">
        <f aca="false">ROUND(AI147*$E$11/12,2)</f>
        <v>0</v>
      </c>
      <c r="AK147" s="55" t="n">
        <f aca="false">MIN($F$11,AI147+AJ147)</f>
        <v>0</v>
      </c>
      <c r="AL147" s="55" t="n">
        <f aca="false">MAX(0,MIN(AI147+AJ147-AK147,$D147-(H147+M147+R147+W147+AB147+AG147)))</f>
        <v>0</v>
      </c>
      <c r="AM147" s="55" t="n">
        <f aca="false">AK147+AL147</f>
        <v>0</v>
      </c>
      <c r="AN147" s="55" t="n">
        <f aca="false">ROUND(MAX(0,AN146+AO146-AR146),2)</f>
        <v>0</v>
      </c>
      <c r="AO147" s="55" t="n">
        <f aca="false">ROUND(AN147*$E$12/12,2)</f>
        <v>0</v>
      </c>
      <c r="AP147" s="55" t="n">
        <f aca="false">MIN($F$12,AN147+AO147)</f>
        <v>0</v>
      </c>
      <c r="AQ147" s="55" t="n">
        <f aca="false">MAX(0,MIN(AN147+AO147-AP147,$D147-(H147+M147+R147+W147+AB147+AG147+AL147)))</f>
        <v>0</v>
      </c>
      <c r="AR147" s="55" t="n">
        <f aca="false">AP147+AQ147</f>
        <v>0</v>
      </c>
      <c r="AS147" s="55" t="n">
        <f aca="false">ROUND(MAX(0,AS146+AT146-AW146),2)</f>
        <v>0</v>
      </c>
      <c r="AT147" s="55" t="n">
        <f aca="false">ROUND(AS147*$E$13/12,2)</f>
        <v>0</v>
      </c>
      <c r="AU147" s="55" t="n">
        <f aca="false">MIN($F$13,AS147+AT147)</f>
        <v>0</v>
      </c>
      <c r="AV147" s="55" t="n">
        <f aca="false">MAX(0,MIN(AS147+AT147-AU147,$D147-(H147+M147+R147+W147+AB147+AG147+AL147+AQ147)))</f>
        <v>0</v>
      </c>
      <c r="AW147" s="55" t="n">
        <f aca="false">AU147+AV147</f>
        <v>0</v>
      </c>
      <c r="AX147" s="55" t="n">
        <f aca="false">ROUND(MAX(0,AX146+AY146-BB146),2)</f>
        <v>0</v>
      </c>
      <c r="AY147" s="55" t="n">
        <f aca="false">ROUND(AX147*$E$14/12,2)</f>
        <v>0</v>
      </c>
      <c r="AZ147" s="55" t="n">
        <f aca="false">MIN($F$14,AX147+AY147)</f>
        <v>0</v>
      </c>
      <c r="BA147" s="55" t="n">
        <f aca="false">MAX(0,MIN(AX147+AY147-AZ147,$D147-(H147+M147+R147+W147+AB147+AG147+AL147+AQ147+AV147)))</f>
        <v>0</v>
      </c>
      <c r="BB147" s="55" t="n">
        <f aca="false">AZ147+BA147</f>
        <v>0</v>
      </c>
      <c r="BC147" s="55" t="n">
        <f aca="false">I147+N147+S147+X147+AC147+AH147+AM147+AR147+AW147+BB147</f>
        <v>0</v>
      </c>
      <c r="BD147" s="55" t="n">
        <f aca="false">ROUND((E147+F147-I147)+(J147+K147-N147)+(O147+P147-S147)+(T147+U147-X147)+(Y147+Z147-AC147)+(AD147+AE147-AH147)+(AI147+AJ147-AM147)+(AN147+AO147-AR147)+(AS147+AT147-AW147)+(AX147+AY147-BB147),2)</f>
        <v>0</v>
      </c>
      <c r="BE147" s="25" t="str">
        <f aca="false">IF(H147&gt;0.005,$C$5,IF(M147&gt;0.005,$C$6,IF(R147&gt;0.005,$C$7,IF(W147&gt;0.005,$C$8,IF(AB147&gt;0.005,$C$9,IF(AG147&gt;0.005,$C$10,IF(AL147&gt;0.005,$C$11,IF(AQ147&gt;0.005,$C$12,IF(AV147&gt;0.005,$C$13,IF(BA147&gt;0.005,$C$14,""))))))))))</f>
        <v/>
      </c>
    </row>
    <row r="148" customFormat="false" ht="15" hidden="false" customHeight="false" outlineLevel="0" collapsed="false">
      <c r="A148" s="24" t="n">
        <v>125</v>
      </c>
      <c r="B148" s="54" t="n">
        <f aca="false">EDATE($C$17,A148-1)</f>
        <v>50100</v>
      </c>
      <c r="C148" s="55" t="n">
        <f aca="false">G148+L148+Q148+V148+AA148+AF148+AK148+AP148+AU148+AZ148</f>
        <v>0</v>
      </c>
      <c r="D148" s="55" t="n">
        <f aca="false">MAX(0,$C$16-C148)</f>
        <v>5822</v>
      </c>
      <c r="E148" s="55" t="n">
        <f aca="false">ROUND(MAX(0,E147+F147-I147),2)</f>
        <v>0</v>
      </c>
      <c r="F148" s="55" t="n">
        <f aca="false">ROUND(E148*$E$5/12,2)</f>
        <v>0</v>
      </c>
      <c r="G148" s="55" t="n">
        <f aca="false">MIN($F$5,E148+F148)</f>
        <v>0</v>
      </c>
      <c r="H148" s="55" t="n">
        <f aca="false">MAX(0,MIN(E148+F148-G148,$D148))</f>
        <v>0</v>
      </c>
      <c r="I148" s="55" t="n">
        <f aca="false">G148+H148</f>
        <v>0</v>
      </c>
      <c r="J148" s="55" t="n">
        <f aca="false">ROUND(MAX(0,J147+K147-N147),2)</f>
        <v>0</v>
      </c>
      <c r="K148" s="55" t="n">
        <f aca="false">ROUND(J148*$E$6/12,2)</f>
        <v>0</v>
      </c>
      <c r="L148" s="55" t="n">
        <f aca="false">MIN($F$6,J148+K148)</f>
        <v>0</v>
      </c>
      <c r="M148" s="55" t="n">
        <f aca="false">MAX(0,MIN(J148+K148-L148,$D148-(H148)))</f>
        <v>0</v>
      </c>
      <c r="N148" s="55" t="n">
        <f aca="false">L148+M148</f>
        <v>0</v>
      </c>
      <c r="O148" s="55" t="n">
        <f aca="false">ROUND(MAX(0,O147+P147-S147),2)</f>
        <v>0</v>
      </c>
      <c r="P148" s="55" t="n">
        <f aca="false">ROUND(O148*$E$7/12,2)</f>
        <v>0</v>
      </c>
      <c r="Q148" s="55" t="n">
        <f aca="false">MIN($F$7,O148+P148)</f>
        <v>0</v>
      </c>
      <c r="R148" s="55" t="n">
        <f aca="false">MAX(0,MIN(O148+P148-Q148,$D148-(H148+M148)))</f>
        <v>0</v>
      </c>
      <c r="S148" s="55" t="n">
        <f aca="false">Q148+R148</f>
        <v>0</v>
      </c>
      <c r="T148" s="55" t="n">
        <f aca="false">ROUND(MAX(0,T147+U147-X147),2)</f>
        <v>0</v>
      </c>
      <c r="U148" s="55" t="n">
        <f aca="false">ROUND(T148*$E$8/12,2)</f>
        <v>0</v>
      </c>
      <c r="V148" s="55" t="n">
        <f aca="false">MIN($F$8,T148+U148)</f>
        <v>0</v>
      </c>
      <c r="W148" s="55" t="n">
        <f aca="false">MAX(0,MIN(T148+U148-V148,$D148-(H148+M148+R148)))</f>
        <v>0</v>
      </c>
      <c r="X148" s="55" t="n">
        <f aca="false">V148+W148</f>
        <v>0</v>
      </c>
      <c r="Y148" s="55" t="n">
        <f aca="false">ROUND(MAX(0,Y147+Z147-AC147),2)</f>
        <v>0</v>
      </c>
      <c r="Z148" s="55" t="n">
        <f aca="false">ROUND(Y148*$E$9/12,2)</f>
        <v>0</v>
      </c>
      <c r="AA148" s="55" t="n">
        <f aca="false">MIN($F$9,Y148+Z148)</f>
        <v>0</v>
      </c>
      <c r="AB148" s="55" t="n">
        <f aca="false">MAX(0,MIN(Y148+Z148-AA148,$D148-(H148+M148+R148+W148)))</f>
        <v>0</v>
      </c>
      <c r="AC148" s="55" t="n">
        <f aca="false">AA148+AB148</f>
        <v>0</v>
      </c>
      <c r="AD148" s="55" t="n">
        <f aca="false">ROUND(MAX(0,AD147+AE147-AH147),2)</f>
        <v>0</v>
      </c>
      <c r="AE148" s="55" t="n">
        <f aca="false">ROUND(AD148*$E$10/12,2)</f>
        <v>0</v>
      </c>
      <c r="AF148" s="55" t="n">
        <f aca="false">MIN($F$10,AD148+AE148)</f>
        <v>0</v>
      </c>
      <c r="AG148" s="55" t="n">
        <f aca="false">MAX(0,MIN(AD148+AE148-AF148,$D148-(H148+M148+R148+W148+AB148)))</f>
        <v>0</v>
      </c>
      <c r="AH148" s="55" t="n">
        <f aca="false">AF148+AG148</f>
        <v>0</v>
      </c>
      <c r="AI148" s="55" t="n">
        <f aca="false">ROUND(MAX(0,AI147+AJ147-AM147),2)</f>
        <v>0</v>
      </c>
      <c r="AJ148" s="55" t="n">
        <f aca="false">ROUND(AI148*$E$11/12,2)</f>
        <v>0</v>
      </c>
      <c r="AK148" s="55" t="n">
        <f aca="false">MIN($F$11,AI148+AJ148)</f>
        <v>0</v>
      </c>
      <c r="AL148" s="55" t="n">
        <f aca="false">MAX(0,MIN(AI148+AJ148-AK148,$D148-(H148+M148+R148+W148+AB148+AG148)))</f>
        <v>0</v>
      </c>
      <c r="AM148" s="55" t="n">
        <f aca="false">AK148+AL148</f>
        <v>0</v>
      </c>
      <c r="AN148" s="55" t="n">
        <f aca="false">ROUND(MAX(0,AN147+AO147-AR147),2)</f>
        <v>0</v>
      </c>
      <c r="AO148" s="55" t="n">
        <f aca="false">ROUND(AN148*$E$12/12,2)</f>
        <v>0</v>
      </c>
      <c r="AP148" s="55" t="n">
        <f aca="false">MIN($F$12,AN148+AO148)</f>
        <v>0</v>
      </c>
      <c r="AQ148" s="55" t="n">
        <f aca="false">MAX(0,MIN(AN148+AO148-AP148,$D148-(H148+M148+R148+W148+AB148+AG148+AL148)))</f>
        <v>0</v>
      </c>
      <c r="AR148" s="55" t="n">
        <f aca="false">AP148+AQ148</f>
        <v>0</v>
      </c>
      <c r="AS148" s="55" t="n">
        <f aca="false">ROUND(MAX(0,AS147+AT147-AW147),2)</f>
        <v>0</v>
      </c>
      <c r="AT148" s="55" t="n">
        <f aca="false">ROUND(AS148*$E$13/12,2)</f>
        <v>0</v>
      </c>
      <c r="AU148" s="55" t="n">
        <f aca="false">MIN($F$13,AS148+AT148)</f>
        <v>0</v>
      </c>
      <c r="AV148" s="55" t="n">
        <f aca="false">MAX(0,MIN(AS148+AT148-AU148,$D148-(H148+M148+R148+W148+AB148+AG148+AL148+AQ148)))</f>
        <v>0</v>
      </c>
      <c r="AW148" s="55" t="n">
        <f aca="false">AU148+AV148</f>
        <v>0</v>
      </c>
      <c r="AX148" s="55" t="n">
        <f aca="false">ROUND(MAX(0,AX147+AY147-BB147),2)</f>
        <v>0</v>
      </c>
      <c r="AY148" s="55" t="n">
        <f aca="false">ROUND(AX148*$E$14/12,2)</f>
        <v>0</v>
      </c>
      <c r="AZ148" s="55" t="n">
        <f aca="false">MIN($F$14,AX148+AY148)</f>
        <v>0</v>
      </c>
      <c r="BA148" s="55" t="n">
        <f aca="false">MAX(0,MIN(AX148+AY148-AZ148,$D148-(H148+M148+R148+W148+AB148+AG148+AL148+AQ148+AV148)))</f>
        <v>0</v>
      </c>
      <c r="BB148" s="55" t="n">
        <f aca="false">AZ148+BA148</f>
        <v>0</v>
      </c>
      <c r="BC148" s="55" t="n">
        <f aca="false">I148+N148+S148+X148+AC148+AH148+AM148+AR148+AW148+BB148</f>
        <v>0</v>
      </c>
      <c r="BD148" s="55" t="n">
        <f aca="false">ROUND((E148+F148-I148)+(J148+K148-N148)+(O148+P148-S148)+(T148+U148-X148)+(Y148+Z148-AC148)+(AD148+AE148-AH148)+(AI148+AJ148-AM148)+(AN148+AO148-AR148)+(AS148+AT148-AW148)+(AX148+AY148-BB148),2)</f>
        <v>0</v>
      </c>
      <c r="BE148" s="25" t="str">
        <f aca="false">IF(H148&gt;0.005,$C$5,IF(M148&gt;0.005,$C$6,IF(R148&gt;0.005,$C$7,IF(W148&gt;0.005,$C$8,IF(AB148&gt;0.005,$C$9,IF(AG148&gt;0.005,$C$10,IF(AL148&gt;0.005,$C$11,IF(AQ148&gt;0.005,$C$12,IF(AV148&gt;0.005,$C$13,IF(BA148&gt;0.005,$C$14,""))))))))))</f>
        <v/>
      </c>
    </row>
    <row r="149" customFormat="false" ht="15" hidden="false" customHeight="false" outlineLevel="0" collapsed="false">
      <c r="A149" s="24" t="n">
        <v>126</v>
      </c>
      <c r="B149" s="54" t="n">
        <f aca="false">EDATE($C$17,A149-1)</f>
        <v>50131</v>
      </c>
      <c r="C149" s="55" t="n">
        <f aca="false">G149+L149+Q149+V149+AA149+AF149+AK149+AP149+AU149+AZ149</f>
        <v>0</v>
      </c>
      <c r="D149" s="55" t="n">
        <f aca="false">MAX(0,$C$16-C149)</f>
        <v>5822</v>
      </c>
      <c r="E149" s="55" t="n">
        <f aca="false">ROUND(MAX(0,E148+F148-I148),2)</f>
        <v>0</v>
      </c>
      <c r="F149" s="55" t="n">
        <f aca="false">ROUND(E149*$E$5/12,2)</f>
        <v>0</v>
      </c>
      <c r="G149" s="55" t="n">
        <f aca="false">MIN($F$5,E149+F149)</f>
        <v>0</v>
      </c>
      <c r="H149" s="55" t="n">
        <f aca="false">MAX(0,MIN(E149+F149-G149,$D149))</f>
        <v>0</v>
      </c>
      <c r="I149" s="55" t="n">
        <f aca="false">G149+H149</f>
        <v>0</v>
      </c>
      <c r="J149" s="55" t="n">
        <f aca="false">ROUND(MAX(0,J148+K148-N148),2)</f>
        <v>0</v>
      </c>
      <c r="K149" s="55" t="n">
        <f aca="false">ROUND(J149*$E$6/12,2)</f>
        <v>0</v>
      </c>
      <c r="L149" s="55" t="n">
        <f aca="false">MIN($F$6,J149+K149)</f>
        <v>0</v>
      </c>
      <c r="M149" s="55" t="n">
        <f aca="false">MAX(0,MIN(J149+K149-L149,$D149-(H149)))</f>
        <v>0</v>
      </c>
      <c r="N149" s="55" t="n">
        <f aca="false">L149+M149</f>
        <v>0</v>
      </c>
      <c r="O149" s="55" t="n">
        <f aca="false">ROUND(MAX(0,O148+P148-S148),2)</f>
        <v>0</v>
      </c>
      <c r="P149" s="55" t="n">
        <f aca="false">ROUND(O149*$E$7/12,2)</f>
        <v>0</v>
      </c>
      <c r="Q149" s="55" t="n">
        <f aca="false">MIN($F$7,O149+P149)</f>
        <v>0</v>
      </c>
      <c r="R149" s="55" t="n">
        <f aca="false">MAX(0,MIN(O149+P149-Q149,$D149-(H149+M149)))</f>
        <v>0</v>
      </c>
      <c r="S149" s="55" t="n">
        <f aca="false">Q149+R149</f>
        <v>0</v>
      </c>
      <c r="T149" s="55" t="n">
        <f aca="false">ROUND(MAX(0,T148+U148-X148),2)</f>
        <v>0</v>
      </c>
      <c r="U149" s="55" t="n">
        <f aca="false">ROUND(T149*$E$8/12,2)</f>
        <v>0</v>
      </c>
      <c r="V149" s="55" t="n">
        <f aca="false">MIN($F$8,T149+U149)</f>
        <v>0</v>
      </c>
      <c r="W149" s="55" t="n">
        <f aca="false">MAX(0,MIN(T149+U149-V149,$D149-(H149+M149+R149)))</f>
        <v>0</v>
      </c>
      <c r="X149" s="55" t="n">
        <f aca="false">V149+W149</f>
        <v>0</v>
      </c>
      <c r="Y149" s="55" t="n">
        <f aca="false">ROUND(MAX(0,Y148+Z148-AC148),2)</f>
        <v>0</v>
      </c>
      <c r="Z149" s="55" t="n">
        <f aca="false">ROUND(Y149*$E$9/12,2)</f>
        <v>0</v>
      </c>
      <c r="AA149" s="55" t="n">
        <f aca="false">MIN($F$9,Y149+Z149)</f>
        <v>0</v>
      </c>
      <c r="AB149" s="55" t="n">
        <f aca="false">MAX(0,MIN(Y149+Z149-AA149,$D149-(H149+M149+R149+W149)))</f>
        <v>0</v>
      </c>
      <c r="AC149" s="55" t="n">
        <f aca="false">AA149+AB149</f>
        <v>0</v>
      </c>
      <c r="AD149" s="55" t="n">
        <f aca="false">ROUND(MAX(0,AD148+AE148-AH148),2)</f>
        <v>0</v>
      </c>
      <c r="AE149" s="55" t="n">
        <f aca="false">ROUND(AD149*$E$10/12,2)</f>
        <v>0</v>
      </c>
      <c r="AF149" s="55" t="n">
        <f aca="false">MIN($F$10,AD149+AE149)</f>
        <v>0</v>
      </c>
      <c r="AG149" s="55" t="n">
        <f aca="false">MAX(0,MIN(AD149+AE149-AF149,$D149-(H149+M149+R149+W149+AB149)))</f>
        <v>0</v>
      </c>
      <c r="AH149" s="55" t="n">
        <f aca="false">AF149+AG149</f>
        <v>0</v>
      </c>
      <c r="AI149" s="55" t="n">
        <f aca="false">ROUND(MAX(0,AI148+AJ148-AM148),2)</f>
        <v>0</v>
      </c>
      <c r="AJ149" s="55" t="n">
        <f aca="false">ROUND(AI149*$E$11/12,2)</f>
        <v>0</v>
      </c>
      <c r="AK149" s="55" t="n">
        <f aca="false">MIN($F$11,AI149+AJ149)</f>
        <v>0</v>
      </c>
      <c r="AL149" s="55" t="n">
        <f aca="false">MAX(0,MIN(AI149+AJ149-AK149,$D149-(H149+M149+R149+W149+AB149+AG149)))</f>
        <v>0</v>
      </c>
      <c r="AM149" s="55" t="n">
        <f aca="false">AK149+AL149</f>
        <v>0</v>
      </c>
      <c r="AN149" s="55" t="n">
        <f aca="false">ROUND(MAX(0,AN148+AO148-AR148),2)</f>
        <v>0</v>
      </c>
      <c r="AO149" s="55" t="n">
        <f aca="false">ROUND(AN149*$E$12/12,2)</f>
        <v>0</v>
      </c>
      <c r="AP149" s="55" t="n">
        <f aca="false">MIN($F$12,AN149+AO149)</f>
        <v>0</v>
      </c>
      <c r="AQ149" s="55" t="n">
        <f aca="false">MAX(0,MIN(AN149+AO149-AP149,$D149-(H149+M149+R149+W149+AB149+AG149+AL149)))</f>
        <v>0</v>
      </c>
      <c r="AR149" s="55" t="n">
        <f aca="false">AP149+AQ149</f>
        <v>0</v>
      </c>
      <c r="AS149" s="55" t="n">
        <f aca="false">ROUND(MAX(0,AS148+AT148-AW148),2)</f>
        <v>0</v>
      </c>
      <c r="AT149" s="55" t="n">
        <f aca="false">ROUND(AS149*$E$13/12,2)</f>
        <v>0</v>
      </c>
      <c r="AU149" s="55" t="n">
        <f aca="false">MIN($F$13,AS149+AT149)</f>
        <v>0</v>
      </c>
      <c r="AV149" s="55" t="n">
        <f aca="false">MAX(0,MIN(AS149+AT149-AU149,$D149-(H149+M149+R149+W149+AB149+AG149+AL149+AQ149)))</f>
        <v>0</v>
      </c>
      <c r="AW149" s="55" t="n">
        <f aca="false">AU149+AV149</f>
        <v>0</v>
      </c>
      <c r="AX149" s="55" t="n">
        <f aca="false">ROUND(MAX(0,AX148+AY148-BB148),2)</f>
        <v>0</v>
      </c>
      <c r="AY149" s="55" t="n">
        <f aca="false">ROUND(AX149*$E$14/12,2)</f>
        <v>0</v>
      </c>
      <c r="AZ149" s="55" t="n">
        <f aca="false">MIN($F$14,AX149+AY149)</f>
        <v>0</v>
      </c>
      <c r="BA149" s="55" t="n">
        <f aca="false">MAX(0,MIN(AX149+AY149-AZ149,$D149-(H149+M149+R149+W149+AB149+AG149+AL149+AQ149+AV149)))</f>
        <v>0</v>
      </c>
      <c r="BB149" s="55" t="n">
        <f aca="false">AZ149+BA149</f>
        <v>0</v>
      </c>
      <c r="BC149" s="55" t="n">
        <f aca="false">I149+N149+S149+X149+AC149+AH149+AM149+AR149+AW149+BB149</f>
        <v>0</v>
      </c>
      <c r="BD149" s="55" t="n">
        <f aca="false">ROUND((E149+F149-I149)+(J149+K149-N149)+(O149+P149-S149)+(T149+U149-X149)+(Y149+Z149-AC149)+(AD149+AE149-AH149)+(AI149+AJ149-AM149)+(AN149+AO149-AR149)+(AS149+AT149-AW149)+(AX149+AY149-BB149),2)</f>
        <v>0</v>
      </c>
      <c r="BE149" s="25" t="str">
        <f aca="false">IF(H149&gt;0.005,$C$5,IF(M149&gt;0.005,$C$6,IF(R149&gt;0.005,$C$7,IF(W149&gt;0.005,$C$8,IF(AB149&gt;0.005,$C$9,IF(AG149&gt;0.005,$C$10,IF(AL149&gt;0.005,$C$11,IF(AQ149&gt;0.005,$C$12,IF(AV149&gt;0.005,$C$13,IF(BA149&gt;0.005,$C$14,""))))))))))</f>
        <v/>
      </c>
    </row>
    <row r="150" customFormat="false" ht="15" hidden="false" customHeight="false" outlineLevel="0" collapsed="false">
      <c r="A150" s="24" t="n">
        <v>127</v>
      </c>
      <c r="B150" s="54" t="n">
        <f aca="false">EDATE($C$17,A150-1)</f>
        <v>50161</v>
      </c>
      <c r="C150" s="55" t="n">
        <f aca="false">G150+L150+Q150+V150+AA150+AF150+AK150+AP150+AU150+AZ150</f>
        <v>0</v>
      </c>
      <c r="D150" s="55" t="n">
        <f aca="false">MAX(0,$C$16-C150)</f>
        <v>5822</v>
      </c>
      <c r="E150" s="55" t="n">
        <f aca="false">ROUND(MAX(0,E149+F149-I149),2)</f>
        <v>0</v>
      </c>
      <c r="F150" s="55" t="n">
        <f aca="false">ROUND(E150*$E$5/12,2)</f>
        <v>0</v>
      </c>
      <c r="G150" s="55" t="n">
        <f aca="false">MIN($F$5,E150+F150)</f>
        <v>0</v>
      </c>
      <c r="H150" s="55" t="n">
        <f aca="false">MAX(0,MIN(E150+F150-G150,$D150))</f>
        <v>0</v>
      </c>
      <c r="I150" s="55" t="n">
        <f aca="false">G150+H150</f>
        <v>0</v>
      </c>
      <c r="J150" s="55" t="n">
        <f aca="false">ROUND(MAX(0,J149+K149-N149),2)</f>
        <v>0</v>
      </c>
      <c r="K150" s="55" t="n">
        <f aca="false">ROUND(J150*$E$6/12,2)</f>
        <v>0</v>
      </c>
      <c r="L150" s="55" t="n">
        <f aca="false">MIN($F$6,J150+K150)</f>
        <v>0</v>
      </c>
      <c r="M150" s="55" t="n">
        <f aca="false">MAX(0,MIN(J150+K150-L150,$D150-(H150)))</f>
        <v>0</v>
      </c>
      <c r="N150" s="55" t="n">
        <f aca="false">L150+M150</f>
        <v>0</v>
      </c>
      <c r="O150" s="55" t="n">
        <f aca="false">ROUND(MAX(0,O149+P149-S149),2)</f>
        <v>0</v>
      </c>
      <c r="P150" s="55" t="n">
        <f aca="false">ROUND(O150*$E$7/12,2)</f>
        <v>0</v>
      </c>
      <c r="Q150" s="55" t="n">
        <f aca="false">MIN($F$7,O150+P150)</f>
        <v>0</v>
      </c>
      <c r="R150" s="55" t="n">
        <f aca="false">MAX(0,MIN(O150+P150-Q150,$D150-(H150+M150)))</f>
        <v>0</v>
      </c>
      <c r="S150" s="55" t="n">
        <f aca="false">Q150+R150</f>
        <v>0</v>
      </c>
      <c r="T150" s="55" t="n">
        <f aca="false">ROUND(MAX(0,T149+U149-X149),2)</f>
        <v>0</v>
      </c>
      <c r="U150" s="55" t="n">
        <f aca="false">ROUND(T150*$E$8/12,2)</f>
        <v>0</v>
      </c>
      <c r="V150" s="55" t="n">
        <f aca="false">MIN($F$8,T150+U150)</f>
        <v>0</v>
      </c>
      <c r="W150" s="55" t="n">
        <f aca="false">MAX(0,MIN(T150+U150-V150,$D150-(H150+M150+R150)))</f>
        <v>0</v>
      </c>
      <c r="X150" s="55" t="n">
        <f aca="false">V150+W150</f>
        <v>0</v>
      </c>
      <c r="Y150" s="55" t="n">
        <f aca="false">ROUND(MAX(0,Y149+Z149-AC149),2)</f>
        <v>0</v>
      </c>
      <c r="Z150" s="55" t="n">
        <f aca="false">ROUND(Y150*$E$9/12,2)</f>
        <v>0</v>
      </c>
      <c r="AA150" s="55" t="n">
        <f aca="false">MIN($F$9,Y150+Z150)</f>
        <v>0</v>
      </c>
      <c r="AB150" s="55" t="n">
        <f aca="false">MAX(0,MIN(Y150+Z150-AA150,$D150-(H150+M150+R150+W150)))</f>
        <v>0</v>
      </c>
      <c r="AC150" s="55" t="n">
        <f aca="false">AA150+AB150</f>
        <v>0</v>
      </c>
      <c r="AD150" s="55" t="n">
        <f aca="false">ROUND(MAX(0,AD149+AE149-AH149),2)</f>
        <v>0</v>
      </c>
      <c r="AE150" s="55" t="n">
        <f aca="false">ROUND(AD150*$E$10/12,2)</f>
        <v>0</v>
      </c>
      <c r="AF150" s="55" t="n">
        <f aca="false">MIN($F$10,AD150+AE150)</f>
        <v>0</v>
      </c>
      <c r="AG150" s="55" t="n">
        <f aca="false">MAX(0,MIN(AD150+AE150-AF150,$D150-(H150+M150+R150+W150+AB150)))</f>
        <v>0</v>
      </c>
      <c r="AH150" s="55" t="n">
        <f aca="false">AF150+AG150</f>
        <v>0</v>
      </c>
      <c r="AI150" s="55" t="n">
        <f aca="false">ROUND(MAX(0,AI149+AJ149-AM149),2)</f>
        <v>0</v>
      </c>
      <c r="AJ150" s="55" t="n">
        <f aca="false">ROUND(AI150*$E$11/12,2)</f>
        <v>0</v>
      </c>
      <c r="AK150" s="55" t="n">
        <f aca="false">MIN($F$11,AI150+AJ150)</f>
        <v>0</v>
      </c>
      <c r="AL150" s="55" t="n">
        <f aca="false">MAX(0,MIN(AI150+AJ150-AK150,$D150-(H150+M150+R150+W150+AB150+AG150)))</f>
        <v>0</v>
      </c>
      <c r="AM150" s="55" t="n">
        <f aca="false">AK150+AL150</f>
        <v>0</v>
      </c>
      <c r="AN150" s="55" t="n">
        <f aca="false">ROUND(MAX(0,AN149+AO149-AR149),2)</f>
        <v>0</v>
      </c>
      <c r="AO150" s="55" t="n">
        <f aca="false">ROUND(AN150*$E$12/12,2)</f>
        <v>0</v>
      </c>
      <c r="AP150" s="55" t="n">
        <f aca="false">MIN($F$12,AN150+AO150)</f>
        <v>0</v>
      </c>
      <c r="AQ150" s="55" t="n">
        <f aca="false">MAX(0,MIN(AN150+AO150-AP150,$D150-(H150+M150+R150+W150+AB150+AG150+AL150)))</f>
        <v>0</v>
      </c>
      <c r="AR150" s="55" t="n">
        <f aca="false">AP150+AQ150</f>
        <v>0</v>
      </c>
      <c r="AS150" s="55" t="n">
        <f aca="false">ROUND(MAX(0,AS149+AT149-AW149),2)</f>
        <v>0</v>
      </c>
      <c r="AT150" s="55" t="n">
        <f aca="false">ROUND(AS150*$E$13/12,2)</f>
        <v>0</v>
      </c>
      <c r="AU150" s="55" t="n">
        <f aca="false">MIN($F$13,AS150+AT150)</f>
        <v>0</v>
      </c>
      <c r="AV150" s="55" t="n">
        <f aca="false">MAX(0,MIN(AS150+AT150-AU150,$D150-(H150+M150+R150+W150+AB150+AG150+AL150+AQ150)))</f>
        <v>0</v>
      </c>
      <c r="AW150" s="55" t="n">
        <f aca="false">AU150+AV150</f>
        <v>0</v>
      </c>
      <c r="AX150" s="55" t="n">
        <f aca="false">ROUND(MAX(0,AX149+AY149-BB149),2)</f>
        <v>0</v>
      </c>
      <c r="AY150" s="55" t="n">
        <f aca="false">ROUND(AX150*$E$14/12,2)</f>
        <v>0</v>
      </c>
      <c r="AZ150" s="55" t="n">
        <f aca="false">MIN($F$14,AX150+AY150)</f>
        <v>0</v>
      </c>
      <c r="BA150" s="55" t="n">
        <f aca="false">MAX(0,MIN(AX150+AY150-AZ150,$D150-(H150+M150+R150+W150+AB150+AG150+AL150+AQ150+AV150)))</f>
        <v>0</v>
      </c>
      <c r="BB150" s="55" t="n">
        <f aca="false">AZ150+BA150</f>
        <v>0</v>
      </c>
      <c r="BC150" s="55" t="n">
        <f aca="false">I150+N150+S150+X150+AC150+AH150+AM150+AR150+AW150+BB150</f>
        <v>0</v>
      </c>
      <c r="BD150" s="55" t="n">
        <f aca="false">ROUND((E150+F150-I150)+(J150+K150-N150)+(O150+P150-S150)+(T150+U150-X150)+(Y150+Z150-AC150)+(AD150+AE150-AH150)+(AI150+AJ150-AM150)+(AN150+AO150-AR150)+(AS150+AT150-AW150)+(AX150+AY150-BB150),2)</f>
        <v>0</v>
      </c>
      <c r="BE150" s="25" t="str">
        <f aca="false">IF(H150&gt;0.005,$C$5,IF(M150&gt;0.005,$C$6,IF(R150&gt;0.005,$C$7,IF(W150&gt;0.005,$C$8,IF(AB150&gt;0.005,$C$9,IF(AG150&gt;0.005,$C$10,IF(AL150&gt;0.005,$C$11,IF(AQ150&gt;0.005,$C$12,IF(AV150&gt;0.005,$C$13,IF(BA150&gt;0.005,$C$14,""))))))))))</f>
        <v/>
      </c>
    </row>
    <row r="151" customFormat="false" ht="15" hidden="false" customHeight="false" outlineLevel="0" collapsed="false">
      <c r="A151" s="24" t="n">
        <v>128</v>
      </c>
      <c r="B151" s="54" t="n">
        <f aca="false">EDATE($C$17,A151-1)</f>
        <v>50192</v>
      </c>
      <c r="C151" s="55" t="n">
        <f aca="false">G151+L151+Q151+V151+AA151+AF151+AK151+AP151+AU151+AZ151</f>
        <v>0</v>
      </c>
      <c r="D151" s="55" t="n">
        <f aca="false">MAX(0,$C$16-C151)</f>
        <v>5822</v>
      </c>
      <c r="E151" s="55" t="n">
        <f aca="false">ROUND(MAX(0,E150+F150-I150),2)</f>
        <v>0</v>
      </c>
      <c r="F151" s="55" t="n">
        <f aca="false">ROUND(E151*$E$5/12,2)</f>
        <v>0</v>
      </c>
      <c r="G151" s="55" t="n">
        <f aca="false">MIN($F$5,E151+F151)</f>
        <v>0</v>
      </c>
      <c r="H151" s="55" t="n">
        <f aca="false">MAX(0,MIN(E151+F151-G151,$D151))</f>
        <v>0</v>
      </c>
      <c r="I151" s="55" t="n">
        <f aca="false">G151+H151</f>
        <v>0</v>
      </c>
      <c r="J151" s="55" t="n">
        <f aca="false">ROUND(MAX(0,J150+K150-N150),2)</f>
        <v>0</v>
      </c>
      <c r="K151" s="55" t="n">
        <f aca="false">ROUND(J151*$E$6/12,2)</f>
        <v>0</v>
      </c>
      <c r="L151" s="55" t="n">
        <f aca="false">MIN($F$6,J151+K151)</f>
        <v>0</v>
      </c>
      <c r="M151" s="55" t="n">
        <f aca="false">MAX(0,MIN(J151+K151-L151,$D151-(H151)))</f>
        <v>0</v>
      </c>
      <c r="N151" s="55" t="n">
        <f aca="false">L151+M151</f>
        <v>0</v>
      </c>
      <c r="O151" s="55" t="n">
        <f aca="false">ROUND(MAX(0,O150+P150-S150),2)</f>
        <v>0</v>
      </c>
      <c r="P151" s="55" t="n">
        <f aca="false">ROUND(O151*$E$7/12,2)</f>
        <v>0</v>
      </c>
      <c r="Q151" s="55" t="n">
        <f aca="false">MIN($F$7,O151+P151)</f>
        <v>0</v>
      </c>
      <c r="R151" s="55" t="n">
        <f aca="false">MAX(0,MIN(O151+P151-Q151,$D151-(H151+M151)))</f>
        <v>0</v>
      </c>
      <c r="S151" s="55" t="n">
        <f aca="false">Q151+R151</f>
        <v>0</v>
      </c>
      <c r="T151" s="55" t="n">
        <f aca="false">ROUND(MAX(0,T150+U150-X150),2)</f>
        <v>0</v>
      </c>
      <c r="U151" s="55" t="n">
        <f aca="false">ROUND(T151*$E$8/12,2)</f>
        <v>0</v>
      </c>
      <c r="V151" s="55" t="n">
        <f aca="false">MIN($F$8,T151+U151)</f>
        <v>0</v>
      </c>
      <c r="W151" s="55" t="n">
        <f aca="false">MAX(0,MIN(T151+U151-V151,$D151-(H151+M151+R151)))</f>
        <v>0</v>
      </c>
      <c r="X151" s="55" t="n">
        <f aca="false">V151+W151</f>
        <v>0</v>
      </c>
      <c r="Y151" s="55" t="n">
        <f aca="false">ROUND(MAX(0,Y150+Z150-AC150),2)</f>
        <v>0</v>
      </c>
      <c r="Z151" s="55" t="n">
        <f aca="false">ROUND(Y151*$E$9/12,2)</f>
        <v>0</v>
      </c>
      <c r="AA151" s="55" t="n">
        <f aca="false">MIN($F$9,Y151+Z151)</f>
        <v>0</v>
      </c>
      <c r="AB151" s="55" t="n">
        <f aca="false">MAX(0,MIN(Y151+Z151-AA151,$D151-(H151+M151+R151+W151)))</f>
        <v>0</v>
      </c>
      <c r="AC151" s="55" t="n">
        <f aca="false">AA151+AB151</f>
        <v>0</v>
      </c>
      <c r="AD151" s="55" t="n">
        <f aca="false">ROUND(MAX(0,AD150+AE150-AH150),2)</f>
        <v>0</v>
      </c>
      <c r="AE151" s="55" t="n">
        <f aca="false">ROUND(AD151*$E$10/12,2)</f>
        <v>0</v>
      </c>
      <c r="AF151" s="55" t="n">
        <f aca="false">MIN($F$10,AD151+AE151)</f>
        <v>0</v>
      </c>
      <c r="AG151" s="55" t="n">
        <f aca="false">MAX(0,MIN(AD151+AE151-AF151,$D151-(H151+M151+R151+W151+AB151)))</f>
        <v>0</v>
      </c>
      <c r="AH151" s="55" t="n">
        <f aca="false">AF151+AG151</f>
        <v>0</v>
      </c>
      <c r="AI151" s="55" t="n">
        <f aca="false">ROUND(MAX(0,AI150+AJ150-AM150),2)</f>
        <v>0</v>
      </c>
      <c r="AJ151" s="55" t="n">
        <f aca="false">ROUND(AI151*$E$11/12,2)</f>
        <v>0</v>
      </c>
      <c r="AK151" s="55" t="n">
        <f aca="false">MIN($F$11,AI151+AJ151)</f>
        <v>0</v>
      </c>
      <c r="AL151" s="55" t="n">
        <f aca="false">MAX(0,MIN(AI151+AJ151-AK151,$D151-(H151+M151+R151+W151+AB151+AG151)))</f>
        <v>0</v>
      </c>
      <c r="AM151" s="55" t="n">
        <f aca="false">AK151+AL151</f>
        <v>0</v>
      </c>
      <c r="AN151" s="55" t="n">
        <f aca="false">ROUND(MAX(0,AN150+AO150-AR150),2)</f>
        <v>0</v>
      </c>
      <c r="AO151" s="55" t="n">
        <f aca="false">ROUND(AN151*$E$12/12,2)</f>
        <v>0</v>
      </c>
      <c r="AP151" s="55" t="n">
        <f aca="false">MIN($F$12,AN151+AO151)</f>
        <v>0</v>
      </c>
      <c r="AQ151" s="55" t="n">
        <f aca="false">MAX(0,MIN(AN151+AO151-AP151,$D151-(H151+M151+R151+W151+AB151+AG151+AL151)))</f>
        <v>0</v>
      </c>
      <c r="AR151" s="55" t="n">
        <f aca="false">AP151+AQ151</f>
        <v>0</v>
      </c>
      <c r="AS151" s="55" t="n">
        <f aca="false">ROUND(MAX(0,AS150+AT150-AW150),2)</f>
        <v>0</v>
      </c>
      <c r="AT151" s="55" t="n">
        <f aca="false">ROUND(AS151*$E$13/12,2)</f>
        <v>0</v>
      </c>
      <c r="AU151" s="55" t="n">
        <f aca="false">MIN($F$13,AS151+AT151)</f>
        <v>0</v>
      </c>
      <c r="AV151" s="55" t="n">
        <f aca="false">MAX(0,MIN(AS151+AT151-AU151,$D151-(H151+M151+R151+W151+AB151+AG151+AL151+AQ151)))</f>
        <v>0</v>
      </c>
      <c r="AW151" s="55" t="n">
        <f aca="false">AU151+AV151</f>
        <v>0</v>
      </c>
      <c r="AX151" s="55" t="n">
        <f aca="false">ROUND(MAX(0,AX150+AY150-BB150),2)</f>
        <v>0</v>
      </c>
      <c r="AY151" s="55" t="n">
        <f aca="false">ROUND(AX151*$E$14/12,2)</f>
        <v>0</v>
      </c>
      <c r="AZ151" s="55" t="n">
        <f aca="false">MIN($F$14,AX151+AY151)</f>
        <v>0</v>
      </c>
      <c r="BA151" s="55" t="n">
        <f aca="false">MAX(0,MIN(AX151+AY151-AZ151,$D151-(H151+M151+R151+W151+AB151+AG151+AL151+AQ151+AV151)))</f>
        <v>0</v>
      </c>
      <c r="BB151" s="55" t="n">
        <f aca="false">AZ151+BA151</f>
        <v>0</v>
      </c>
      <c r="BC151" s="55" t="n">
        <f aca="false">I151+N151+S151+X151+AC151+AH151+AM151+AR151+AW151+BB151</f>
        <v>0</v>
      </c>
      <c r="BD151" s="55" t="n">
        <f aca="false">ROUND((E151+F151-I151)+(J151+K151-N151)+(O151+P151-S151)+(T151+U151-X151)+(Y151+Z151-AC151)+(AD151+AE151-AH151)+(AI151+AJ151-AM151)+(AN151+AO151-AR151)+(AS151+AT151-AW151)+(AX151+AY151-BB151),2)</f>
        <v>0</v>
      </c>
      <c r="BE151" s="25" t="str">
        <f aca="false">IF(H151&gt;0.005,$C$5,IF(M151&gt;0.005,$C$6,IF(R151&gt;0.005,$C$7,IF(W151&gt;0.005,$C$8,IF(AB151&gt;0.005,$C$9,IF(AG151&gt;0.005,$C$10,IF(AL151&gt;0.005,$C$11,IF(AQ151&gt;0.005,$C$12,IF(AV151&gt;0.005,$C$13,IF(BA151&gt;0.005,$C$14,""))))))))))</f>
        <v/>
      </c>
    </row>
    <row r="152" customFormat="false" ht="15" hidden="false" customHeight="false" outlineLevel="0" collapsed="false">
      <c r="A152" s="24" t="n">
        <v>129</v>
      </c>
      <c r="B152" s="54" t="n">
        <f aca="false">EDATE($C$17,A152-1)</f>
        <v>50222</v>
      </c>
      <c r="C152" s="55" t="n">
        <f aca="false">G152+L152+Q152+V152+AA152+AF152+AK152+AP152+AU152+AZ152</f>
        <v>0</v>
      </c>
      <c r="D152" s="55" t="n">
        <f aca="false">MAX(0,$C$16-C152)</f>
        <v>5822</v>
      </c>
      <c r="E152" s="55" t="n">
        <f aca="false">ROUND(MAX(0,E151+F151-I151),2)</f>
        <v>0</v>
      </c>
      <c r="F152" s="55" t="n">
        <f aca="false">ROUND(E152*$E$5/12,2)</f>
        <v>0</v>
      </c>
      <c r="G152" s="55" t="n">
        <f aca="false">MIN($F$5,E152+F152)</f>
        <v>0</v>
      </c>
      <c r="H152" s="55" t="n">
        <f aca="false">MAX(0,MIN(E152+F152-G152,$D152))</f>
        <v>0</v>
      </c>
      <c r="I152" s="55" t="n">
        <f aca="false">G152+H152</f>
        <v>0</v>
      </c>
      <c r="J152" s="55" t="n">
        <f aca="false">ROUND(MAX(0,J151+K151-N151),2)</f>
        <v>0</v>
      </c>
      <c r="K152" s="55" t="n">
        <f aca="false">ROUND(J152*$E$6/12,2)</f>
        <v>0</v>
      </c>
      <c r="L152" s="55" t="n">
        <f aca="false">MIN($F$6,J152+K152)</f>
        <v>0</v>
      </c>
      <c r="M152" s="55" t="n">
        <f aca="false">MAX(0,MIN(J152+K152-L152,$D152-(H152)))</f>
        <v>0</v>
      </c>
      <c r="N152" s="55" t="n">
        <f aca="false">L152+M152</f>
        <v>0</v>
      </c>
      <c r="O152" s="55" t="n">
        <f aca="false">ROUND(MAX(0,O151+P151-S151),2)</f>
        <v>0</v>
      </c>
      <c r="P152" s="55" t="n">
        <f aca="false">ROUND(O152*$E$7/12,2)</f>
        <v>0</v>
      </c>
      <c r="Q152" s="55" t="n">
        <f aca="false">MIN($F$7,O152+P152)</f>
        <v>0</v>
      </c>
      <c r="R152" s="55" t="n">
        <f aca="false">MAX(0,MIN(O152+P152-Q152,$D152-(H152+M152)))</f>
        <v>0</v>
      </c>
      <c r="S152" s="55" t="n">
        <f aca="false">Q152+R152</f>
        <v>0</v>
      </c>
      <c r="T152" s="55" t="n">
        <f aca="false">ROUND(MAX(0,T151+U151-X151),2)</f>
        <v>0</v>
      </c>
      <c r="U152" s="55" t="n">
        <f aca="false">ROUND(T152*$E$8/12,2)</f>
        <v>0</v>
      </c>
      <c r="V152" s="55" t="n">
        <f aca="false">MIN($F$8,T152+U152)</f>
        <v>0</v>
      </c>
      <c r="W152" s="55" t="n">
        <f aca="false">MAX(0,MIN(T152+U152-V152,$D152-(H152+M152+R152)))</f>
        <v>0</v>
      </c>
      <c r="X152" s="55" t="n">
        <f aca="false">V152+W152</f>
        <v>0</v>
      </c>
      <c r="Y152" s="55" t="n">
        <f aca="false">ROUND(MAX(0,Y151+Z151-AC151),2)</f>
        <v>0</v>
      </c>
      <c r="Z152" s="55" t="n">
        <f aca="false">ROUND(Y152*$E$9/12,2)</f>
        <v>0</v>
      </c>
      <c r="AA152" s="55" t="n">
        <f aca="false">MIN($F$9,Y152+Z152)</f>
        <v>0</v>
      </c>
      <c r="AB152" s="55" t="n">
        <f aca="false">MAX(0,MIN(Y152+Z152-AA152,$D152-(H152+M152+R152+W152)))</f>
        <v>0</v>
      </c>
      <c r="AC152" s="55" t="n">
        <f aca="false">AA152+AB152</f>
        <v>0</v>
      </c>
      <c r="AD152" s="55" t="n">
        <f aca="false">ROUND(MAX(0,AD151+AE151-AH151),2)</f>
        <v>0</v>
      </c>
      <c r="AE152" s="55" t="n">
        <f aca="false">ROUND(AD152*$E$10/12,2)</f>
        <v>0</v>
      </c>
      <c r="AF152" s="55" t="n">
        <f aca="false">MIN($F$10,AD152+AE152)</f>
        <v>0</v>
      </c>
      <c r="AG152" s="55" t="n">
        <f aca="false">MAX(0,MIN(AD152+AE152-AF152,$D152-(H152+M152+R152+W152+AB152)))</f>
        <v>0</v>
      </c>
      <c r="AH152" s="55" t="n">
        <f aca="false">AF152+AG152</f>
        <v>0</v>
      </c>
      <c r="AI152" s="55" t="n">
        <f aca="false">ROUND(MAX(0,AI151+AJ151-AM151),2)</f>
        <v>0</v>
      </c>
      <c r="AJ152" s="55" t="n">
        <f aca="false">ROUND(AI152*$E$11/12,2)</f>
        <v>0</v>
      </c>
      <c r="AK152" s="55" t="n">
        <f aca="false">MIN($F$11,AI152+AJ152)</f>
        <v>0</v>
      </c>
      <c r="AL152" s="55" t="n">
        <f aca="false">MAX(0,MIN(AI152+AJ152-AK152,$D152-(H152+M152+R152+W152+AB152+AG152)))</f>
        <v>0</v>
      </c>
      <c r="AM152" s="55" t="n">
        <f aca="false">AK152+AL152</f>
        <v>0</v>
      </c>
      <c r="AN152" s="55" t="n">
        <f aca="false">ROUND(MAX(0,AN151+AO151-AR151),2)</f>
        <v>0</v>
      </c>
      <c r="AO152" s="55" t="n">
        <f aca="false">ROUND(AN152*$E$12/12,2)</f>
        <v>0</v>
      </c>
      <c r="AP152" s="55" t="n">
        <f aca="false">MIN($F$12,AN152+AO152)</f>
        <v>0</v>
      </c>
      <c r="AQ152" s="55" t="n">
        <f aca="false">MAX(0,MIN(AN152+AO152-AP152,$D152-(H152+M152+R152+W152+AB152+AG152+AL152)))</f>
        <v>0</v>
      </c>
      <c r="AR152" s="55" t="n">
        <f aca="false">AP152+AQ152</f>
        <v>0</v>
      </c>
      <c r="AS152" s="55" t="n">
        <f aca="false">ROUND(MAX(0,AS151+AT151-AW151),2)</f>
        <v>0</v>
      </c>
      <c r="AT152" s="55" t="n">
        <f aca="false">ROUND(AS152*$E$13/12,2)</f>
        <v>0</v>
      </c>
      <c r="AU152" s="55" t="n">
        <f aca="false">MIN($F$13,AS152+AT152)</f>
        <v>0</v>
      </c>
      <c r="AV152" s="55" t="n">
        <f aca="false">MAX(0,MIN(AS152+AT152-AU152,$D152-(H152+M152+R152+W152+AB152+AG152+AL152+AQ152)))</f>
        <v>0</v>
      </c>
      <c r="AW152" s="55" t="n">
        <f aca="false">AU152+AV152</f>
        <v>0</v>
      </c>
      <c r="AX152" s="55" t="n">
        <f aca="false">ROUND(MAX(0,AX151+AY151-BB151),2)</f>
        <v>0</v>
      </c>
      <c r="AY152" s="55" t="n">
        <f aca="false">ROUND(AX152*$E$14/12,2)</f>
        <v>0</v>
      </c>
      <c r="AZ152" s="55" t="n">
        <f aca="false">MIN($F$14,AX152+AY152)</f>
        <v>0</v>
      </c>
      <c r="BA152" s="55" t="n">
        <f aca="false">MAX(0,MIN(AX152+AY152-AZ152,$D152-(H152+M152+R152+W152+AB152+AG152+AL152+AQ152+AV152)))</f>
        <v>0</v>
      </c>
      <c r="BB152" s="55" t="n">
        <f aca="false">AZ152+BA152</f>
        <v>0</v>
      </c>
      <c r="BC152" s="55" t="n">
        <f aca="false">I152+N152+S152+X152+AC152+AH152+AM152+AR152+AW152+BB152</f>
        <v>0</v>
      </c>
      <c r="BD152" s="55" t="n">
        <f aca="false">ROUND((E152+F152-I152)+(J152+K152-N152)+(O152+P152-S152)+(T152+U152-X152)+(Y152+Z152-AC152)+(AD152+AE152-AH152)+(AI152+AJ152-AM152)+(AN152+AO152-AR152)+(AS152+AT152-AW152)+(AX152+AY152-BB152),2)</f>
        <v>0</v>
      </c>
      <c r="BE152" s="25" t="str">
        <f aca="false">IF(H152&gt;0.005,$C$5,IF(M152&gt;0.005,$C$6,IF(R152&gt;0.005,$C$7,IF(W152&gt;0.005,$C$8,IF(AB152&gt;0.005,$C$9,IF(AG152&gt;0.005,$C$10,IF(AL152&gt;0.005,$C$11,IF(AQ152&gt;0.005,$C$12,IF(AV152&gt;0.005,$C$13,IF(BA152&gt;0.005,$C$14,""))))))))))</f>
        <v/>
      </c>
    </row>
    <row r="153" customFormat="false" ht="15" hidden="false" customHeight="false" outlineLevel="0" collapsed="false">
      <c r="A153" s="24" t="n">
        <v>130</v>
      </c>
      <c r="B153" s="54" t="n">
        <f aca="false">EDATE($C$17,A153-1)</f>
        <v>50253</v>
      </c>
      <c r="C153" s="55" t="n">
        <f aca="false">G153+L153+Q153+V153+AA153+AF153+AK153+AP153+AU153+AZ153</f>
        <v>0</v>
      </c>
      <c r="D153" s="55" t="n">
        <f aca="false">MAX(0,$C$16-C153)</f>
        <v>5822</v>
      </c>
      <c r="E153" s="55" t="n">
        <f aca="false">ROUND(MAX(0,E152+F152-I152),2)</f>
        <v>0</v>
      </c>
      <c r="F153" s="55" t="n">
        <f aca="false">ROUND(E153*$E$5/12,2)</f>
        <v>0</v>
      </c>
      <c r="G153" s="55" t="n">
        <f aca="false">MIN($F$5,E153+F153)</f>
        <v>0</v>
      </c>
      <c r="H153" s="55" t="n">
        <f aca="false">MAX(0,MIN(E153+F153-G153,$D153))</f>
        <v>0</v>
      </c>
      <c r="I153" s="55" t="n">
        <f aca="false">G153+H153</f>
        <v>0</v>
      </c>
      <c r="J153" s="55" t="n">
        <f aca="false">ROUND(MAX(0,J152+K152-N152),2)</f>
        <v>0</v>
      </c>
      <c r="K153" s="55" t="n">
        <f aca="false">ROUND(J153*$E$6/12,2)</f>
        <v>0</v>
      </c>
      <c r="L153" s="55" t="n">
        <f aca="false">MIN($F$6,J153+K153)</f>
        <v>0</v>
      </c>
      <c r="M153" s="55" t="n">
        <f aca="false">MAX(0,MIN(J153+K153-L153,$D153-(H153)))</f>
        <v>0</v>
      </c>
      <c r="N153" s="55" t="n">
        <f aca="false">L153+M153</f>
        <v>0</v>
      </c>
      <c r="O153" s="55" t="n">
        <f aca="false">ROUND(MAX(0,O152+P152-S152),2)</f>
        <v>0</v>
      </c>
      <c r="P153" s="55" t="n">
        <f aca="false">ROUND(O153*$E$7/12,2)</f>
        <v>0</v>
      </c>
      <c r="Q153" s="55" t="n">
        <f aca="false">MIN($F$7,O153+P153)</f>
        <v>0</v>
      </c>
      <c r="R153" s="55" t="n">
        <f aca="false">MAX(0,MIN(O153+P153-Q153,$D153-(H153+M153)))</f>
        <v>0</v>
      </c>
      <c r="S153" s="55" t="n">
        <f aca="false">Q153+R153</f>
        <v>0</v>
      </c>
      <c r="T153" s="55" t="n">
        <f aca="false">ROUND(MAX(0,T152+U152-X152),2)</f>
        <v>0</v>
      </c>
      <c r="U153" s="55" t="n">
        <f aca="false">ROUND(T153*$E$8/12,2)</f>
        <v>0</v>
      </c>
      <c r="V153" s="55" t="n">
        <f aca="false">MIN($F$8,T153+U153)</f>
        <v>0</v>
      </c>
      <c r="W153" s="55" t="n">
        <f aca="false">MAX(0,MIN(T153+U153-V153,$D153-(H153+M153+R153)))</f>
        <v>0</v>
      </c>
      <c r="X153" s="55" t="n">
        <f aca="false">V153+W153</f>
        <v>0</v>
      </c>
      <c r="Y153" s="55" t="n">
        <f aca="false">ROUND(MAX(0,Y152+Z152-AC152),2)</f>
        <v>0</v>
      </c>
      <c r="Z153" s="55" t="n">
        <f aca="false">ROUND(Y153*$E$9/12,2)</f>
        <v>0</v>
      </c>
      <c r="AA153" s="55" t="n">
        <f aca="false">MIN($F$9,Y153+Z153)</f>
        <v>0</v>
      </c>
      <c r="AB153" s="55" t="n">
        <f aca="false">MAX(0,MIN(Y153+Z153-AA153,$D153-(H153+M153+R153+W153)))</f>
        <v>0</v>
      </c>
      <c r="AC153" s="55" t="n">
        <f aca="false">AA153+AB153</f>
        <v>0</v>
      </c>
      <c r="AD153" s="55" t="n">
        <f aca="false">ROUND(MAX(0,AD152+AE152-AH152),2)</f>
        <v>0</v>
      </c>
      <c r="AE153" s="55" t="n">
        <f aca="false">ROUND(AD153*$E$10/12,2)</f>
        <v>0</v>
      </c>
      <c r="AF153" s="55" t="n">
        <f aca="false">MIN($F$10,AD153+AE153)</f>
        <v>0</v>
      </c>
      <c r="AG153" s="55" t="n">
        <f aca="false">MAX(0,MIN(AD153+AE153-AF153,$D153-(H153+M153+R153+W153+AB153)))</f>
        <v>0</v>
      </c>
      <c r="AH153" s="55" t="n">
        <f aca="false">AF153+AG153</f>
        <v>0</v>
      </c>
      <c r="AI153" s="55" t="n">
        <f aca="false">ROUND(MAX(0,AI152+AJ152-AM152),2)</f>
        <v>0</v>
      </c>
      <c r="AJ153" s="55" t="n">
        <f aca="false">ROUND(AI153*$E$11/12,2)</f>
        <v>0</v>
      </c>
      <c r="AK153" s="55" t="n">
        <f aca="false">MIN($F$11,AI153+AJ153)</f>
        <v>0</v>
      </c>
      <c r="AL153" s="55" t="n">
        <f aca="false">MAX(0,MIN(AI153+AJ153-AK153,$D153-(H153+M153+R153+W153+AB153+AG153)))</f>
        <v>0</v>
      </c>
      <c r="AM153" s="55" t="n">
        <f aca="false">AK153+AL153</f>
        <v>0</v>
      </c>
      <c r="AN153" s="55" t="n">
        <f aca="false">ROUND(MAX(0,AN152+AO152-AR152),2)</f>
        <v>0</v>
      </c>
      <c r="AO153" s="55" t="n">
        <f aca="false">ROUND(AN153*$E$12/12,2)</f>
        <v>0</v>
      </c>
      <c r="AP153" s="55" t="n">
        <f aca="false">MIN($F$12,AN153+AO153)</f>
        <v>0</v>
      </c>
      <c r="AQ153" s="55" t="n">
        <f aca="false">MAX(0,MIN(AN153+AO153-AP153,$D153-(H153+M153+R153+W153+AB153+AG153+AL153)))</f>
        <v>0</v>
      </c>
      <c r="AR153" s="55" t="n">
        <f aca="false">AP153+AQ153</f>
        <v>0</v>
      </c>
      <c r="AS153" s="55" t="n">
        <f aca="false">ROUND(MAX(0,AS152+AT152-AW152),2)</f>
        <v>0</v>
      </c>
      <c r="AT153" s="55" t="n">
        <f aca="false">ROUND(AS153*$E$13/12,2)</f>
        <v>0</v>
      </c>
      <c r="AU153" s="55" t="n">
        <f aca="false">MIN($F$13,AS153+AT153)</f>
        <v>0</v>
      </c>
      <c r="AV153" s="55" t="n">
        <f aca="false">MAX(0,MIN(AS153+AT153-AU153,$D153-(H153+M153+R153+W153+AB153+AG153+AL153+AQ153)))</f>
        <v>0</v>
      </c>
      <c r="AW153" s="55" t="n">
        <f aca="false">AU153+AV153</f>
        <v>0</v>
      </c>
      <c r="AX153" s="55" t="n">
        <f aca="false">ROUND(MAX(0,AX152+AY152-BB152),2)</f>
        <v>0</v>
      </c>
      <c r="AY153" s="55" t="n">
        <f aca="false">ROUND(AX153*$E$14/12,2)</f>
        <v>0</v>
      </c>
      <c r="AZ153" s="55" t="n">
        <f aca="false">MIN($F$14,AX153+AY153)</f>
        <v>0</v>
      </c>
      <c r="BA153" s="55" t="n">
        <f aca="false">MAX(0,MIN(AX153+AY153-AZ153,$D153-(H153+M153+R153+W153+AB153+AG153+AL153+AQ153+AV153)))</f>
        <v>0</v>
      </c>
      <c r="BB153" s="55" t="n">
        <f aca="false">AZ153+BA153</f>
        <v>0</v>
      </c>
      <c r="BC153" s="55" t="n">
        <f aca="false">I153+N153+S153+X153+AC153+AH153+AM153+AR153+AW153+BB153</f>
        <v>0</v>
      </c>
      <c r="BD153" s="55" t="n">
        <f aca="false">ROUND((E153+F153-I153)+(J153+K153-N153)+(O153+P153-S153)+(T153+U153-X153)+(Y153+Z153-AC153)+(AD153+AE153-AH153)+(AI153+AJ153-AM153)+(AN153+AO153-AR153)+(AS153+AT153-AW153)+(AX153+AY153-BB153),2)</f>
        <v>0</v>
      </c>
      <c r="BE153" s="25" t="str">
        <f aca="false">IF(H153&gt;0.005,$C$5,IF(M153&gt;0.005,$C$6,IF(R153&gt;0.005,$C$7,IF(W153&gt;0.005,$C$8,IF(AB153&gt;0.005,$C$9,IF(AG153&gt;0.005,$C$10,IF(AL153&gt;0.005,$C$11,IF(AQ153&gt;0.005,$C$12,IF(AV153&gt;0.005,$C$13,IF(BA153&gt;0.005,$C$14,""))))))))))</f>
        <v/>
      </c>
    </row>
    <row r="154" customFormat="false" ht="15" hidden="false" customHeight="false" outlineLevel="0" collapsed="false">
      <c r="A154" s="24" t="n">
        <v>131</v>
      </c>
      <c r="B154" s="54" t="n">
        <f aca="false">EDATE($C$17,A154-1)</f>
        <v>50284</v>
      </c>
      <c r="C154" s="55" t="n">
        <f aca="false">G154+L154+Q154+V154+AA154+AF154+AK154+AP154+AU154+AZ154</f>
        <v>0</v>
      </c>
      <c r="D154" s="55" t="n">
        <f aca="false">MAX(0,$C$16-C154)</f>
        <v>5822</v>
      </c>
      <c r="E154" s="55" t="n">
        <f aca="false">ROUND(MAX(0,E153+F153-I153),2)</f>
        <v>0</v>
      </c>
      <c r="F154" s="55" t="n">
        <f aca="false">ROUND(E154*$E$5/12,2)</f>
        <v>0</v>
      </c>
      <c r="G154" s="55" t="n">
        <f aca="false">MIN($F$5,E154+F154)</f>
        <v>0</v>
      </c>
      <c r="H154" s="55" t="n">
        <f aca="false">MAX(0,MIN(E154+F154-G154,$D154))</f>
        <v>0</v>
      </c>
      <c r="I154" s="55" t="n">
        <f aca="false">G154+H154</f>
        <v>0</v>
      </c>
      <c r="J154" s="55" t="n">
        <f aca="false">ROUND(MAX(0,J153+K153-N153),2)</f>
        <v>0</v>
      </c>
      <c r="K154" s="55" t="n">
        <f aca="false">ROUND(J154*$E$6/12,2)</f>
        <v>0</v>
      </c>
      <c r="L154" s="55" t="n">
        <f aca="false">MIN($F$6,J154+K154)</f>
        <v>0</v>
      </c>
      <c r="M154" s="55" t="n">
        <f aca="false">MAX(0,MIN(J154+K154-L154,$D154-(H154)))</f>
        <v>0</v>
      </c>
      <c r="N154" s="55" t="n">
        <f aca="false">L154+M154</f>
        <v>0</v>
      </c>
      <c r="O154" s="55" t="n">
        <f aca="false">ROUND(MAX(0,O153+P153-S153),2)</f>
        <v>0</v>
      </c>
      <c r="P154" s="55" t="n">
        <f aca="false">ROUND(O154*$E$7/12,2)</f>
        <v>0</v>
      </c>
      <c r="Q154" s="55" t="n">
        <f aca="false">MIN($F$7,O154+P154)</f>
        <v>0</v>
      </c>
      <c r="R154" s="55" t="n">
        <f aca="false">MAX(0,MIN(O154+P154-Q154,$D154-(H154+M154)))</f>
        <v>0</v>
      </c>
      <c r="S154" s="55" t="n">
        <f aca="false">Q154+R154</f>
        <v>0</v>
      </c>
      <c r="T154" s="55" t="n">
        <f aca="false">ROUND(MAX(0,T153+U153-X153),2)</f>
        <v>0</v>
      </c>
      <c r="U154" s="55" t="n">
        <f aca="false">ROUND(T154*$E$8/12,2)</f>
        <v>0</v>
      </c>
      <c r="V154" s="55" t="n">
        <f aca="false">MIN($F$8,T154+U154)</f>
        <v>0</v>
      </c>
      <c r="W154" s="55" t="n">
        <f aca="false">MAX(0,MIN(T154+U154-V154,$D154-(H154+M154+R154)))</f>
        <v>0</v>
      </c>
      <c r="X154" s="55" t="n">
        <f aca="false">V154+W154</f>
        <v>0</v>
      </c>
      <c r="Y154" s="55" t="n">
        <f aca="false">ROUND(MAX(0,Y153+Z153-AC153),2)</f>
        <v>0</v>
      </c>
      <c r="Z154" s="55" t="n">
        <f aca="false">ROUND(Y154*$E$9/12,2)</f>
        <v>0</v>
      </c>
      <c r="AA154" s="55" t="n">
        <f aca="false">MIN($F$9,Y154+Z154)</f>
        <v>0</v>
      </c>
      <c r="AB154" s="55" t="n">
        <f aca="false">MAX(0,MIN(Y154+Z154-AA154,$D154-(H154+M154+R154+W154)))</f>
        <v>0</v>
      </c>
      <c r="AC154" s="55" t="n">
        <f aca="false">AA154+AB154</f>
        <v>0</v>
      </c>
      <c r="AD154" s="55" t="n">
        <f aca="false">ROUND(MAX(0,AD153+AE153-AH153),2)</f>
        <v>0</v>
      </c>
      <c r="AE154" s="55" t="n">
        <f aca="false">ROUND(AD154*$E$10/12,2)</f>
        <v>0</v>
      </c>
      <c r="AF154" s="55" t="n">
        <f aca="false">MIN($F$10,AD154+AE154)</f>
        <v>0</v>
      </c>
      <c r="AG154" s="55" t="n">
        <f aca="false">MAX(0,MIN(AD154+AE154-AF154,$D154-(H154+M154+R154+W154+AB154)))</f>
        <v>0</v>
      </c>
      <c r="AH154" s="55" t="n">
        <f aca="false">AF154+AG154</f>
        <v>0</v>
      </c>
      <c r="AI154" s="55" t="n">
        <f aca="false">ROUND(MAX(0,AI153+AJ153-AM153),2)</f>
        <v>0</v>
      </c>
      <c r="AJ154" s="55" t="n">
        <f aca="false">ROUND(AI154*$E$11/12,2)</f>
        <v>0</v>
      </c>
      <c r="AK154" s="55" t="n">
        <f aca="false">MIN($F$11,AI154+AJ154)</f>
        <v>0</v>
      </c>
      <c r="AL154" s="55" t="n">
        <f aca="false">MAX(0,MIN(AI154+AJ154-AK154,$D154-(H154+M154+R154+W154+AB154+AG154)))</f>
        <v>0</v>
      </c>
      <c r="AM154" s="55" t="n">
        <f aca="false">AK154+AL154</f>
        <v>0</v>
      </c>
      <c r="AN154" s="55" t="n">
        <f aca="false">ROUND(MAX(0,AN153+AO153-AR153),2)</f>
        <v>0</v>
      </c>
      <c r="AO154" s="55" t="n">
        <f aca="false">ROUND(AN154*$E$12/12,2)</f>
        <v>0</v>
      </c>
      <c r="AP154" s="55" t="n">
        <f aca="false">MIN($F$12,AN154+AO154)</f>
        <v>0</v>
      </c>
      <c r="AQ154" s="55" t="n">
        <f aca="false">MAX(0,MIN(AN154+AO154-AP154,$D154-(H154+M154+R154+W154+AB154+AG154+AL154)))</f>
        <v>0</v>
      </c>
      <c r="AR154" s="55" t="n">
        <f aca="false">AP154+AQ154</f>
        <v>0</v>
      </c>
      <c r="AS154" s="55" t="n">
        <f aca="false">ROUND(MAX(0,AS153+AT153-AW153),2)</f>
        <v>0</v>
      </c>
      <c r="AT154" s="55" t="n">
        <f aca="false">ROUND(AS154*$E$13/12,2)</f>
        <v>0</v>
      </c>
      <c r="AU154" s="55" t="n">
        <f aca="false">MIN($F$13,AS154+AT154)</f>
        <v>0</v>
      </c>
      <c r="AV154" s="55" t="n">
        <f aca="false">MAX(0,MIN(AS154+AT154-AU154,$D154-(H154+M154+R154+W154+AB154+AG154+AL154+AQ154)))</f>
        <v>0</v>
      </c>
      <c r="AW154" s="55" t="n">
        <f aca="false">AU154+AV154</f>
        <v>0</v>
      </c>
      <c r="AX154" s="55" t="n">
        <f aca="false">ROUND(MAX(0,AX153+AY153-BB153),2)</f>
        <v>0</v>
      </c>
      <c r="AY154" s="55" t="n">
        <f aca="false">ROUND(AX154*$E$14/12,2)</f>
        <v>0</v>
      </c>
      <c r="AZ154" s="55" t="n">
        <f aca="false">MIN($F$14,AX154+AY154)</f>
        <v>0</v>
      </c>
      <c r="BA154" s="55" t="n">
        <f aca="false">MAX(0,MIN(AX154+AY154-AZ154,$D154-(H154+M154+R154+W154+AB154+AG154+AL154+AQ154+AV154)))</f>
        <v>0</v>
      </c>
      <c r="BB154" s="55" t="n">
        <f aca="false">AZ154+BA154</f>
        <v>0</v>
      </c>
      <c r="BC154" s="55" t="n">
        <f aca="false">I154+N154+S154+X154+AC154+AH154+AM154+AR154+AW154+BB154</f>
        <v>0</v>
      </c>
      <c r="BD154" s="55" t="n">
        <f aca="false">ROUND((E154+F154-I154)+(J154+K154-N154)+(O154+P154-S154)+(T154+U154-X154)+(Y154+Z154-AC154)+(AD154+AE154-AH154)+(AI154+AJ154-AM154)+(AN154+AO154-AR154)+(AS154+AT154-AW154)+(AX154+AY154-BB154),2)</f>
        <v>0</v>
      </c>
      <c r="BE154" s="25" t="str">
        <f aca="false">IF(H154&gt;0.005,$C$5,IF(M154&gt;0.005,$C$6,IF(R154&gt;0.005,$C$7,IF(W154&gt;0.005,$C$8,IF(AB154&gt;0.005,$C$9,IF(AG154&gt;0.005,$C$10,IF(AL154&gt;0.005,$C$11,IF(AQ154&gt;0.005,$C$12,IF(AV154&gt;0.005,$C$13,IF(BA154&gt;0.005,$C$14,""))))))))))</f>
        <v/>
      </c>
    </row>
    <row r="155" customFormat="false" ht="15" hidden="false" customHeight="false" outlineLevel="0" collapsed="false">
      <c r="A155" s="24" t="n">
        <v>132</v>
      </c>
      <c r="B155" s="54" t="n">
        <f aca="false">EDATE($C$17,A155-1)</f>
        <v>50314</v>
      </c>
      <c r="C155" s="55" t="n">
        <f aca="false">G155+L155+Q155+V155+AA155+AF155+AK155+AP155+AU155+AZ155</f>
        <v>0</v>
      </c>
      <c r="D155" s="55" t="n">
        <f aca="false">MAX(0,$C$16-C155)</f>
        <v>5822</v>
      </c>
      <c r="E155" s="55" t="n">
        <f aca="false">ROUND(MAX(0,E154+F154-I154),2)</f>
        <v>0</v>
      </c>
      <c r="F155" s="55" t="n">
        <f aca="false">ROUND(E155*$E$5/12,2)</f>
        <v>0</v>
      </c>
      <c r="G155" s="55" t="n">
        <f aca="false">MIN($F$5,E155+F155)</f>
        <v>0</v>
      </c>
      <c r="H155" s="55" t="n">
        <f aca="false">MAX(0,MIN(E155+F155-G155,$D155))</f>
        <v>0</v>
      </c>
      <c r="I155" s="55" t="n">
        <f aca="false">G155+H155</f>
        <v>0</v>
      </c>
      <c r="J155" s="55" t="n">
        <f aca="false">ROUND(MAX(0,J154+K154-N154),2)</f>
        <v>0</v>
      </c>
      <c r="K155" s="55" t="n">
        <f aca="false">ROUND(J155*$E$6/12,2)</f>
        <v>0</v>
      </c>
      <c r="L155" s="55" t="n">
        <f aca="false">MIN($F$6,J155+K155)</f>
        <v>0</v>
      </c>
      <c r="M155" s="55" t="n">
        <f aca="false">MAX(0,MIN(J155+K155-L155,$D155-(H155)))</f>
        <v>0</v>
      </c>
      <c r="N155" s="55" t="n">
        <f aca="false">L155+M155</f>
        <v>0</v>
      </c>
      <c r="O155" s="55" t="n">
        <f aca="false">ROUND(MAX(0,O154+P154-S154),2)</f>
        <v>0</v>
      </c>
      <c r="P155" s="55" t="n">
        <f aca="false">ROUND(O155*$E$7/12,2)</f>
        <v>0</v>
      </c>
      <c r="Q155" s="55" t="n">
        <f aca="false">MIN($F$7,O155+P155)</f>
        <v>0</v>
      </c>
      <c r="R155" s="55" t="n">
        <f aca="false">MAX(0,MIN(O155+P155-Q155,$D155-(H155+M155)))</f>
        <v>0</v>
      </c>
      <c r="S155" s="55" t="n">
        <f aca="false">Q155+R155</f>
        <v>0</v>
      </c>
      <c r="T155" s="55" t="n">
        <f aca="false">ROUND(MAX(0,T154+U154-X154),2)</f>
        <v>0</v>
      </c>
      <c r="U155" s="55" t="n">
        <f aca="false">ROUND(T155*$E$8/12,2)</f>
        <v>0</v>
      </c>
      <c r="V155" s="55" t="n">
        <f aca="false">MIN($F$8,T155+U155)</f>
        <v>0</v>
      </c>
      <c r="W155" s="55" t="n">
        <f aca="false">MAX(0,MIN(T155+U155-V155,$D155-(H155+M155+R155)))</f>
        <v>0</v>
      </c>
      <c r="X155" s="55" t="n">
        <f aca="false">V155+W155</f>
        <v>0</v>
      </c>
      <c r="Y155" s="55" t="n">
        <f aca="false">ROUND(MAX(0,Y154+Z154-AC154),2)</f>
        <v>0</v>
      </c>
      <c r="Z155" s="55" t="n">
        <f aca="false">ROUND(Y155*$E$9/12,2)</f>
        <v>0</v>
      </c>
      <c r="AA155" s="55" t="n">
        <f aca="false">MIN($F$9,Y155+Z155)</f>
        <v>0</v>
      </c>
      <c r="AB155" s="55" t="n">
        <f aca="false">MAX(0,MIN(Y155+Z155-AA155,$D155-(H155+M155+R155+W155)))</f>
        <v>0</v>
      </c>
      <c r="AC155" s="55" t="n">
        <f aca="false">AA155+AB155</f>
        <v>0</v>
      </c>
      <c r="AD155" s="55" t="n">
        <f aca="false">ROUND(MAX(0,AD154+AE154-AH154),2)</f>
        <v>0</v>
      </c>
      <c r="AE155" s="55" t="n">
        <f aca="false">ROUND(AD155*$E$10/12,2)</f>
        <v>0</v>
      </c>
      <c r="AF155" s="55" t="n">
        <f aca="false">MIN($F$10,AD155+AE155)</f>
        <v>0</v>
      </c>
      <c r="AG155" s="55" t="n">
        <f aca="false">MAX(0,MIN(AD155+AE155-AF155,$D155-(H155+M155+R155+W155+AB155)))</f>
        <v>0</v>
      </c>
      <c r="AH155" s="55" t="n">
        <f aca="false">AF155+AG155</f>
        <v>0</v>
      </c>
      <c r="AI155" s="55" t="n">
        <f aca="false">ROUND(MAX(0,AI154+AJ154-AM154),2)</f>
        <v>0</v>
      </c>
      <c r="AJ155" s="55" t="n">
        <f aca="false">ROUND(AI155*$E$11/12,2)</f>
        <v>0</v>
      </c>
      <c r="AK155" s="55" t="n">
        <f aca="false">MIN($F$11,AI155+AJ155)</f>
        <v>0</v>
      </c>
      <c r="AL155" s="55" t="n">
        <f aca="false">MAX(0,MIN(AI155+AJ155-AK155,$D155-(H155+M155+R155+W155+AB155+AG155)))</f>
        <v>0</v>
      </c>
      <c r="AM155" s="55" t="n">
        <f aca="false">AK155+AL155</f>
        <v>0</v>
      </c>
      <c r="AN155" s="55" t="n">
        <f aca="false">ROUND(MAX(0,AN154+AO154-AR154),2)</f>
        <v>0</v>
      </c>
      <c r="AO155" s="55" t="n">
        <f aca="false">ROUND(AN155*$E$12/12,2)</f>
        <v>0</v>
      </c>
      <c r="AP155" s="55" t="n">
        <f aca="false">MIN($F$12,AN155+AO155)</f>
        <v>0</v>
      </c>
      <c r="AQ155" s="55" t="n">
        <f aca="false">MAX(0,MIN(AN155+AO155-AP155,$D155-(H155+M155+R155+W155+AB155+AG155+AL155)))</f>
        <v>0</v>
      </c>
      <c r="AR155" s="55" t="n">
        <f aca="false">AP155+AQ155</f>
        <v>0</v>
      </c>
      <c r="AS155" s="55" t="n">
        <f aca="false">ROUND(MAX(0,AS154+AT154-AW154),2)</f>
        <v>0</v>
      </c>
      <c r="AT155" s="55" t="n">
        <f aca="false">ROUND(AS155*$E$13/12,2)</f>
        <v>0</v>
      </c>
      <c r="AU155" s="55" t="n">
        <f aca="false">MIN($F$13,AS155+AT155)</f>
        <v>0</v>
      </c>
      <c r="AV155" s="55" t="n">
        <f aca="false">MAX(0,MIN(AS155+AT155-AU155,$D155-(H155+M155+R155+W155+AB155+AG155+AL155+AQ155)))</f>
        <v>0</v>
      </c>
      <c r="AW155" s="55" t="n">
        <f aca="false">AU155+AV155</f>
        <v>0</v>
      </c>
      <c r="AX155" s="55" t="n">
        <f aca="false">ROUND(MAX(0,AX154+AY154-BB154),2)</f>
        <v>0</v>
      </c>
      <c r="AY155" s="55" t="n">
        <f aca="false">ROUND(AX155*$E$14/12,2)</f>
        <v>0</v>
      </c>
      <c r="AZ155" s="55" t="n">
        <f aca="false">MIN($F$14,AX155+AY155)</f>
        <v>0</v>
      </c>
      <c r="BA155" s="55" t="n">
        <f aca="false">MAX(0,MIN(AX155+AY155-AZ155,$D155-(H155+M155+R155+W155+AB155+AG155+AL155+AQ155+AV155)))</f>
        <v>0</v>
      </c>
      <c r="BB155" s="55" t="n">
        <f aca="false">AZ155+BA155</f>
        <v>0</v>
      </c>
      <c r="BC155" s="55" t="n">
        <f aca="false">I155+N155+S155+X155+AC155+AH155+AM155+AR155+AW155+BB155</f>
        <v>0</v>
      </c>
      <c r="BD155" s="55" t="n">
        <f aca="false">ROUND((E155+F155-I155)+(J155+K155-N155)+(O155+P155-S155)+(T155+U155-X155)+(Y155+Z155-AC155)+(AD155+AE155-AH155)+(AI155+AJ155-AM155)+(AN155+AO155-AR155)+(AS155+AT155-AW155)+(AX155+AY155-BB155),2)</f>
        <v>0</v>
      </c>
      <c r="BE155" s="25" t="str">
        <f aca="false">IF(H155&gt;0.005,$C$5,IF(M155&gt;0.005,$C$6,IF(R155&gt;0.005,$C$7,IF(W155&gt;0.005,$C$8,IF(AB155&gt;0.005,$C$9,IF(AG155&gt;0.005,$C$10,IF(AL155&gt;0.005,$C$11,IF(AQ155&gt;0.005,$C$12,IF(AV155&gt;0.005,$C$13,IF(BA155&gt;0.005,$C$14,""))))))))))</f>
        <v/>
      </c>
    </row>
    <row r="156" customFormat="false" ht="15" hidden="false" customHeight="false" outlineLevel="0" collapsed="false">
      <c r="A156" s="24" t="n">
        <v>133</v>
      </c>
      <c r="B156" s="54" t="n">
        <f aca="false">EDATE($C$17,A156-1)</f>
        <v>50345</v>
      </c>
      <c r="C156" s="55" t="n">
        <f aca="false">G156+L156+Q156+V156+AA156+AF156+AK156+AP156+AU156+AZ156</f>
        <v>0</v>
      </c>
      <c r="D156" s="55" t="n">
        <f aca="false">MAX(0,$C$16-C156)</f>
        <v>5822</v>
      </c>
      <c r="E156" s="55" t="n">
        <f aca="false">ROUND(MAX(0,E155+F155-I155),2)</f>
        <v>0</v>
      </c>
      <c r="F156" s="55" t="n">
        <f aca="false">ROUND(E156*$E$5/12,2)</f>
        <v>0</v>
      </c>
      <c r="G156" s="55" t="n">
        <f aca="false">MIN($F$5,E156+F156)</f>
        <v>0</v>
      </c>
      <c r="H156" s="55" t="n">
        <f aca="false">MAX(0,MIN(E156+F156-G156,$D156))</f>
        <v>0</v>
      </c>
      <c r="I156" s="55" t="n">
        <f aca="false">G156+H156</f>
        <v>0</v>
      </c>
      <c r="J156" s="55" t="n">
        <f aca="false">ROUND(MAX(0,J155+K155-N155),2)</f>
        <v>0</v>
      </c>
      <c r="K156" s="55" t="n">
        <f aca="false">ROUND(J156*$E$6/12,2)</f>
        <v>0</v>
      </c>
      <c r="L156" s="55" t="n">
        <f aca="false">MIN($F$6,J156+K156)</f>
        <v>0</v>
      </c>
      <c r="M156" s="55" t="n">
        <f aca="false">MAX(0,MIN(J156+K156-L156,$D156-(H156)))</f>
        <v>0</v>
      </c>
      <c r="N156" s="55" t="n">
        <f aca="false">L156+M156</f>
        <v>0</v>
      </c>
      <c r="O156" s="55" t="n">
        <f aca="false">ROUND(MAX(0,O155+P155-S155),2)</f>
        <v>0</v>
      </c>
      <c r="P156" s="55" t="n">
        <f aca="false">ROUND(O156*$E$7/12,2)</f>
        <v>0</v>
      </c>
      <c r="Q156" s="55" t="n">
        <f aca="false">MIN($F$7,O156+P156)</f>
        <v>0</v>
      </c>
      <c r="R156" s="55" t="n">
        <f aca="false">MAX(0,MIN(O156+P156-Q156,$D156-(H156+M156)))</f>
        <v>0</v>
      </c>
      <c r="S156" s="55" t="n">
        <f aca="false">Q156+R156</f>
        <v>0</v>
      </c>
      <c r="T156" s="55" t="n">
        <f aca="false">ROUND(MAX(0,T155+U155-X155),2)</f>
        <v>0</v>
      </c>
      <c r="U156" s="55" t="n">
        <f aca="false">ROUND(T156*$E$8/12,2)</f>
        <v>0</v>
      </c>
      <c r="V156" s="55" t="n">
        <f aca="false">MIN($F$8,T156+U156)</f>
        <v>0</v>
      </c>
      <c r="W156" s="55" t="n">
        <f aca="false">MAX(0,MIN(T156+U156-V156,$D156-(H156+M156+R156)))</f>
        <v>0</v>
      </c>
      <c r="X156" s="55" t="n">
        <f aca="false">V156+W156</f>
        <v>0</v>
      </c>
      <c r="Y156" s="55" t="n">
        <f aca="false">ROUND(MAX(0,Y155+Z155-AC155),2)</f>
        <v>0</v>
      </c>
      <c r="Z156" s="55" t="n">
        <f aca="false">ROUND(Y156*$E$9/12,2)</f>
        <v>0</v>
      </c>
      <c r="AA156" s="55" t="n">
        <f aca="false">MIN($F$9,Y156+Z156)</f>
        <v>0</v>
      </c>
      <c r="AB156" s="55" t="n">
        <f aca="false">MAX(0,MIN(Y156+Z156-AA156,$D156-(H156+M156+R156+W156)))</f>
        <v>0</v>
      </c>
      <c r="AC156" s="55" t="n">
        <f aca="false">AA156+AB156</f>
        <v>0</v>
      </c>
      <c r="AD156" s="55" t="n">
        <f aca="false">ROUND(MAX(0,AD155+AE155-AH155),2)</f>
        <v>0</v>
      </c>
      <c r="AE156" s="55" t="n">
        <f aca="false">ROUND(AD156*$E$10/12,2)</f>
        <v>0</v>
      </c>
      <c r="AF156" s="55" t="n">
        <f aca="false">MIN($F$10,AD156+AE156)</f>
        <v>0</v>
      </c>
      <c r="AG156" s="55" t="n">
        <f aca="false">MAX(0,MIN(AD156+AE156-AF156,$D156-(H156+M156+R156+W156+AB156)))</f>
        <v>0</v>
      </c>
      <c r="AH156" s="55" t="n">
        <f aca="false">AF156+AG156</f>
        <v>0</v>
      </c>
      <c r="AI156" s="55" t="n">
        <f aca="false">ROUND(MAX(0,AI155+AJ155-AM155),2)</f>
        <v>0</v>
      </c>
      <c r="AJ156" s="55" t="n">
        <f aca="false">ROUND(AI156*$E$11/12,2)</f>
        <v>0</v>
      </c>
      <c r="AK156" s="55" t="n">
        <f aca="false">MIN($F$11,AI156+AJ156)</f>
        <v>0</v>
      </c>
      <c r="AL156" s="55" t="n">
        <f aca="false">MAX(0,MIN(AI156+AJ156-AK156,$D156-(H156+M156+R156+W156+AB156+AG156)))</f>
        <v>0</v>
      </c>
      <c r="AM156" s="55" t="n">
        <f aca="false">AK156+AL156</f>
        <v>0</v>
      </c>
      <c r="AN156" s="55" t="n">
        <f aca="false">ROUND(MAX(0,AN155+AO155-AR155),2)</f>
        <v>0</v>
      </c>
      <c r="AO156" s="55" t="n">
        <f aca="false">ROUND(AN156*$E$12/12,2)</f>
        <v>0</v>
      </c>
      <c r="AP156" s="55" t="n">
        <f aca="false">MIN($F$12,AN156+AO156)</f>
        <v>0</v>
      </c>
      <c r="AQ156" s="55" t="n">
        <f aca="false">MAX(0,MIN(AN156+AO156-AP156,$D156-(H156+M156+R156+W156+AB156+AG156+AL156)))</f>
        <v>0</v>
      </c>
      <c r="AR156" s="55" t="n">
        <f aca="false">AP156+AQ156</f>
        <v>0</v>
      </c>
      <c r="AS156" s="55" t="n">
        <f aca="false">ROUND(MAX(0,AS155+AT155-AW155),2)</f>
        <v>0</v>
      </c>
      <c r="AT156" s="55" t="n">
        <f aca="false">ROUND(AS156*$E$13/12,2)</f>
        <v>0</v>
      </c>
      <c r="AU156" s="55" t="n">
        <f aca="false">MIN($F$13,AS156+AT156)</f>
        <v>0</v>
      </c>
      <c r="AV156" s="55" t="n">
        <f aca="false">MAX(0,MIN(AS156+AT156-AU156,$D156-(H156+M156+R156+W156+AB156+AG156+AL156+AQ156)))</f>
        <v>0</v>
      </c>
      <c r="AW156" s="55" t="n">
        <f aca="false">AU156+AV156</f>
        <v>0</v>
      </c>
      <c r="AX156" s="55" t="n">
        <f aca="false">ROUND(MAX(0,AX155+AY155-BB155),2)</f>
        <v>0</v>
      </c>
      <c r="AY156" s="55" t="n">
        <f aca="false">ROUND(AX156*$E$14/12,2)</f>
        <v>0</v>
      </c>
      <c r="AZ156" s="55" t="n">
        <f aca="false">MIN($F$14,AX156+AY156)</f>
        <v>0</v>
      </c>
      <c r="BA156" s="55" t="n">
        <f aca="false">MAX(0,MIN(AX156+AY156-AZ156,$D156-(H156+M156+R156+W156+AB156+AG156+AL156+AQ156+AV156)))</f>
        <v>0</v>
      </c>
      <c r="BB156" s="55" t="n">
        <f aca="false">AZ156+BA156</f>
        <v>0</v>
      </c>
      <c r="BC156" s="55" t="n">
        <f aca="false">I156+N156+S156+X156+AC156+AH156+AM156+AR156+AW156+BB156</f>
        <v>0</v>
      </c>
      <c r="BD156" s="55" t="n">
        <f aca="false">ROUND((E156+F156-I156)+(J156+K156-N156)+(O156+P156-S156)+(T156+U156-X156)+(Y156+Z156-AC156)+(AD156+AE156-AH156)+(AI156+AJ156-AM156)+(AN156+AO156-AR156)+(AS156+AT156-AW156)+(AX156+AY156-BB156),2)</f>
        <v>0</v>
      </c>
      <c r="BE156" s="25" t="str">
        <f aca="false">IF(H156&gt;0.005,$C$5,IF(M156&gt;0.005,$C$6,IF(R156&gt;0.005,$C$7,IF(W156&gt;0.005,$C$8,IF(AB156&gt;0.005,$C$9,IF(AG156&gt;0.005,$C$10,IF(AL156&gt;0.005,$C$11,IF(AQ156&gt;0.005,$C$12,IF(AV156&gt;0.005,$C$13,IF(BA156&gt;0.005,$C$14,""))))))))))</f>
        <v/>
      </c>
    </row>
    <row r="157" customFormat="false" ht="15" hidden="false" customHeight="false" outlineLevel="0" collapsed="false">
      <c r="A157" s="24" t="n">
        <v>134</v>
      </c>
      <c r="B157" s="54" t="n">
        <f aca="false">EDATE($C$17,A157-1)</f>
        <v>50375</v>
      </c>
      <c r="C157" s="55" t="n">
        <f aca="false">G157+L157+Q157+V157+AA157+AF157+AK157+AP157+AU157+AZ157</f>
        <v>0</v>
      </c>
      <c r="D157" s="55" t="n">
        <f aca="false">MAX(0,$C$16-C157)</f>
        <v>5822</v>
      </c>
      <c r="E157" s="55" t="n">
        <f aca="false">ROUND(MAX(0,E156+F156-I156),2)</f>
        <v>0</v>
      </c>
      <c r="F157" s="55" t="n">
        <f aca="false">ROUND(E157*$E$5/12,2)</f>
        <v>0</v>
      </c>
      <c r="G157" s="55" t="n">
        <f aca="false">MIN($F$5,E157+F157)</f>
        <v>0</v>
      </c>
      <c r="H157" s="55" t="n">
        <f aca="false">MAX(0,MIN(E157+F157-G157,$D157))</f>
        <v>0</v>
      </c>
      <c r="I157" s="55" t="n">
        <f aca="false">G157+H157</f>
        <v>0</v>
      </c>
      <c r="J157" s="55" t="n">
        <f aca="false">ROUND(MAX(0,J156+K156-N156),2)</f>
        <v>0</v>
      </c>
      <c r="K157" s="55" t="n">
        <f aca="false">ROUND(J157*$E$6/12,2)</f>
        <v>0</v>
      </c>
      <c r="L157" s="55" t="n">
        <f aca="false">MIN($F$6,J157+K157)</f>
        <v>0</v>
      </c>
      <c r="M157" s="55" t="n">
        <f aca="false">MAX(0,MIN(J157+K157-L157,$D157-(H157)))</f>
        <v>0</v>
      </c>
      <c r="N157" s="55" t="n">
        <f aca="false">L157+M157</f>
        <v>0</v>
      </c>
      <c r="O157" s="55" t="n">
        <f aca="false">ROUND(MAX(0,O156+P156-S156),2)</f>
        <v>0</v>
      </c>
      <c r="P157" s="55" t="n">
        <f aca="false">ROUND(O157*$E$7/12,2)</f>
        <v>0</v>
      </c>
      <c r="Q157" s="55" t="n">
        <f aca="false">MIN($F$7,O157+P157)</f>
        <v>0</v>
      </c>
      <c r="R157" s="55" t="n">
        <f aca="false">MAX(0,MIN(O157+P157-Q157,$D157-(H157+M157)))</f>
        <v>0</v>
      </c>
      <c r="S157" s="55" t="n">
        <f aca="false">Q157+R157</f>
        <v>0</v>
      </c>
      <c r="T157" s="55" t="n">
        <f aca="false">ROUND(MAX(0,T156+U156-X156),2)</f>
        <v>0</v>
      </c>
      <c r="U157" s="55" t="n">
        <f aca="false">ROUND(T157*$E$8/12,2)</f>
        <v>0</v>
      </c>
      <c r="V157" s="55" t="n">
        <f aca="false">MIN($F$8,T157+U157)</f>
        <v>0</v>
      </c>
      <c r="W157" s="55" t="n">
        <f aca="false">MAX(0,MIN(T157+U157-V157,$D157-(H157+M157+R157)))</f>
        <v>0</v>
      </c>
      <c r="X157" s="55" t="n">
        <f aca="false">V157+W157</f>
        <v>0</v>
      </c>
      <c r="Y157" s="55" t="n">
        <f aca="false">ROUND(MAX(0,Y156+Z156-AC156),2)</f>
        <v>0</v>
      </c>
      <c r="Z157" s="55" t="n">
        <f aca="false">ROUND(Y157*$E$9/12,2)</f>
        <v>0</v>
      </c>
      <c r="AA157" s="55" t="n">
        <f aca="false">MIN($F$9,Y157+Z157)</f>
        <v>0</v>
      </c>
      <c r="AB157" s="55" t="n">
        <f aca="false">MAX(0,MIN(Y157+Z157-AA157,$D157-(H157+M157+R157+W157)))</f>
        <v>0</v>
      </c>
      <c r="AC157" s="55" t="n">
        <f aca="false">AA157+AB157</f>
        <v>0</v>
      </c>
      <c r="AD157" s="55" t="n">
        <f aca="false">ROUND(MAX(0,AD156+AE156-AH156),2)</f>
        <v>0</v>
      </c>
      <c r="AE157" s="55" t="n">
        <f aca="false">ROUND(AD157*$E$10/12,2)</f>
        <v>0</v>
      </c>
      <c r="AF157" s="55" t="n">
        <f aca="false">MIN($F$10,AD157+AE157)</f>
        <v>0</v>
      </c>
      <c r="AG157" s="55" t="n">
        <f aca="false">MAX(0,MIN(AD157+AE157-AF157,$D157-(H157+M157+R157+W157+AB157)))</f>
        <v>0</v>
      </c>
      <c r="AH157" s="55" t="n">
        <f aca="false">AF157+AG157</f>
        <v>0</v>
      </c>
      <c r="AI157" s="55" t="n">
        <f aca="false">ROUND(MAX(0,AI156+AJ156-AM156),2)</f>
        <v>0</v>
      </c>
      <c r="AJ157" s="55" t="n">
        <f aca="false">ROUND(AI157*$E$11/12,2)</f>
        <v>0</v>
      </c>
      <c r="AK157" s="55" t="n">
        <f aca="false">MIN($F$11,AI157+AJ157)</f>
        <v>0</v>
      </c>
      <c r="AL157" s="55" t="n">
        <f aca="false">MAX(0,MIN(AI157+AJ157-AK157,$D157-(H157+M157+R157+W157+AB157+AG157)))</f>
        <v>0</v>
      </c>
      <c r="AM157" s="55" t="n">
        <f aca="false">AK157+AL157</f>
        <v>0</v>
      </c>
      <c r="AN157" s="55" t="n">
        <f aca="false">ROUND(MAX(0,AN156+AO156-AR156),2)</f>
        <v>0</v>
      </c>
      <c r="AO157" s="55" t="n">
        <f aca="false">ROUND(AN157*$E$12/12,2)</f>
        <v>0</v>
      </c>
      <c r="AP157" s="55" t="n">
        <f aca="false">MIN($F$12,AN157+AO157)</f>
        <v>0</v>
      </c>
      <c r="AQ157" s="55" t="n">
        <f aca="false">MAX(0,MIN(AN157+AO157-AP157,$D157-(H157+M157+R157+W157+AB157+AG157+AL157)))</f>
        <v>0</v>
      </c>
      <c r="AR157" s="55" t="n">
        <f aca="false">AP157+AQ157</f>
        <v>0</v>
      </c>
      <c r="AS157" s="55" t="n">
        <f aca="false">ROUND(MAX(0,AS156+AT156-AW156),2)</f>
        <v>0</v>
      </c>
      <c r="AT157" s="55" t="n">
        <f aca="false">ROUND(AS157*$E$13/12,2)</f>
        <v>0</v>
      </c>
      <c r="AU157" s="55" t="n">
        <f aca="false">MIN($F$13,AS157+AT157)</f>
        <v>0</v>
      </c>
      <c r="AV157" s="55" t="n">
        <f aca="false">MAX(0,MIN(AS157+AT157-AU157,$D157-(H157+M157+R157+W157+AB157+AG157+AL157+AQ157)))</f>
        <v>0</v>
      </c>
      <c r="AW157" s="55" t="n">
        <f aca="false">AU157+AV157</f>
        <v>0</v>
      </c>
      <c r="AX157" s="55" t="n">
        <f aca="false">ROUND(MAX(0,AX156+AY156-BB156),2)</f>
        <v>0</v>
      </c>
      <c r="AY157" s="55" t="n">
        <f aca="false">ROUND(AX157*$E$14/12,2)</f>
        <v>0</v>
      </c>
      <c r="AZ157" s="55" t="n">
        <f aca="false">MIN($F$14,AX157+AY157)</f>
        <v>0</v>
      </c>
      <c r="BA157" s="55" t="n">
        <f aca="false">MAX(0,MIN(AX157+AY157-AZ157,$D157-(H157+M157+R157+W157+AB157+AG157+AL157+AQ157+AV157)))</f>
        <v>0</v>
      </c>
      <c r="BB157" s="55" t="n">
        <f aca="false">AZ157+BA157</f>
        <v>0</v>
      </c>
      <c r="BC157" s="55" t="n">
        <f aca="false">I157+N157+S157+X157+AC157+AH157+AM157+AR157+AW157+BB157</f>
        <v>0</v>
      </c>
      <c r="BD157" s="55" t="n">
        <f aca="false">ROUND((E157+F157-I157)+(J157+K157-N157)+(O157+P157-S157)+(T157+U157-X157)+(Y157+Z157-AC157)+(AD157+AE157-AH157)+(AI157+AJ157-AM157)+(AN157+AO157-AR157)+(AS157+AT157-AW157)+(AX157+AY157-BB157),2)</f>
        <v>0</v>
      </c>
      <c r="BE157" s="25" t="str">
        <f aca="false">IF(H157&gt;0.005,$C$5,IF(M157&gt;0.005,$C$6,IF(R157&gt;0.005,$C$7,IF(W157&gt;0.005,$C$8,IF(AB157&gt;0.005,$C$9,IF(AG157&gt;0.005,$C$10,IF(AL157&gt;0.005,$C$11,IF(AQ157&gt;0.005,$C$12,IF(AV157&gt;0.005,$C$13,IF(BA157&gt;0.005,$C$14,""))))))))))</f>
        <v/>
      </c>
    </row>
    <row r="158" customFormat="false" ht="15" hidden="false" customHeight="false" outlineLevel="0" collapsed="false">
      <c r="A158" s="24" t="n">
        <v>135</v>
      </c>
      <c r="B158" s="54" t="n">
        <f aca="false">EDATE($C$17,A158-1)</f>
        <v>50406</v>
      </c>
      <c r="C158" s="55" t="n">
        <f aca="false">G158+L158+Q158+V158+AA158+AF158+AK158+AP158+AU158+AZ158</f>
        <v>0</v>
      </c>
      <c r="D158" s="55" t="n">
        <f aca="false">MAX(0,$C$16-C158)</f>
        <v>5822</v>
      </c>
      <c r="E158" s="55" t="n">
        <f aca="false">ROUND(MAX(0,E157+F157-I157),2)</f>
        <v>0</v>
      </c>
      <c r="F158" s="55" t="n">
        <f aca="false">ROUND(E158*$E$5/12,2)</f>
        <v>0</v>
      </c>
      <c r="G158" s="55" t="n">
        <f aca="false">MIN($F$5,E158+F158)</f>
        <v>0</v>
      </c>
      <c r="H158" s="55" t="n">
        <f aca="false">MAX(0,MIN(E158+F158-G158,$D158))</f>
        <v>0</v>
      </c>
      <c r="I158" s="55" t="n">
        <f aca="false">G158+H158</f>
        <v>0</v>
      </c>
      <c r="J158" s="55" t="n">
        <f aca="false">ROUND(MAX(0,J157+K157-N157),2)</f>
        <v>0</v>
      </c>
      <c r="K158" s="55" t="n">
        <f aca="false">ROUND(J158*$E$6/12,2)</f>
        <v>0</v>
      </c>
      <c r="L158" s="55" t="n">
        <f aca="false">MIN($F$6,J158+K158)</f>
        <v>0</v>
      </c>
      <c r="M158" s="55" t="n">
        <f aca="false">MAX(0,MIN(J158+K158-L158,$D158-(H158)))</f>
        <v>0</v>
      </c>
      <c r="N158" s="55" t="n">
        <f aca="false">L158+M158</f>
        <v>0</v>
      </c>
      <c r="O158" s="55" t="n">
        <f aca="false">ROUND(MAX(0,O157+P157-S157),2)</f>
        <v>0</v>
      </c>
      <c r="P158" s="55" t="n">
        <f aca="false">ROUND(O158*$E$7/12,2)</f>
        <v>0</v>
      </c>
      <c r="Q158" s="55" t="n">
        <f aca="false">MIN($F$7,O158+P158)</f>
        <v>0</v>
      </c>
      <c r="R158" s="55" t="n">
        <f aca="false">MAX(0,MIN(O158+P158-Q158,$D158-(H158+M158)))</f>
        <v>0</v>
      </c>
      <c r="S158" s="55" t="n">
        <f aca="false">Q158+R158</f>
        <v>0</v>
      </c>
      <c r="T158" s="55" t="n">
        <f aca="false">ROUND(MAX(0,T157+U157-X157),2)</f>
        <v>0</v>
      </c>
      <c r="U158" s="55" t="n">
        <f aca="false">ROUND(T158*$E$8/12,2)</f>
        <v>0</v>
      </c>
      <c r="V158" s="55" t="n">
        <f aca="false">MIN($F$8,T158+U158)</f>
        <v>0</v>
      </c>
      <c r="W158" s="55" t="n">
        <f aca="false">MAX(0,MIN(T158+U158-V158,$D158-(H158+M158+R158)))</f>
        <v>0</v>
      </c>
      <c r="X158" s="55" t="n">
        <f aca="false">V158+W158</f>
        <v>0</v>
      </c>
      <c r="Y158" s="55" t="n">
        <f aca="false">ROUND(MAX(0,Y157+Z157-AC157),2)</f>
        <v>0</v>
      </c>
      <c r="Z158" s="55" t="n">
        <f aca="false">ROUND(Y158*$E$9/12,2)</f>
        <v>0</v>
      </c>
      <c r="AA158" s="55" t="n">
        <f aca="false">MIN($F$9,Y158+Z158)</f>
        <v>0</v>
      </c>
      <c r="AB158" s="55" t="n">
        <f aca="false">MAX(0,MIN(Y158+Z158-AA158,$D158-(H158+M158+R158+W158)))</f>
        <v>0</v>
      </c>
      <c r="AC158" s="55" t="n">
        <f aca="false">AA158+AB158</f>
        <v>0</v>
      </c>
      <c r="AD158" s="55" t="n">
        <f aca="false">ROUND(MAX(0,AD157+AE157-AH157),2)</f>
        <v>0</v>
      </c>
      <c r="AE158" s="55" t="n">
        <f aca="false">ROUND(AD158*$E$10/12,2)</f>
        <v>0</v>
      </c>
      <c r="AF158" s="55" t="n">
        <f aca="false">MIN($F$10,AD158+AE158)</f>
        <v>0</v>
      </c>
      <c r="AG158" s="55" t="n">
        <f aca="false">MAX(0,MIN(AD158+AE158-AF158,$D158-(H158+M158+R158+W158+AB158)))</f>
        <v>0</v>
      </c>
      <c r="AH158" s="55" t="n">
        <f aca="false">AF158+AG158</f>
        <v>0</v>
      </c>
      <c r="AI158" s="55" t="n">
        <f aca="false">ROUND(MAX(0,AI157+AJ157-AM157),2)</f>
        <v>0</v>
      </c>
      <c r="AJ158" s="55" t="n">
        <f aca="false">ROUND(AI158*$E$11/12,2)</f>
        <v>0</v>
      </c>
      <c r="AK158" s="55" t="n">
        <f aca="false">MIN($F$11,AI158+AJ158)</f>
        <v>0</v>
      </c>
      <c r="AL158" s="55" t="n">
        <f aca="false">MAX(0,MIN(AI158+AJ158-AK158,$D158-(H158+M158+R158+W158+AB158+AG158)))</f>
        <v>0</v>
      </c>
      <c r="AM158" s="55" t="n">
        <f aca="false">AK158+AL158</f>
        <v>0</v>
      </c>
      <c r="AN158" s="55" t="n">
        <f aca="false">ROUND(MAX(0,AN157+AO157-AR157),2)</f>
        <v>0</v>
      </c>
      <c r="AO158" s="55" t="n">
        <f aca="false">ROUND(AN158*$E$12/12,2)</f>
        <v>0</v>
      </c>
      <c r="AP158" s="55" t="n">
        <f aca="false">MIN($F$12,AN158+AO158)</f>
        <v>0</v>
      </c>
      <c r="AQ158" s="55" t="n">
        <f aca="false">MAX(0,MIN(AN158+AO158-AP158,$D158-(H158+M158+R158+W158+AB158+AG158+AL158)))</f>
        <v>0</v>
      </c>
      <c r="AR158" s="55" t="n">
        <f aca="false">AP158+AQ158</f>
        <v>0</v>
      </c>
      <c r="AS158" s="55" t="n">
        <f aca="false">ROUND(MAX(0,AS157+AT157-AW157),2)</f>
        <v>0</v>
      </c>
      <c r="AT158" s="55" t="n">
        <f aca="false">ROUND(AS158*$E$13/12,2)</f>
        <v>0</v>
      </c>
      <c r="AU158" s="55" t="n">
        <f aca="false">MIN($F$13,AS158+AT158)</f>
        <v>0</v>
      </c>
      <c r="AV158" s="55" t="n">
        <f aca="false">MAX(0,MIN(AS158+AT158-AU158,$D158-(H158+M158+R158+W158+AB158+AG158+AL158+AQ158)))</f>
        <v>0</v>
      </c>
      <c r="AW158" s="55" t="n">
        <f aca="false">AU158+AV158</f>
        <v>0</v>
      </c>
      <c r="AX158" s="55" t="n">
        <f aca="false">ROUND(MAX(0,AX157+AY157-BB157),2)</f>
        <v>0</v>
      </c>
      <c r="AY158" s="55" t="n">
        <f aca="false">ROUND(AX158*$E$14/12,2)</f>
        <v>0</v>
      </c>
      <c r="AZ158" s="55" t="n">
        <f aca="false">MIN($F$14,AX158+AY158)</f>
        <v>0</v>
      </c>
      <c r="BA158" s="55" t="n">
        <f aca="false">MAX(0,MIN(AX158+AY158-AZ158,$D158-(H158+M158+R158+W158+AB158+AG158+AL158+AQ158+AV158)))</f>
        <v>0</v>
      </c>
      <c r="BB158" s="55" t="n">
        <f aca="false">AZ158+BA158</f>
        <v>0</v>
      </c>
      <c r="BC158" s="55" t="n">
        <f aca="false">I158+N158+S158+X158+AC158+AH158+AM158+AR158+AW158+BB158</f>
        <v>0</v>
      </c>
      <c r="BD158" s="55" t="n">
        <f aca="false">ROUND((E158+F158-I158)+(J158+K158-N158)+(O158+P158-S158)+(T158+U158-X158)+(Y158+Z158-AC158)+(AD158+AE158-AH158)+(AI158+AJ158-AM158)+(AN158+AO158-AR158)+(AS158+AT158-AW158)+(AX158+AY158-BB158),2)</f>
        <v>0</v>
      </c>
      <c r="BE158" s="25" t="str">
        <f aca="false">IF(H158&gt;0.005,$C$5,IF(M158&gt;0.005,$C$6,IF(R158&gt;0.005,$C$7,IF(W158&gt;0.005,$C$8,IF(AB158&gt;0.005,$C$9,IF(AG158&gt;0.005,$C$10,IF(AL158&gt;0.005,$C$11,IF(AQ158&gt;0.005,$C$12,IF(AV158&gt;0.005,$C$13,IF(BA158&gt;0.005,$C$14,""))))))))))</f>
        <v/>
      </c>
    </row>
    <row r="159" customFormat="false" ht="15" hidden="false" customHeight="false" outlineLevel="0" collapsed="false">
      <c r="A159" s="24" t="n">
        <v>136</v>
      </c>
      <c r="B159" s="54" t="n">
        <f aca="false">EDATE($C$17,A159-1)</f>
        <v>50437</v>
      </c>
      <c r="C159" s="55" t="n">
        <f aca="false">G159+L159+Q159+V159+AA159+AF159+AK159+AP159+AU159+AZ159</f>
        <v>0</v>
      </c>
      <c r="D159" s="55" t="n">
        <f aca="false">MAX(0,$C$16-C159)</f>
        <v>5822</v>
      </c>
      <c r="E159" s="55" t="n">
        <f aca="false">ROUND(MAX(0,E158+F158-I158),2)</f>
        <v>0</v>
      </c>
      <c r="F159" s="55" t="n">
        <f aca="false">ROUND(E159*$E$5/12,2)</f>
        <v>0</v>
      </c>
      <c r="G159" s="55" t="n">
        <f aca="false">MIN($F$5,E159+F159)</f>
        <v>0</v>
      </c>
      <c r="H159" s="55" t="n">
        <f aca="false">MAX(0,MIN(E159+F159-G159,$D159))</f>
        <v>0</v>
      </c>
      <c r="I159" s="55" t="n">
        <f aca="false">G159+H159</f>
        <v>0</v>
      </c>
      <c r="J159" s="55" t="n">
        <f aca="false">ROUND(MAX(0,J158+K158-N158),2)</f>
        <v>0</v>
      </c>
      <c r="K159" s="55" t="n">
        <f aca="false">ROUND(J159*$E$6/12,2)</f>
        <v>0</v>
      </c>
      <c r="L159" s="55" t="n">
        <f aca="false">MIN($F$6,J159+K159)</f>
        <v>0</v>
      </c>
      <c r="M159" s="55" t="n">
        <f aca="false">MAX(0,MIN(J159+K159-L159,$D159-(H159)))</f>
        <v>0</v>
      </c>
      <c r="N159" s="55" t="n">
        <f aca="false">L159+M159</f>
        <v>0</v>
      </c>
      <c r="O159" s="55" t="n">
        <f aca="false">ROUND(MAX(0,O158+P158-S158),2)</f>
        <v>0</v>
      </c>
      <c r="P159" s="55" t="n">
        <f aca="false">ROUND(O159*$E$7/12,2)</f>
        <v>0</v>
      </c>
      <c r="Q159" s="55" t="n">
        <f aca="false">MIN($F$7,O159+P159)</f>
        <v>0</v>
      </c>
      <c r="R159" s="55" t="n">
        <f aca="false">MAX(0,MIN(O159+P159-Q159,$D159-(H159+M159)))</f>
        <v>0</v>
      </c>
      <c r="S159" s="55" t="n">
        <f aca="false">Q159+R159</f>
        <v>0</v>
      </c>
      <c r="T159" s="55" t="n">
        <f aca="false">ROUND(MAX(0,T158+U158-X158),2)</f>
        <v>0</v>
      </c>
      <c r="U159" s="55" t="n">
        <f aca="false">ROUND(T159*$E$8/12,2)</f>
        <v>0</v>
      </c>
      <c r="V159" s="55" t="n">
        <f aca="false">MIN($F$8,T159+U159)</f>
        <v>0</v>
      </c>
      <c r="W159" s="55" t="n">
        <f aca="false">MAX(0,MIN(T159+U159-V159,$D159-(H159+M159+R159)))</f>
        <v>0</v>
      </c>
      <c r="X159" s="55" t="n">
        <f aca="false">V159+W159</f>
        <v>0</v>
      </c>
      <c r="Y159" s="55" t="n">
        <f aca="false">ROUND(MAX(0,Y158+Z158-AC158),2)</f>
        <v>0</v>
      </c>
      <c r="Z159" s="55" t="n">
        <f aca="false">ROUND(Y159*$E$9/12,2)</f>
        <v>0</v>
      </c>
      <c r="AA159" s="55" t="n">
        <f aca="false">MIN($F$9,Y159+Z159)</f>
        <v>0</v>
      </c>
      <c r="AB159" s="55" t="n">
        <f aca="false">MAX(0,MIN(Y159+Z159-AA159,$D159-(H159+M159+R159+W159)))</f>
        <v>0</v>
      </c>
      <c r="AC159" s="55" t="n">
        <f aca="false">AA159+AB159</f>
        <v>0</v>
      </c>
      <c r="AD159" s="55" t="n">
        <f aca="false">ROUND(MAX(0,AD158+AE158-AH158),2)</f>
        <v>0</v>
      </c>
      <c r="AE159" s="55" t="n">
        <f aca="false">ROUND(AD159*$E$10/12,2)</f>
        <v>0</v>
      </c>
      <c r="AF159" s="55" t="n">
        <f aca="false">MIN($F$10,AD159+AE159)</f>
        <v>0</v>
      </c>
      <c r="AG159" s="55" t="n">
        <f aca="false">MAX(0,MIN(AD159+AE159-AF159,$D159-(H159+M159+R159+W159+AB159)))</f>
        <v>0</v>
      </c>
      <c r="AH159" s="55" t="n">
        <f aca="false">AF159+AG159</f>
        <v>0</v>
      </c>
      <c r="AI159" s="55" t="n">
        <f aca="false">ROUND(MAX(0,AI158+AJ158-AM158),2)</f>
        <v>0</v>
      </c>
      <c r="AJ159" s="55" t="n">
        <f aca="false">ROUND(AI159*$E$11/12,2)</f>
        <v>0</v>
      </c>
      <c r="AK159" s="55" t="n">
        <f aca="false">MIN($F$11,AI159+AJ159)</f>
        <v>0</v>
      </c>
      <c r="AL159" s="55" t="n">
        <f aca="false">MAX(0,MIN(AI159+AJ159-AK159,$D159-(H159+M159+R159+W159+AB159+AG159)))</f>
        <v>0</v>
      </c>
      <c r="AM159" s="55" t="n">
        <f aca="false">AK159+AL159</f>
        <v>0</v>
      </c>
      <c r="AN159" s="55" t="n">
        <f aca="false">ROUND(MAX(0,AN158+AO158-AR158),2)</f>
        <v>0</v>
      </c>
      <c r="AO159" s="55" t="n">
        <f aca="false">ROUND(AN159*$E$12/12,2)</f>
        <v>0</v>
      </c>
      <c r="AP159" s="55" t="n">
        <f aca="false">MIN($F$12,AN159+AO159)</f>
        <v>0</v>
      </c>
      <c r="AQ159" s="55" t="n">
        <f aca="false">MAX(0,MIN(AN159+AO159-AP159,$D159-(H159+M159+R159+W159+AB159+AG159+AL159)))</f>
        <v>0</v>
      </c>
      <c r="AR159" s="55" t="n">
        <f aca="false">AP159+AQ159</f>
        <v>0</v>
      </c>
      <c r="AS159" s="55" t="n">
        <f aca="false">ROUND(MAX(0,AS158+AT158-AW158),2)</f>
        <v>0</v>
      </c>
      <c r="AT159" s="55" t="n">
        <f aca="false">ROUND(AS159*$E$13/12,2)</f>
        <v>0</v>
      </c>
      <c r="AU159" s="55" t="n">
        <f aca="false">MIN($F$13,AS159+AT159)</f>
        <v>0</v>
      </c>
      <c r="AV159" s="55" t="n">
        <f aca="false">MAX(0,MIN(AS159+AT159-AU159,$D159-(H159+M159+R159+W159+AB159+AG159+AL159+AQ159)))</f>
        <v>0</v>
      </c>
      <c r="AW159" s="55" t="n">
        <f aca="false">AU159+AV159</f>
        <v>0</v>
      </c>
      <c r="AX159" s="55" t="n">
        <f aca="false">ROUND(MAX(0,AX158+AY158-BB158),2)</f>
        <v>0</v>
      </c>
      <c r="AY159" s="55" t="n">
        <f aca="false">ROUND(AX159*$E$14/12,2)</f>
        <v>0</v>
      </c>
      <c r="AZ159" s="55" t="n">
        <f aca="false">MIN($F$14,AX159+AY159)</f>
        <v>0</v>
      </c>
      <c r="BA159" s="55" t="n">
        <f aca="false">MAX(0,MIN(AX159+AY159-AZ159,$D159-(H159+M159+R159+W159+AB159+AG159+AL159+AQ159+AV159)))</f>
        <v>0</v>
      </c>
      <c r="BB159" s="55" t="n">
        <f aca="false">AZ159+BA159</f>
        <v>0</v>
      </c>
      <c r="BC159" s="55" t="n">
        <f aca="false">I159+N159+S159+X159+AC159+AH159+AM159+AR159+AW159+BB159</f>
        <v>0</v>
      </c>
      <c r="BD159" s="55" t="n">
        <f aca="false">ROUND((E159+F159-I159)+(J159+K159-N159)+(O159+P159-S159)+(T159+U159-X159)+(Y159+Z159-AC159)+(AD159+AE159-AH159)+(AI159+AJ159-AM159)+(AN159+AO159-AR159)+(AS159+AT159-AW159)+(AX159+AY159-BB159),2)</f>
        <v>0</v>
      </c>
      <c r="BE159" s="25" t="str">
        <f aca="false">IF(H159&gt;0.005,$C$5,IF(M159&gt;0.005,$C$6,IF(R159&gt;0.005,$C$7,IF(W159&gt;0.005,$C$8,IF(AB159&gt;0.005,$C$9,IF(AG159&gt;0.005,$C$10,IF(AL159&gt;0.005,$C$11,IF(AQ159&gt;0.005,$C$12,IF(AV159&gt;0.005,$C$13,IF(BA159&gt;0.005,$C$14,""))))))))))</f>
        <v/>
      </c>
    </row>
    <row r="160" customFormat="false" ht="15" hidden="false" customHeight="false" outlineLevel="0" collapsed="false">
      <c r="A160" s="24" t="n">
        <v>137</v>
      </c>
      <c r="B160" s="54" t="n">
        <f aca="false">EDATE($C$17,A160-1)</f>
        <v>50465</v>
      </c>
      <c r="C160" s="55" t="n">
        <f aca="false">G160+L160+Q160+V160+AA160+AF160+AK160+AP160+AU160+AZ160</f>
        <v>0</v>
      </c>
      <c r="D160" s="55" t="n">
        <f aca="false">MAX(0,$C$16-C160)</f>
        <v>5822</v>
      </c>
      <c r="E160" s="55" t="n">
        <f aca="false">ROUND(MAX(0,E159+F159-I159),2)</f>
        <v>0</v>
      </c>
      <c r="F160" s="55" t="n">
        <f aca="false">ROUND(E160*$E$5/12,2)</f>
        <v>0</v>
      </c>
      <c r="G160" s="55" t="n">
        <f aca="false">MIN($F$5,E160+F160)</f>
        <v>0</v>
      </c>
      <c r="H160" s="55" t="n">
        <f aca="false">MAX(0,MIN(E160+F160-G160,$D160))</f>
        <v>0</v>
      </c>
      <c r="I160" s="55" t="n">
        <f aca="false">G160+H160</f>
        <v>0</v>
      </c>
      <c r="J160" s="55" t="n">
        <f aca="false">ROUND(MAX(0,J159+K159-N159),2)</f>
        <v>0</v>
      </c>
      <c r="K160" s="55" t="n">
        <f aca="false">ROUND(J160*$E$6/12,2)</f>
        <v>0</v>
      </c>
      <c r="L160" s="55" t="n">
        <f aca="false">MIN($F$6,J160+K160)</f>
        <v>0</v>
      </c>
      <c r="M160" s="55" t="n">
        <f aca="false">MAX(0,MIN(J160+K160-L160,$D160-(H160)))</f>
        <v>0</v>
      </c>
      <c r="N160" s="55" t="n">
        <f aca="false">L160+M160</f>
        <v>0</v>
      </c>
      <c r="O160" s="55" t="n">
        <f aca="false">ROUND(MAX(0,O159+P159-S159),2)</f>
        <v>0</v>
      </c>
      <c r="P160" s="55" t="n">
        <f aca="false">ROUND(O160*$E$7/12,2)</f>
        <v>0</v>
      </c>
      <c r="Q160" s="55" t="n">
        <f aca="false">MIN($F$7,O160+P160)</f>
        <v>0</v>
      </c>
      <c r="R160" s="55" t="n">
        <f aca="false">MAX(0,MIN(O160+P160-Q160,$D160-(H160+M160)))</f>
        <v>0</v>
      </c>
      <c r="S160" s="55" t="n">
        <f aca="false">Q160+R160</f>
        <v>0</v>
      </c>
      <c r="T160" s="55" t="n">
        <f aca="false">ROUND(MAX(0,T159+U159-X159),2)</f>
        <v>0</v>
      </c>
      <c r="U160" s="55" t="n">
        <f aca="false">ROUND(T160*$E$8/12,2)</f>
        <v>0</v>
      </c>
      <c r="V160" s="55" t="n">
        <f aca="false">MIN($F$8,T160+U160)</f>
        <v>0</v>
      </c>
      <c r="W160" s="55" t="n">
        <f aca="false">MAX(0,MIN(T160+U160-V160,$D160-(H160+M160+R160)))</f>
        <v>0</v>
      </c>
      <c r="X160" s="55" t="n">
        <f aca="false">V160+W160</f>
        <v>0</v>
      </c>
      <c r="Y160" s="55" t="n">
        <f aca="false">ROUND(MAX(0,Y159+Z159-AC159),2)</f>
        <v>0</v>
      </c>
      <c r="Z160" s="55" t="n">
        <f aca="false">ROUND(Y160*$E$9/12,2)</f>
        <v>0</v>
      </c>
      <c r="AA160" s="55" t="n">
        <f aca="false">MIN($F$9,Y160+Z160)</f>
        <v>0</v>
      </c>
      <c r="AB160" s="55" t="n">
        <f aca="false">MAX(0,MIN(Y160+Z160-AA160,$D160-(H160+M160+R160+W160)))</f>
        <v>0</v>
      </c>
      <c r="AC160" s="55" t="n">
        <f aca="false">AA160+AB160</f>
        <v>0</v>
      </c>
      <c r="AD160" s="55" t="n">
        <f aca="false">ROUND(MAX(0,AD159+AE159-AH159),2)</f>
        <v>0</v>
      </c>
      <c r="AE160" s="55" t="n">
        <f aca="false">ROUND(AD160*$E$10/12,2)</f>
        <v>0</v>
      </c>
      <c r="AF160" s="55" t="n">
        <f aca="false">MIN($F$10,AD160+AE160)</f>
        <v>0</v>
      </c>
      <c r="AG160" s="55" t="n">
        <f aca="false">MAX(0,MIN(AD160+AE160-AF160,$D160-(H160+M160+R160+W160+AB160)))</f>
        <v>0</v>
      </c>
      <c r="AH160" s="55" t="n">
        <f aca="false">AF160+AG160</f>
        <v>0</v>
      </c>
      <c r="AI160" s="55" t="n">
        <f aca="false">ROUND(MAX(0,AI159+AJ159-AM159),2)</f>
        <v>0</v>
      </c>
      <c r="AJ160" s="55" t="n">
        <f aca="false">ROUND(AI160*$E$11/12,2)</f>
        <v>0</v>
      </c>
      <c r="AK160" s="55" t="n">
        <f aca="false">MIN($F$11,AI160+AJ160)</f>
        <v>0</v>
      </c>
      <c r="AL160" s="55" t="n">
        <f aca="false">MAX(0,MIN(AI160+AJ160-AK160,$D160-(H160+M160+R160+W160+AB160+AG160)))</f>
        <v>0</v>
      </c>
      <c r="AM160" s="55" t="n">
        <f aca="false">AK160+AL160</f>
        <v>0</v>
      </c>
      <c r="AN160" s="55" t="n">
        <f aca="false">ROUND(MAX(0,AN159+AO159-AR159),2)</f>
        <v>0</v>
      </c>
      <c r="AO160" s="55" t="n">
        <f aca="false">ROUND(AN160*$E$12/12,2)</f>
        <v>0</v>
      </c>
      <c r="AP160" s="55" t="n">
        <f aca="false">MIN($F$12,AN160+AO160)</f>
        <v>0</v>
      </c>
      <c r="AQ160" s="55" t="n">
        <f aca="false">MAX(0,MIN(AN160+AO160-AP160,$D160-(H160+M160+R160+W160+AB160+AG160+AL160)))</f>
        <v>0</v>
      </c>
      <c r="AR160" s="55" t="n">
        <f aca="false">AP160+AQ160</f>
        <v>0</v>
      </c>
      <c r="AS160" s="55" t="n">
        <f aca="false">ROUND(MAX(0,AS159+AT159-AW159),2)</f>
        <v>0</v>
      </c>
      <c r="AT160" s="55" t="n">
        <f aca="false">ROUND(AS160*$E$13/12,2)</f>
        <v>0</v>
      </c>
      <c r="AU160" s="55" t="n">
        <f aca="false">MIN($F$13,AS160+AT160)</f>
        <v>0</v>
      </c>
      <c r="AV160" s="55" t="n">
        <f aca="false">MAX(0,MIN(AS160+AT160-AU160,$D160-(H160+M160+R160+W160+AB160+AG160+AL160+AQ160)))</f>
        <v>0</v>
      </c>
      <c r="AW160" s="55" t="n">
        <f aca="false">AU160+AV160</f>
        <v>0</v>
      </c>
      <c r="AX160" s="55" t="n">
        <f aca="false">ROUND(MAX(0,AX159+AY159-BB159),2)</f>
        <v>0</v>
      </c>
      <c r="AY160" s="55" t="n">
        <f aca="false">ROUND(AX160*$E$14/12,2)</f>
        <v>0</v>
      </c>
      <c r="AZ160" s="55" t="n">
        <f aca="false">MIN($F$14,AX160+AY160)</f>
        <v>0</v>
      </c>
      <c r="BA160" s="55" t="n">
        <f aca="false">MAX(0,MIN(AX160+AY160-AZ160,$D160-(H160+M160+R160+W160+AB160+AG160+AL160+AQ160+AV160)))</f>
        <v>0</v>
      </c>
      <c r="BB160" s="55" t="n">
        <f aca="false">AZ160+BA160</f>
        <v>0</v>
      </c>
      <c r="BC160" s="55" t="n">
        <f aca="false">I160+N160+S160+X160+AC160+AH160+AM160+AR160+AW160+BB160</f>
        <v>0</v>
      </c>
      <c r="BD160" s="55" t="n">
        <f aca="false">ROUND((E160+F160-I160)+(J160+K160-N160)+(O160+P160-S160)+(T160+U160-X160)+(Y160+Z160-AC160)+(AD160+AE160-AH160)+(AI160+AJ160-AM160)+(AN160+AO160-AR160)+(AS160+AT160-AW160)+(AX160+AY160-BB160),2)</f>
        <v>0</v>
      </c>
      <c r="BE160" s="25" t="str">
        <f aca="false">IF(H160&gt;0.005,$C$5,IF(M160&gt;0.005,$C$6,IF(R160&gt;0.005,$C$7,IF(W160&gt;0.005,$C$8,IF(AB160&gt;0.005,$C$9,IF(AG160&gt;0.005,$C$10,IF(AL160&gt;0.005,$C$11,IF(AQ160&gt;0.005,$C$12,IF(AV160&gt;0.005,$C$13,IF(BA160&gt;0.005,$C$14,""))))))))))</f>
        <v/>
      </c>
    </row>
    <row r="161" customFormat="false" ht="15" hidden="false" customHeight="false" outlineLevel="0" collapsed="false">
      <c r="A161" s="24" t="n">
        <v>138</v>
      </c>
      <c r="B161" s="54" t="n">
        <f aca="false">EDATE($C$17,A161-1)</f>
        <v>50496</v>
      </c>
      <c r="C161" s="55" t="n">
        <f aca="false">G161+L161+Q161+V161+AA161+AF161+AK161+AP161+AU161+AZ161</f>
        <v>0</v>
      </c>
      <c r="D161" s="55" t="n">
        <f aca="false">MAX(0,$C$16-C161)</f>
        <v>5822</v>
      </c>
      <c r="E161" s="55" t="n">
        <f aca="false">ROUND(MAX(0,E160+F160-I160),2)</f>
        <v>0</v>
      </c>
      <c r="F161" s="55" t="n">
        <f aca="false">ROUND(E161*$E$5/12,2)</f>
        <v>0</v>
      </c>
      <c r="G161" s="55" t="n">
        <f aca="false">MIN($F$5,E161+F161)</f>
        <v>0</v>
      </c>
      <c r="H161" s="55" t="n">
        <f aca="false">MAX(0,MIN(E161+F161-G161,$D161))</f>
        <v>0</v>
      </c>
      <c r="I161" s="55" t="n">
        <f aca="false">G161+H161</f>
        <v>0</v>
      </c>
      <c r="J161" s="55" t="n">
        <f aca="false">ROUND(MAX(0,J160+K160-N160),2)</f>
        <v>0</v>
      </c>
      <c r="K161" s="55" t="n">
        <f aca="false">ROUND(J161*$E$6/12,2)</f>
        <v>0</v>
      </c>
      <c r="L161" s="55" t="n">
        <f aca="false">MIN($F$6,J161+K161)</f>
        <v>0</v>
      </c>
      <c r="M161" s="55" t="n">
        <f aca="false">MAX(0,MIN(J161+K161-L161,$D161-(H161)))</f>
        <v>0</v>
      </c>
      <c r="N161" s="55" t="n">
        <f aca="false">L161+M161</f>
        <v>0</v>
      </c>
      <c r="O161" s="55" t="n">
        <f aca="false">ROUND(MAX(0,O160+P160-S160),2)</f>
        <v>0</v>
      </c>
      <c r="P161" s="55" t="n">
        <f aca="false">ROUND(O161*$E$7/12,2)</f>
        <v>0</v>
      </c>
      <c r="Q161" s="55" t="n">
        <f aca="false">MIN($F$7,O161+P161)</f>
        <v>0</v>
      </c>
      <c r="R161" s="55" t="n">
        <f aca="false">MAX(0,MIN(O161+P161-Q161,$D161-(H161+M161)))</f>
        <v>0</v>
      </c>
      <c r="S161" s="55" t="n">
        <f aca="false">Q161+R161</f>
        <v>0</v>
      </c>
      <c r="T161" s="55" t="n">
        <f aca="false">ROUND(MAX(0,T160+U160-X160),2)</f>
        <v>0</v>
      </c>
      <c r="U161" s="55" t="n">
        <f aca="false">ROUND(T161*$E$8/12,2)</f>
        <v>0</v>
      </c>
      <c r="V161" s="55" t="n">
        <f aca="false">MIN($F$8,T161+U161)</f>
        <v>0</v>
      </c>
      <c r="W161" s="55" t="n">
        <f aca="false">MAX(0,MIN(T161+U161-V161,$D161-(H161+M161+R161)))</f>
        <v>0</v>
      </c>
      <c r="X161" s="55" t="n">
        <f aca="false">V161+W161</f>
        <v>0</v>
      </c>
      <c r="Y161" s="55" t="n">
        <f aca="false">ROUND(MAX(0,Y160+Z160-AC160),2)</f>
        <v>0</v>
      </c>
      <c r="Z161" s="55" t="n">
        <f aca="false">ROUND(Y161*$E$9/12,2)</f>
        <v>0</v>
      </c>
      <c r="AA161" s="55" t="n">
        <f aca="false">MIN($F$9,Y161+Z161)</f>
        <v>0</v>
      </c>
      <c r="AB161" s="55" t="n">
        <f aca="false">MAX(0,MIN(Y161+Z161-AA161,$D161-(H161+M161+R161+W161)))</f>
        <v>0</v>
      </c>
      <c r="AC161" s="55" t="n">
        <f aca="false">AA161+AB161</f>
        <v>0</v>
      </c>
      <c r="AD161" s="55" t="n">
        <f aca="false">ROUND(MAX(0,AD160+AE160-AH160),2)</f>
        <v>0</v>
      </c>
      <c r="AE161" s="55" t="n">
        <f aca="false">ROUND(AD161*$E$10/12,2)</f>
        <v>0</v>
      </c>
      <c r="AF161" s="55" t="n">
        <f aca="false">MIN($F$10,AD161+AE161)</f>
        <v>0</v>
      </c>
      <c r="AG161" s="55" t="n">
        <f aca="false">MAX(0,MIN(AD161+AE161-AF161,$D161-(H161+M161+R161+W161+AB161)))</f>
        <v>0</v>
      </c>
      <c r="AH161" s="55" t="n">
        <f aca="false">AF161+AG161</f>
        <v>0</v>
      </c>
      <c r="AI161" s="55" t="n">
        <f aca="false">ROUND(MAX(0,AI160+AJ160-AM160),2)</f>
        <v>0</v>
      </c>
      <c r="AJ161" s="55" t="n">
        <f aca="false">ROUND(AI161*$E$11/12,2)</f>
        <v>0</v>
      </c>
      <c r="AK161" s="55" t="n">
        <f aca="false">MIN($F$11,AI161+AJ161)</f>
        <v>0</v>
      </c>
      <c r="AL161" s="55" t="n">
        <f aca="false">MAX(0,MIN(AI161+AJ161-AK161,$D161-(H161+M161+R161+W161+AB161+AG161)))</f>
        <v>0</v>
      </c>
      <c r="AM161" s="55" t="n">
        <f aca="false">AK161+AL161</f>
        <v>0</v>
      </c>
      <c r="AN161" s="55" t="n">
        <f aca="false">ROUND(MAX(0,AN160+AO160-AR160),2)</f>
        <v>0</v>
      </c>
      <c r="AO161" s="55" t="n">
        <f aca="false">ROUND(AN161*$E$12/12,2)</f>
        <v>0</v>
      </c>
      <c r="AP161" s="55" t="n">
        <f aca="false">MIN($F$12,AN161+AO161)</f>
        <v>0</v>
      </c>
      <c r="AQ161" s="55" t="n">
        <f aca="false">MAX(0,MIN(AN161+AO161-AP161,$D161-(H161+M161+R161+W161+AB161+AG161+AL161)))</f>
        <v>0</v>
      </c>
      <c r="AR161" s="55" t="n">
        <f aca="false">AP161+AQ161</f>
        <v>0</v>
      </c>
      <c r="AS161" s="55" t="n">
        <f aca="false">ROUND(MAX(0,AS160+AT160-AW160),2)</f>
        <v>0</v>
      </c>
      <c r="AT161" s="55" t="n">
        <f aca="false">ROUND(AS161*$E$13/12,2)</f>
        <v>0</v>
      </c>
      <c r="AU161" s="55" t="n">
        <f aca="false">MIN($F$13,AS161+AT161)</f>
        <v>0</v>
      </c>
      <c r="AV161" s="55" t="n">
        <f aca="false">MAX(0,MIN(AS161+AT161-AU161,$D161-(H161+M161+R161+W161+AB161+AG161+AL161+AQ161)))</f>
        <v>0</v>
      </c>
      <c r="AW161" s="55" t="n">
        <f aca="false">AU161+AV161</f>
        <v>0</v>
      </c>
      <c r="AX161" s="55" t="n">
        <f aca="false">ROUND(MAX(0,AX160+AY160-BB160),2)</f>
        <v>0</v>
      </c>
      <c r="AY161" s="55" t="n">
        <f aca="false">ROUND(AX161*$E$14/12,2)</f>
        <v>0</v>
      </c>
      <c r="AZ161" s="55" t="n">
        <f aca="false">MIN($F$14,AX161+AY161)</f>
        <v>0</v>
      </c>
      <c r="BA161" s="55" t="n">
        <f aca="false">MAX(0,MIN(AX161+AY161-AZ161,$D161-(H161+M161+R161+W161+AB161+AG161+AL161+AQ161+AV161)))</f>
        <v>0</v>
      </c>
      <c r="BB161" s="55" t="n">
        <f aca="false">AZ161+BA161</f>
        <v>0</v>
      </c>
      <c r="BC161" s="55" t="n">
        <f aca="false">I161+N161+S161+X161+AC161+AH161+AM161+AR161+AW161+BB161</f>
        <v>0</v>
      </c>
      <c r="BD161" s="55" t="n">
        <f aca="false">ROUND((E161+F161-I161)+(J161+K161-N161)+(O161+P161-S161)+(T161+U161-X161)+(Y161+Z161-AC161)+(AD161+AE161-AH161)+(AI161+AJ161-AM161)+(AN161+AO161-AR161)+(AS161+AT161-AW161)+(AX161+AY161-BB161),2)</f>
        <v>0</v>
      </c>
      <c r="BE161" s="25" t="str">
        <f aca="false">IF(H161&gt;0.005,$C$5,IF(M161&gt;0.005,$C$6,IF(R161&gt;0.005,$C$7,IF(W161&gt;0.005,$C$8,IF(AB161&gt;0.005,$C$9,IF(AG161&gt;0.005,$C$10,IF(AL161&gt;0.005,$C$11,IF(AQ161&gt;0.005,$C$12,IF(AV161&gt;0.005,$C$13,IF(BA161&gt;0.005,$C$14,""))))))))))</f>
        <v/>
      </c>
    </row>
    <row r="162" customFormat="false" ht="15" hidden="false" customHeight="false" outlineLevel="0" collapsed="false">
      <c r="A162" s="24" t="n">
        <v>139</v>
      </c>
      <c r="B162" s="54" t="n">
        <f aca="false">EDATE($C$17,A162-1)</f>
        <v>50526</v>
      </c>
      <c r="C162" s="55" t="n">
        <f aca="false">G162+L162+Q162+V162+AA162+AF162+AK162+AP162+AU162+AZ162</f>
        <v>0</v>
      </c>
      <c r="D162" s="55" t="n">
        <f aca="false">MAX(0,$C$16-C162)</f>
        <v>5822</v>
      </c>
      <c r="E162" s="55" t="n">
        <f aca="false">ROUND(MAX(0,E161+F161-I161),2)</f>
        <v>0</v>
      </c>
      <c r="F162" s="55" t="n">
        <f aca="false">ROUND(E162*$E$5/12,2)</f>
        <v>0</v>
      </c>
      <c r="G162" s="55" t="n">
        <f aca="false">MIN($F$5,E162+F162)</f>
        <v>0</v>
      </c>
      <c r="H162" s="55" t="n">
        <f aca="false">MAX(0,MIN(E162+F162-G162,$D162))</f>
        <v>0</v>
      </c>
      <c r="I162" s="55" t="n">
        <f aca="false">G162+H162</f>
        <v>0</v>
      </c>
      <c r="J162" s="55" t="n">
        <f aca="false">ROUND(MAX(0,J161+K161-N161),2)</f>
        <v>0</v>
      </c>
      <c r="K162" s="55" t="n">
        <f aca="false">ROUND(J162*$E$6/12,2)</f>
        <v>0</v>
      </c>
      <c r="L162" s="55" t="n">
        <f aca="false">MIN($F$6,J162+K162)</f>
        <v>0</v>
      </c>
      <c r="M162" s="55" t="n">
        <f aca="false">MAX(0,MIN(J162+K162-L162,$D162-(H162)))</f>
        <v>0</v>
      </c>
      <c r="N162" s="55" t="n">
        <f aca="false">L162+M162</f>
        <v>0</v>
      </c>
      <c r="O162" s="55" t="n">
        <f aca="false">ROUND(MAX(0,O161+P161-S161),2)</f>
        <v>0</v>
      </c>
      <c r="P162" s="55" t="n">
        <f aca="false">ROUND(O162*$E$7/12,2)</f>
        <v>0</v>
      </c>
      <c r="Q162" s="55" t="n">
        <f aca="false">MIN($F$7,O162+P162)</f>
        <v>0</v>
      </c>
      <c r="R162" s="55" t="n">
        <f aca="false">MAX(0,MIN(O162+P162-Q162,$D162-(H162+M162)))</f>
        <v>0</v>
      </c>
      <c r="S162" s="55" t="n">
        <f aca="false">Q162+R162</f>
        <v>0</v>
      </c>
      <c r="T162" s="55" t="n">
        <f aca="false">ROUND(MAX(0,T161+U161-X161),2)</f>
        <v>0</v>
      </c>
      <c r="U162" s="55" t="n">
        <f aca="false">ROUND(T162*$E$8/12,2)</f>
        <v>0</v>
      </c>
      <c r="V162" s="55" t="n">
        <f aca="false">MIN($F$8,T162+U162)</f>
        <v>0</v>
      </c>
      <c r="W162" s="55" t="n">
        <f aca="false">MAX(0,MIN(T162+U162-V162,$D162-(H162+M162+R162)))</f>
        <v>0</v>
      </c>
      <c r="X162" s="55" t="n">
        <f aca="false">V162+W162</f>
        <v>0</v>
      </c>
      <c r="Y162" s="55" t="n">
        <f aca="false">ROUND(MAX(0,Y161+Z161-AC161),2)</f>
        <v>0</v>
      </c>
      <c r="Z162" s="55" t="n">
        <f aca="false">ROUND(Y162*$E$9/12,2)</f>
        <v>0</v>
      </c>
      <c r="AA162" s="55" t="n">
        <f aca="false">MIN($F$9,Y162+Z162)</f>
        <v>0</v>
      </c>
      <c r="AB162" s="55" t="n">
        <f aca="false">MAX(0,MIN(Y162+Z162-AA162,$D162-(H162+M162+R162+W162)))</f>
        <v>0</v>
      </c>
      <c r="AC162" s="55" t="n">
        <f aca="false">AA162+AB162</f>
        <v>0</v>
      </c>
      <c r="AD162" s="55" t="n">
        <f aca="false">ROUND(MAX(0,AD161+AE161-AH161),2)</f>
        <v>0</v>
      </c>
      <c r="AE162" s="55" t="n">
        <f aca="false">ROUND(AD162*$E$10/12,2)</f>
        <v>0</v>
      </c>
      <c r="AF162" s="55" t="n">
        <f aca="false">MIN($F$10,AD162+AE162)</f>
        <v>0</v>
      </c>
      <c r="AG162" s="55" t="n">
        <f aca="false">MAX(0,MIN(AD162+AE162-AF162,$D162-(H162+M162+R162+W162+AB162)))</f>
        <v>0</v>
      </c>
      <c r="AH162" s="55" t="n">
        <f aca="false">AF162+AG162</f>
        <v>0</v>
      </c>
      <c r="AI162" s="55" t="n">
        <f aca="false">ROUND(MAX(0,AI161+AJ161-AM161),2)</f>
        <v>0</v>
      </c>
      <c r="AJ162" s="55" t="n">
        <f aca="false">ROUND(AI162*$E$11/12,2)</f>
        <v>0</v>
      </c>
      <c r="AK162" s="55" t="n">
        <f aca="false">MIN($F$11,AI162+AJ162)</f>
        <v>0</v>
      </c>
      <c r="AL162" s="55" t="n">
        <f aca="false">MAX(0,MIN(AI162+AJ162-AK162,$D162-(H162+M162+R162+W162+AB162+AG162)))</f>
        <v>0</v>
      </c>
      <c r="AM162" s="55" t="n">
        <f aca="false">AK162+AL162</f>
        <v>0</v>
      </c>
      <c r="AN162" s="55" t="n">
        <f aca="false">ROUND(MAX(0,AN161+AO161-AR161),2)</f>
        <v>0</v>
      </c>
      <c r="AO162" s="55" t="n">
        <f aca="false">ROUND(AN162*$E$12/12,2)</f>
        <v>0</v>
      </c>
      <c r="AP162" s="55" t="n">
        <f aca="false">MIN($F$12,AN162+AO162)</f>
        <v>0</v>
      </c>
      <c r="AQ162" s="55" t="n">
        <f aca="false">MAX(0,MIN(AN162+AO162-AP162,$D162-(H162+M162+R162+W162+AB162+AG162+AL162)))</f>
        <v>0</v>
      </c>
      <c r="AR162" s="55" t="n">
        <f aca="false">AP162+AQ162</f>
        <v>0</v>
      </c>
      <c r="AS162" s="55" t="n">
        <f aca="false">ROUND(MAX(0,AS161+AT161-AW161),2)</f>
        <v>0</v>
      </c>
      <c r="AT162" s="55" t="n">
        <f aca="false">ROUND(AS162*$E$13/12,2)</f>
        <v>0</v>
      </c>
      <c r="AU162" s="55" t="n">
        <f aca="false">MIN($F$13,AS162+AT162)</f>
        <v>0</v>
      </c>
      <c r="AV162" s="55" t="n">
        <f aca="false">MAX(0,MIN(AS162+AT162-AU162,$D162-(H162+M162+R162+W162+AB162+AG162+AL162+AQ162)))</f>
        <v>0</v>
      </c>
      <c r="AW162" s="55" t="n">
        <f aca="false">AU162+AV162</f>
        <v>0</v>
      </c>
      <c r="AX162" s="55" t="n">
        <f aca="false">ROUND(MAX(0,AX161+AY161-BB161),2)</f>
        <v>0</v>
      </c>
      <c r="AY162" s="55" t="n">
        <f aca="false">ROUND(AX162*$E$14/12,2)</f>
        <v>0</v>
      </c>
      <c r="AZ162" s="55" t="n">
        <f aca="false">MIN($F$14,AX162+AY162)</f>
        <v>0</v>
      </c>
      <c r="BA162" s="55" t="n">
        <f aca="false">MAX(0,MIN(AX162+AY162-AZ162,$D162-(H162+M162+R162+W162+AB162+AG162+AL162+AQ162+AV162)))</f>
        <v>0</v>
      </c>
      <c r="BB162" s="55" t="n">
        <f aca="false">AZ162+BA162</f>
        <v>0</v>
      </c>
      <c r="BC162" s="55" t="n">
        <f aca="false">I162+N162+S162+X162+AC162+AH162+AM162+AR162+AW162+BB162</f>
        <v>0</v>
      </c>
      <c r="BD162" s="55" t="n">
        <f aca="false">ROUND((E162+F162-I162)+(J162+K162-N162)+(O162+P162-S162)+(T162+U162-X162)+(Y162+Z162-AC162)+(AD162+AE162-AH162)+(AI162+AJ162-AM162)+(AN162+AO162-AR162)+(AS162+AT162-AW162)+(AX162+AY162-BB162),2)</f>
        <v>0</v>
      </c>
      <c r="BE162" s="25" t="str">
        <f aca="false">IF(H162&gt;0.005,$C$5,IF(M162&gt;0.005,$C$6,IF(R162&gt;0.005,$C$7,IF(W162&gt;0.005,$C$8,IF(AB162&gt;0.005,$C$9,IF(AG162&gt;0.005,$C$10,IF(AL162&gt;0.005,$C$11,IF(AQ162&gt;0.005,$C$12,IF(AV162&gt;0.005,$C$13,IF(BA162&gt;0.005,$C$14,""))))))))))</f>
        <v/>
      </c>
    </row>
    <row r="163" customFormat="false" ht="15" hidden="false" customHeight="false" outlineLevel="0" collapsed="false">
      <c r="A163" s="24" t="n">
        <v>140</v>
      </c>
      <c r="B163" s="54" t="n">
        <f aca="false">EDATE($C$17,A163-1)</f>
        <v>50557</v>
      </c>
      <c r="C163" s="55" t="n">
        <f aca="false">G163+L163+Q163+V163+AA163+AF163+AK163+AP163+AU163+AZ163</f>
        <v>0</v>
      </c>
      <c r="D163" s="55" t="n">
        <f aca="false">MAX(0,$C$16-C163)</f>
        <v>5822</v>
      </c>
      <c r="E163" s="55" t="n">
        <f aca="false">ROUND(MAX(0,E162+F162-I162),2)</f>
        <v>0</v>
      </c>
      <c r="F163" s="55" t="n">
        <f aca="false">ROUND(E163*$E$5/12,2)</f>
        <v>0</v>
      </c>
      <c r="G163" s="55" t="n">
        <f aca="false">MIN($F$5,E163+F163)</f>
        <v>0</v>
      </c>
      <c r="H163" s="55" t="n">
        <f aca="false">MAX(0,MIN(E163+F163-G163,$D163))</f>
        <v>0</v>
      </c>
      <c r="I163" s="55" t="n">
        <f aca="false">G163+H163</f>
        <v>0</v>
      </c>
      <c r="J163" s="55" t="n">
        <f aca="false">ROUND(MAX(0,J162+K162-N162),2)</f>
        <v>0</v>
      </c>
      <c r="K163" s="55" t="n">
        <f aca="false">ROUND(J163*$E$6/12,2)</f>
        <v>0</v>
      </c>
      <c r="L163" s="55" t="n">
        <f aca="false">MIN($F$6,J163+K163)</f>
        <v>0</v>
      </c>
      <c r="M163" s="55" t="n">
        <f aca="false">MAX(0,MIN(J163+K163-L163,$D163-(H163)))</f>
        <v>0</v>
      </c>
      <c r="N163" s="55" t="n">
        <f aca="false">L163+M163</f>
        <v>0</v>
      </c>
      <c r="O163" s="55" t="n">
        <f aca="false">ROUND(MAX(0,O162+P162-S162),2)</f>
        <v>0</v>
      </c>
      <c r="P163" s="55" t="n">
        <f aca="false">ROUND(O163*$E$7/12,2)</f>
        <v>0</v>
      </c>
      <c r="Q163" s="55" t="n">
        <f aca="false">MIN($F$7,O163+P163)</f>
        <v>0</v>
      </c>
      <c r="R163" s="55" t="n">
        <f aca="false">MAX(0,MIN(O163+P163-Q163,$D163-(H163+M163)))</f>
        <v>0</v>
      </c>
      <c r="S163" s="55" t="n">
        <f aca="false">Q163+R163</f>
        <v>0</v>
      </c>
      <c r="T163" s="55" t="n">
        <f aca="false">ROUND(MAX(0,T162+U162-X162),2)</f>
        <v>0</v>
      </c>
      <c r="U163" s="55" t="n">
        <f aca="false">ROUND(T163*$E$8/12,2)</f>
        <v>0</v>
      </c>
      <c r="V163" s="55" t="n">
        <f aca="false">MIN($F$8,T163+U163)</f>
        <v>0</v>
      </c>
      <c r="W163" s="55" t="n">
        <f aca="false">MAX(0,MIN(T163+U163-V163,$D163-(H163+M163+R163)))</f>
        <v>0</v>
      </c>
      <c r="X163" s="55" t="n">
        <f aca="false">V163+W163</f>
        <v>0</v>
      </c>
      <c r="Y163" s="55" t="n">
        <f aca="false">ROUND(MAX(0,Y162+Z162-AC162),2)</f>
        <v>0</v>
      </c>
      <c r="Z163" s="55" t="n">
        <f aca="false">ROUND(Y163*$E$9/12,2)</f>
        <v>0</v>
      </c>
      <c r="AA163" s="55" t="n">
        <f aca="false">MIN($F$9,Y163+Z163)</f>
        <v>0</v>
      </c>
      <c r="AB163" s="55" t="n">
        <f aca="false">MAX(0,MIN(Y163+Z163-AA163,$D163-(H163+M163+R163+W163)))</f>
        <v>0</v>
      </c>
      <c r="AC163" s="55" t="n">
        <f aca="false">AA163+AB163</f>
        <v>0</v>
      </c>
      <c r="AD163" s="55" t="n">
        <f aca="false">ROUND(MAX(0,AD162+AE162-AH162),2)</f>
        <v>0</v>
      </c>
      <c r="AE163" s="55" t="n">
        <f aca="false">ROUND(AD163*$E$10/12,2)</f>
        <v>0</v>
      </c>
      <c r="AF163" s="55" t="n">
        <f aca="false">MIN($F$10,AD163+AE163)</f>
        <v>0</v>
      </c>
      <c r="AG163" s="55" t="n">
        <f aca="false">MAX(0,MIN(AD163+AE163-AF163,$D163-(H163+M163+R163+W163+AB163)))</f>
        <v>0</v>
      </c>
      <c r="AH163" s="55" t="n">
        <f aca="false">AF163+AG163</f>
        <v>0</v>
      </c>
      <c r="AI163" s="55" t="n">
        <f aca="false">ROUND(MAX(0,AI162+AJ162-AM162),2)</f>
        <v>0</v>
      </c>
      <c r="AJ163" s="55" t="n">
        <f aca="false">ROUND(AI163*$E$11/12,2)</f>
        <v>0</v>
      </c>
      <c r="AK163" s="55" t="n">
        <f aca="false">MIN($F$11,AI163+AJ163)</f>
        <v>0</v>
      </c>
      <c r="AL163" s="55" t="n">
        <f aca="false">MAX(0,MIN(AI163+AJ163-AK163,$D163-(H163+M163+R163+W163+AB163+AG163)))</f>
        <v>0</v>
      </c>
      <c r="AM163" s="55" t="n">
        <f aca="false">AK163+AL163</f>
        <v>0</v>
      </c>
      <c r="AN163" s="55" t="n">
        <f aca="false">ROUND(MAX(0,AN162+AO162-AR162),2)</f>
        <v>0</v>
      </c>
      <c r="AO163" s="55" t="n">
        <f aca="false">ROUND(AN163*$E$12/12,2)</f>
        <v>0</v>
      </c>
      <c r="AP163" s="55" t="n">
        <f aca="false">MIN($F$12,AN163+AO163)</f>
        <v>0</v>
      </c>
      <c r="AQ163" s="55" t="n">
        <f aca="false">MAX(0,MIN(AN163+AO163-AP163,$D163-(H163+M163+R163+W163+AB163+AG163+AL163)))</f>
        <v>0</v>
      </c>
      <c r="AR163" s="55" t="n">
        <f aca="false">AP163+AQ163</f>
        <v>0</v>
      </c>
      <c r="AS163" s="55" t="n">
        <f aca="false">ROUND(MAX(0,AS162+AT162-AW162),2)</f>
        <v>0</v>
      </c>
      <c r="AT163" s="55" t="n">
        <f aca="false">ROUND(AS163*$E$13/12,2)</f>
        <v>0</v>
      </c>
      <c r="AU163" s="55" t="n">
        <f aca="false">MIN($F$13,AS163+AT163)</f>
        <v>0</v>
      </c>
      <c r="AV163" s="55" t="n">
        <f aca="false">MAX(0,MIN(AS163+AT163-AU163,$D163-(H163+M163+R163+W163+AB163+AG163+AL163+AQ163)))</f>
        <v>0</v>
      </c>
      <c r="AW163" s="55" t="n">
        <f aca="false">AU163+AV163</f>
        <v>0</v>
      </c>
      <c r="AX163" s="55" t="n">
        <f aca="false">ROUND(MAX(0,AX162+AY162-BB162),2)</f>
        <v>0</v>
      </c>
      <c r="AY163" s="55" t="n">
        <f aca="false">ROUND(AX163*$E$14/12,2)</f>
        <v>0</v>
      </c>
      <c r="AZ163" s="55" t="n">
        <f aca="false">MIN($F$14,AX163+AY163)</f>
        <v>0</v>
      </c>
      <c r="BA163" s="55" t="n">
        <f aca="false">MAX(0,MIN(AX163+AY163-AZ163,$D163-(H163+M163+R163+W163+AB163+AG163+AL163+AQ163+AV163)))</f>
        <v>0</v>
      </c>
      <c r="BB163" s="55" t="n">
        <f aca="false">AZ163+BA163</f>
        <v>0</v>
      </c>
      <c r="BC163" s="55" t="n">
        <f aca="false">I163+N163+S163+X163+AC163+AH163+AM163+AR163+AW163+BB163</f>
        <v>0</v>
      </c>
      <c r="BD163" s="55" t="n">
        <f aca="false">ROUND((E163+F163-I163)+(J163+K163-N163)+(O163+P163-S163)+(T163+U163-X163)+(Y163+Z163-AC163)+(AD163+AE163-AH163)+(AI163+AJ163-AM163)+(AN163+AO163-AR163)+(AS163+AT163-AW163)+(AX163+AY163-BB163),2)</f>
        <v>0</v>
      </c>
      <c r="BE163" s="25" t="str">
        <f aca="false">IF(H163&gt;0.005,$C$5,IF(M163&gt;0.005,$C$6,IF(R163&gt;0.005,$C$7,IF(W163&gt;0.005,$C$8,IF(AB163&gt;0.005,$C$9,IF(AG163&gt;0.005,$C$10,IF(AL163&gt;0.005,$C$11,IF(AQ163&gt;0.005,$C$12,IF(AV163&gt;0.005,$C$13,IF(BA163&gt;0.005,$C$14,""))))))))))</f>
        <v/>
      </c>
    </row>
    <row r="164" customFormat="false" ht="15" hidden="false" customHeight="false" outlineLevel="0" collapsed="false">
      <c r="A164" s="24" t="n">
        <v>141</v>
      </c>
      <c r="B164" s="54" t="n">
        <f aca="false">EDATE($C$17,A164-1)</f>
        <v>50587</v>
      </c>
      <c r="C164" s="55" t="n">
        <f aca="false">G164+L164+Q164+V164+AA164+AF164+AK164+AP164+AU164+AZ164</f>
        <v>0</v>
      </c>
      <c r="D164" s="55" t="n">
        <f aca="false">MAX(0,$C$16-C164)</f>
        <v>5822</v>
      </c>
      <c r="E164" s="55" t="n">
        <f aca="false">ROUND(MAX(0,E163+F163-I163),2)</f>
        <v>0</v>
      </c>
      <c r="F164" s="55" t="n">
        <f aca="false">ROUND(E164*$E$5/12,2)</f>
        <v>0</v>
      </c>
      <c r="G164" s="55" t="n">
        <f aca="false">MIN($F$5,E164+F164)</f>
        <v>0</v>
      </c>
      <c r="H164" s="55" t="n">
        <f aca="false">MAX(0,MIN(E164+F164-G164,$D164))</f>
        <v>0</v>
      </c>
      <c r="I164" s="55" t="n">
        <f aca="false">G164+H164</f>
        <v>0</v>
      </c>
      <c r="J164" s="55" t="n">
        <f aca="false">ROUND(MAX(0,J163+K163-N163),2)</f>
        <v>0</v>
      </c>
      <c r="K164" s="55" t="n">
        <f aca="false">ROUND(J164*$E$6/12,2)</f>
        <v>0</v>
      </c>
      <c r="L164" s="55" t="n">
        <f aca="false">MIN($F$6,J164+K164)</f>
        <v>0</v>
      </c>
      <c r="M164" s="55" t="n">
        <f aca="false">MAX(0,MIN(J164+K164-L164,$D164-(H164)))</f>
        <v>0</v>
      </c>
      <c r="N164" s="55" t="n">
        <f aca="false">L164+M164</f>
        <v>0</v>
      </c>
      <c r="O164" s="55" t="n">
        <f aca="false">ROUND(MAX(0,O163+P163-S163),2)</f>
        <v>0</v>
      </c>
      <c r="P164" s="55" t="n">
        <f aca="false">ROUND(O164*$E$7/12,2)</f>
        <v>0</v>
      </c>
      <c r="Q164" s="55" t="n">
        <f aca="false">MIN($F$7,O164+P164)</f>
        <v>0</v>
      </c>
      <c r="R164" s="55" t="n">
        <f aca="false">MAX(0,MIN(O164+P164-Q164,$D164-(H164+M164)))</f>
        <v>0</v>
      </c>
      <c r="S164" s="55" t="n">
        <f aca="false">Q164+R164</f>
        <v>0</v>
      </c>
      <c r="T164" s="55" t="n">
        <f aca="false">ROUND(MAX(0,T163+U163-X163),2)</f>
        <v>0</v>
      </c>
      <c r="U164" s="55" t="n">
        <f aca="false">ROUND(T164*$E$8/12,2)</f>
        <v>0</v>
      </c>
      <c r="V164" s="55" t="n">
        <f aca="false">MIN($F$8,T164+U164)</f>
        <v>0</v>
      </c>
      <c r="W164" s="55" t="n">
        <f aca="false">MAX(0,MIN(T164+U164-V164,$D164-(H164+M164+R164)))</f>
        <v>0</v>
      </c>
      <c r="X164" s="55" t="n">
        <f aca="false">V164+W164</f>
        <v>0</v>
      </c>
      <c r="Y164" s="55" t="n">
        <f aca="false">ROUND(MAX(0,Y163+Z163-AC163),2)</f>
        <v>0</v>
      </c>
      <c r="Z164" s="55" t="n">
        <f aca="false">ROUND(Y164*$E$9/12,2)</f>
        <v>0</v>
      </c>
      <c r="AA164" s="55" t="n">
        <f aca="false">MIN($F$9,Y164+Z164)</f>
        <v>0</v>
      </c>
      <c r="AB164" s="55" t="n">
        <f aca="false">MAX(0,MIN(Y164+Z164-AA164,$D164-(H164+M164+R164+W164)))</f>
        <v>0</v>
      </c>
      <c r="AC164" s="55" t="n">
        <f aca="false">AA164+AB164</f>
        <v>0</v>
      </c>
      <c r="AD164" s="55" t="n">
        <f aca="false">ROUND(MAX(0,AD163+AE163-AH163),2)</f>
        <v>0</v>
      </c>
      <c r="AE164" s="55" t="n">
        <f aca="false">ROUND(AD164*$E$10/12,2)</f>
        <v>0</v>
      </c>
      <c r="AF164" s="55" t="n">
        <f aca="false">MIN($F$10,AD164+AE164)</f>
        <v>0</v>
      </c>
      <c r="AG164" s="55" t="n">
        <f aca="false">MAX(0,MIN(AD164+AE164-AF164,$D164-(H164+M164+R164+W164+AB164)))</f>
        <v>0</v>
      </c>
      <c r="AH164" s="55" t="n">
        <f aca="false">AF164+AG164</f>
        <v>0</v>
      </c>
      <c r="AI164" s="55" t="n">
        <f aca="false">ROUND(MAX(0,AI163+AJ163-AM163),2)</f>
        <v>0</v>
      </c>
      <c r="AJ164" s="55" t="n">
        <f aca="false">ROUND(AI164*$E$11/12,2)</f>
        <v>0</v>
      </c>
      <c r="AK164" s="55" t="n">
        <f aca="false">MIN($F$11,AI164+AJ164)</f>
        <v>0</v>
      </c>
      <c r="AL164" s="55" t="n">
        <f aca="false">MAX(0,MIN(AI164+AJ164-AK164,$D164-(H164+M164+R164+W164+AB164+AG164)))</f>
        <v>0</v>
      </c>
      <c r="AM164" s="55" t="n">
        <f aca="false">AK164+AL164</f>
        <v>0</v>
      </c>
      <c r="AN164" s="55" t="n">
        <f aca="false">ROUND(MAX(0,AN163+AO163-AR163),2)</f>
        <v>0</v>
      </c>
      <c r="AO164" s="55" t="n">
        <f aca="false">ROUND(AN164*$E$12/12,2)</f>
        <v>0</v>
      </c>
      <c r="AP164" s="55" t="n">
        <f aca="false">MIN($F$12,AN164+AO164)</f>
        <v>0</v>
      </c>
      <c r="AQ164" s="55" t="n">
        <f aca="false">MAX(0,MIN(AN164+AO164-AP164,$D164-(H164+M164+R164+W164+AB164+AG164+AL164)))</f>
        <v>0</v>
      </c>
      <c r="AR164" s="55" t="n">
        <f aca="false">AP164+AQ164</f>
        <v>0</v>
      </c>
      <c r="AS164" s="55" t="n">
        <f aca="false">ROUND(MAX(0,AS163+AT163-AW163),2)</f>
        <v>0</v>
      </c>
      <c r="AT164" s="55" t="n">
        <f aca="false">ROUND(AS164*$E$13/12,2)</f>
        <v>0</v>
      </c>
      <c r="AU164" s="55" t="n">
        <f aca="false">MIN($F$13,AS164+AT164)</f>
        <v>0</v>
      </c>
      <c r="AV164" s="55" t="n">
        <f aca="false">MAX(0,MIN(AS164+AT164-AU164,$D164-(H164+M164+R164+W164+AB164+AG164+AL164+AQ164)))</f>
        <v>0</v>
      </c>
      <c r="AW164" s="55" t="n">
        <f aca="false">AU164+AV164</f>
        <v>0</v>
      </c>
      <c r="AX164" s="55" t="n">
        <f aca="false">ROUND(MAX(0,AX163+AY163-BB163),2)</f>
        <v>0</v>
      </c>
      <c r="AY164" s="55" t="n">
        <f aca="false">ROUND(AX164*$E$14/12,2)</f>
        <v>0</v>
      </c>
      <c r="AZ164" s="55" t="n">
        <f aca="false">MIN($F$14,AX164+AY164)</f>
        <v>0</v>
      </c>
      <c r="BA164" s="55" t="n">
        <f aca="false">MAX(0,MIN(AX164+AY164-AZ164,$D164-(H164+M164+R164+W164+AB164+AG164+AL164+AQ164+AV164)))</f>
        <v>0</v>
      </c>
      <c r="BB164" s="55" t="n">
        <f aca="false">AZ164+BA164</f>
        <v>0</v>
      </c>
      <c r="BC164" s="55" t="n">
        <f aca="false">I164+N164+S164+X164+AC164+AH164+AM164+AR164+AW164+BB164</f>
        <v>0</v>
      </c>
      <c r="BD164" s="55" t="n">
        <f aca="false">ROUND((E164+F164-I164)+(J164+K164-N164)+(O164+P164-S164)+(T164+U164-X164)+(Y164+Z164-AC164)+(AD164+AE164-AH164)+(AI164+AJ164-AM164)+(AN164+AO164-AR164)+(AS164+AT164-AW164)+(AX164+AY164-BB164),2)</f>
        <v>0</v>
      </c>
      <c r="BE164" s="25" t="str">
        <f aca="false">IF(H164&gt;0.005,$C$5,IF(M164&gt;0.005,$C$6,IF(R164&gt;0.005,$C$7,IF(W164&gt;0.005,$C$8,IF(AB164&gt;0.005,$C$9,IF(AG164&gt;0.005,$C$10,IF(AL164&gt;0.005,$C$11,IF(AQ164&gt;0.005,$C$12,IF(AV164&gt;0.005,$C$13,IF(BA164&gt;0.005,$C$14,""))))))))))</f>
        <v/>
      </c>
    </row>
    <row r="165" customFormat="false" ht="15" hidden="false" customHeight="false" outlineLevel="0" collapsed="false">
      <c r="A165" s="24" t="n">
        <v>142</v>
      </c>
      <c r="B165" s="54" t="n">
        <f aca="false">EDATE($C$17,A165-1)</f>
        <v>50618</v>
      </c>
      <c r="C165" s="55" t="n">
        <f aca="false">G165+L165+Q165+V165+AA165+AF165+AK165+AP165+AU165+AZ165</f>
        <v>0</v>
      </c>
      <c r="D165" s="55" t="n">
        <f aca="false">MAX(0,$C$16-C165)</f>
        <v>5822</v>
      </c>
      <c r="E165" s="55" t="n">
        <f aca="false">ROUND(MAX(0,E164+F164-I164),2)</f>
        <v>0</v>
      </c>
      <c r="F165" s="55" t="n">
        <f aca="false">ROUND(E165*$E$5/12,2)</f>
        <v>0</v>
      </c>
      <c r="G165" s="55" t="n">
        <f aca="false">MIN($F$5,E165+F165)</f>
        <v>0</v>
      </c>
      <c r="H165" s="55" t="n">
        <f aca="false">MAX(0,MIN(E165+F165-G165,$D165))</f>
        <v>0</v>
      </c>
      <c r="I165" s="55" t="n">
        <f aca="false">G165+H165</f>
        <v>0</v>
      </c>
      <c r="J165" s="55" t="n">
        <f aca="false">ROUND(MAX(0,J164+K164-N164),2)</f>
        <v>0</v>
      </c>
      <c r="K165" s="55" t="n">
        <f aca="false">ROUND(J165*$E$6/12,2)</f>
        <v>0</v>
      </c>
      <c r="L165" s="55" t="n">
        <f aca="false">MIN($F$6,J165+K165)</f>
        <v>0</v>
      </c>
      <c r="M165" s="55" t="n">
        <f aca="false">MAX(0,MIN(J165+K165-L165,$D165-(H165)))</f>
        <v>0</v>
      </c>
      <c r="N165" s="55" t="n">
        <f aca="false">L165+M165</f>
        <v>0</v>
      </c>
      <c r="O165" s="55" t="n">
        <f aca="false">ROUND(MAX(0,O164+P164-S164),2)</f>
        <v>0</v>
      </c>
      <c r="P165" s="55" t="n">
        <f aca="false">ROUND(O165*$E$7/12,2)</f>
        <v>0</v>
      </c>
      <c r="Q165" s="55" t="n">
        <f aca="false">MIN($F$7,O165+P165)</f>
        <v>0</v>
      </c>
      <c r="R165" s="55" t="n">
        <f aca="false">MAX(0,MIN(O165+P165-Q165,$D165-(H165+M165)))</f>
        <v>0</v>
      </c>
      <c r="S165" s="55" t="n">
        <f aca="false">Q165+R165</f>
        <v>0</v>
      </c>
      <c r="T165" s="55" t="n">
        <f aca="false">ROUND(MAX(0,T164+U164-X164),2)</f>
        <v>0</v>
      </c>
      <c r="U165" s="55" t="n">
        <f aca="false">ROUND(T165*$E$8/12,2)</f>
        <v>0</v>
      </c>
      <c r="V165" s="55" t="n">
        <f aca="false">MIN($F$8,T165+U165)</f>
        <v>0</v>
      </c>
      <c r="W165" s="55" t="n">
        <f aca="false">MAX(0,MIN(T165+U165-V165,$D165-(H165+M165+R165)))</f>
        <v>0</v>
      </c>
      <c r="X165" s="55" t="n">
        <f aca="false">V165+W165</f>
        <v>0</v>
      </c>
      <c r="Y165" s="55" t="n">
        <f aca="false">ROUND(MAX(0,Y164+Z164-AC164),2)</f>
        <v>0</v>
      </c>
      <c r="Z165" s="55" t="n">
        <f aca="false">ROUND(Y165*$E$9/12,2)</f>
        <v>0</v>
      </c>
      <c r="AA165" s="55" t="n">
        <f aca="false">MIN($F$9,Y165+Z165)</f>
        <v>0</v>
      </c>
      <c r="AB165" s="55" t="n">
        <f aca="false">MAX(0,MIN(Y165+Z165-AA165,$D165-(H165+M165+R165+W165)))</f>
        <v>0</v>
      </c>
      <c r="AC165" s="55" t="n">
        <f aca="false">AA165+AB165</f>
        <v>0</v>
      </c>
      <c r="AD165" s="55" t="n">
        <f aca="false">ROUND(MAX(0,AD164+AE164-AH164),2)</f>
        <v>0</v>
      </c>
      <c r="AE165" s="55" t="n">
        <f aca="false">ROUND(AD165*$E$10/12,2)</f>
        <v>0</v>
      </c>
      <c r="AF165" s="55" t="n">
        <f aca="false">MIN($F$10,AD165+AE165)</f>
        <v>0</v>
      </c>
      <c r="AG165" s="55" t="n">
        <f aca="false">MAX(0,MIN(AD165+AE165-AF165,$D165-(H165+M165+R165+W165+AB165)))</f>
        <v>0</v>
      </c>
      <c r="AH165" s="55" t="n">
        <f aca="false">AF165+AG165</f>
        <v>0</v>
      </c>
      <c r="AI165" s="55" t="n">
        <f aca="false">ROUND(MAX(0,AI164+AJ164-AM164),2)</f>
        <v>0</v>
      </c>
      <c r="AJ165" s="55" t="n">
        <f aca="false">ROUND(AI165*$E$11/12,2)</f>
        <v>0</v>
      </c>
      <c r="AK165" s="55" t="n">
        <f aca="false">MIN($F$11,AI165+AJ165)</f>
        <v>0</v>
      </c>
      <c r="AL165" s="55" t="n">
        <f aca="false">MAX(0,MIN(AI165+AJ165-AK165,$D165-(H165+M165+R165+W165+AB165+AG165)))</f>
        <v>0</v>
      </c>
      <c r="AM165" s="55" t="n">
        <f aca="false">AK165+AL165</f>
        <v>0</v>
      </c>
      <c r="AN165" s="55" t="n">
        <f aca="false">ROUND(MAX(0,AN164+AO164-AR164),2)</f>
        <v>0</v>
      </c>
      <c r="AO165" s="55" t="n">
        <f aca="false">ROUND(AN165*$E$12/12,2)</f>
        <v>0</v>
      </c>
      <c r="AP165" s="55" t="n">
        <f aca="false">MIN($F$12,AN165+AO165)</f>
        <v>0</v>
      </c>
      <c r="AQ165" s="55" t="n">
        <f aca="false">MAX(0,MIN(AN165+AO165-AP165,$D165-(H165+M165+R165+W165+AB165+AG165+AL165)))</f>
        <v>0</v>
      </c>
      <c r="AR165" s="55" t="n">
        <f aca="false">AP165+AQ165</f>
        <v>0</v>
      </c>
      <c r="AS165" s="55" t="n">
        <f aca="false">ROUND(MAX(0,AS164+AT164-AW164),2)</f>
        <v>0</v>
      </c>
      <c r="AT165" s="55" t="n">
        <f aca="false">ROUND(AS165*$E$13/12,2)</f>
        <v>0</v>
      </c>
      <c r="AU165" s="55" t="n">
        <f aca="false">MIN($F$13,AS165+AT165)</f>
        <v>0</v>
      </c>
      <c r="AV165" s="55" t="n">
        <f aca="false">MAX(0,MIN(AS165+AT165-AU165,$D165-(H165+M165+R165+W165+AB165+AG165+AL165+AQ165)))</f>
        <v>0</v>
      </c>
      <c r="AW165" s="55" t="n">
        <f aca="false">AU165+AV165</f>
        <v>0</v>
      </c>
      <c r="AX165" s="55" t="n">
        <f aca="false">ROUND(MAX(0,AX164+AY164-BB164),2)</f>
        <v>0</v>
      </c>
      <c r="AY165" s="55" t="n">
        <f aca="false">ROUND(AX165*$E$14/12,2)</f>
        <v>0</v>
      </c>
      <c r="AZ165" s="55" t="n">
        <f aca="false">MIN($F$14,AX165+AY165)</f>
        <v>0</v>
      </c>
      <c r="BA165" s="55" t="n">
        <f aca="false">MAX(0,MIN(AX165+AY165-AZ165,$D165-(H165+M165+R165+W165+AB165+AG165+AL165+AQ165+AV165)))</f>
        <v>0</v>
      </c>
      <c r="BB165" s="55" t="n">
        <f aca="false">AZ165+BA165</f>
        <v>0</v>
      </c>
      <c r="BC165" s="55" t="n">
        <f aca="false">I165+N165+S165+X165+AC165+AH165+AM165+AR165+AW165+BB165</f>
        <v>0</v>
      </c>
      <c r="BD165" s="55" t="n">
        <f aca="false">ROUND((E165+F165-I165)+(J165+K165-N165)+(O165+P165-S165)+(T165+U165-X165)+(Y165+Z165-AC165)+(AD165+AE165-AH165)+(AI165+AJ165-AM165)+(AN165+AO165-AR165)+(AS165+AT165-AW165)+(AX165+AY165-BB165),2)</f>
        <v>0</v>
      </c>
      <c r="BE165" s="25" t="str">
        <f aca="false">IF(H165&gt;0.005,$C$5,IF(M165&gt;0.005,$C$6,IF(R165&gt;0.005,$C$7,IF(W165&gt;0.005,$C$8,IF(AB165&gt;0.005,$C$9,IF(AG165&gt;0.005,$C$10,IF(AL165&gt;0.005,$C$11,IF(AQ165&gt;0.005,$C$12,IF(AV165&gt;0.005,$C$13,IF(BA165&gt;0.005,$C$14,""))))))))))</f>
        <v/>
      </c>
    </row>
    <row r="166" customFormat="false" ht="15" hidden="false" customHeight="false" outlineLevel="0" collapsed="false">
      <c r="A166" s="24" t="n">
        <v>143</v>
      </c>
      <c r="B166" s="54" t="n">
        <f aca="false">EDATE($C$17,A166-1)</f>
        <v>50649</v>
      </c>
      <c r="C166" s="55" t="n">
        <f aca="false">G166+L166+Q166+V166+AA166+AF166+AK166+AP166+AU166+AZ166</f>
        <v>0</v>
      </c>
      <c r="D166" s="55" t="n">
        <f aca="false">MAX(0,$C$16-C166)</f>
        <v>5822</v>
      </c>
      <c r="E166" s="55" t="n">
        <f aca="false">ROUND(MAX(0,E165+F165-I165),2)</f>
        <v>0</v>
      </c>
      <c r="F166" s="55" t="n">
        <f aca="false">ROUND(E166*$E$5/12,2)</f>
        <v>0</v>
      </c>
      <c r="G166" s="55" t="n">
        <f aca="false">MIN($F$5,E166+F166)</f>
        <v>0</v>
      </c>
      <c r="H166" s="55" t="n">
        <f aca="false">MAX(0,MIN(E166+F166-G166,$D166))</f>
        <v>0</v>
      </c>
      <c r="I166" s="55" t="n">
        <f aca="false">G166+H166</f>
        <v>0</v>
      </c>
      <c r="J166" s="55" t="n">
        <f aca="false">ROUND(MAX(0,J165+K165-N165),2)</f>
        <v>0</v>
      </c>
      <c r="K166" s="55" t="n">
        <f aca="false">ROUND(J166*$E$6/12,2)</f>
        <v>0</v>
      </c>
      <c r="L166" s="55" t="n">
        <f aca="false">MIN($F$6,J166+K166)</f>
        <v>0</v>
      </c>
      <c r="M166" s="55" t="n">
        <f aca="false">MAX(0,MIN(J166+K166-L166,$D166-(H166)))</f>
        <v>0</v>
      </c>
      <c r="N166" s="55" t="n">
        <f aca="false">L166+M166</f>
        <v>0</v>
      </c>
      <c r="O166" s="55" t="n">
        <f aca="false">ROUND(MAX(0,O165+P165-S165),2)</f>
        <v>0</v>
      </c>
      <c r="P166" s="55" t="n">
        <f aca="false">ROUND(O166*$E$7/12,2)</f>
        <v>0</v>
      </c>
      <c r="Q166" s="55" t="n">
        <f aca="false">MIN($F$7,O166+P166)</f>
        <v>0</v>
      </c>
      <c r="R166" s="55" t="n">
        <f aca="false">MAX(0,MIN(O166+P166-Q166,$D166-(H166+M166)))</f>
        <v>0</v>
      </c>
      <c r="S166" s="55" t="n">
        <f aca="false">Q166+R166</f>
        <v>0</v>
      </c>
      <c r="T166" s="55" t="n">
        <f aca="false">ROUND(MAX(0,T165+U165-X165),2)</f>
        <v>0</v>
      </c>
      <c r="U166" s="55" t="n">
        <f aca="false">ROUND(T166*$E$8/12,2)</f>
        <v>0</v>
      </c>
      <c r="V166" s="55" t="n">
        <f aca="false">MIN($F$8,T166+U166)</f>
        <v>0</v>
      </c>
      <c r="W166" s="55" t="n">
        <f aca="false">MAX(0,MIN(T166+U166-V166,$D166-(H166+M166+R166)))</f>
        <v>0</v>
      </c>
      <c r="X166" s="55" t="n">
        <f aca="false">V166+W166</f>
        <v>0</v>
      </c>
      <c r="Y166" s="55" t="n">
        <f aca="false">ROUND(MAX(0,Y165+Z165-AC165),2)</f>
        <v>0</v>
      </c>
      <c r="Z166" s="55" t="n">
        <f aca="false">ROUND(Y166*$E$9/12,2)</f>
        <v>0</v>
      </c>
      <c r="AA166" s="55" t="n">
        <f aca="false">MIN($F$9,Y166+Z166)</f>
        <v>0</v>
      </c>
      <c r="AB166" s="55" t="n">
        <f aca="false">MAX(0,MIN(Y166+Z166-AA166,$D166-(H166+M166+R166+W166)))</f>
        <v>0</v>
      </c>
      <c r="AC166" s="55" t="n">
        <f aca="false">AA166+AB166</f>
        <v>0</v>
      </c>
      <c r="AD166" s="55" t="n">
        <f aca="false">ROUND(MAX(0,AD165+AE165-AH165),2)</f>
        <v>0</v>
      </c>
      <c r="AE166" s="55" t="n">
        <f aca="false">ROUND(AD166*$E$10/12,2)</f>
        <v>0</v>
      </c>
      <c r="AF166" s="55" t="n">
        <f aca="false">MIN($F$10,AD166+AE166)</f>
        <v>0</v>
      </c>
      <c r="AG166" s="55" t="n">
        <f aca="false">MAX(0,MIN(AD166+AE166-AF166,$D166-(H166+M166+R166+W166+AB166)))</f>
        <v>0</v>
      </c>
      <c r="AH166" s="55" t="n">
        <f aca="false">AF166+AG166</f>
        <v>0</v>
      </c>
      <c r="AI166" s="55" t="n">
        <f aca="false">ROUND(MAX(0,AI165+AJ165-AM165),2)</f>
        <v>0</v>
      </c>
      <c r="AJ166" s="55" t="n">
        <f aca="false">ROUND(AI166*$E$11/12,2)</f>
        <v>0</v>
      </c>
      <c r="AK166" s="55" t="n">
        <f aca="false">MIN($F$11,AI166+AJ166)</f>
        <v>0</v>
      </c>
      <c r="AL166" s="55" t="n">
        <f aca="false">MAX(0,MIN(AI166+AJ166-AK166,$D166-(H166+M166+R166+W166+AB166+AG166)))</f>
        <v>0</v>
      </c>
      <c r="AM166" s="55" t="n">
        <f aca="false">AK166+AL166</f>
        <v>0</v>
      </c>
      <c r="AN166" s="55" t="n">
        <f aca="false">ROUND(MAX(0,AN165+AO165-AR165),2)</f>
        <v>0</v>
      </c>
      <c r="AO166" s="55" t="n">
        <f aca="false">ROUND(AN166*$E$12/12,2)</f>
        <v>0</v>
      </c>
      <c r="AP166" s="55" t="n">
        <f aca="false">MIN($F$12,AN166+AO166)</f>
        <v>0</v>
      </c>
      <c r="AQ166" s="55" t="n">
        <f aca="false">MAX(0,MIN(AN166+AO166-AP166,$D166-(H166+M166+R166+W166+AB166+AG166+AL166)))</f>
        <v>0</v>
      </c>
      <c r="AR166" s="55" t="n">
        <f aca="false">AP166+AQ166</f>
        <v>0</v>
      </c>
      <c r="AS166" s="55" t="n">
        <f aca="false">ROUND(MAX(0,AS165+AT165-AW165),2)</f>
        <v>0</v>
      </c>
      <c r="AT166" s="55" t="n">
        <f aca="false">ROUND(AS166*$E$13/12,2)</f>
        <v>0</v>
      </c>
      <c r="AU166" s="55" t="n">
        <f aca="false">MIN($F$13,AS166+AT166)</f>
        <v>0</v>
      </c>
      <c r="AV166" s="55" t="n">
        <f aca="false">MAX(0,MIN(AS166+AT166-AU166,$D166-(H166+M166+R166+W166+AB166+AG166+AL166+AQ166)))</f>
        <v>0</v>
      </c>
      <c r="AW166" s="55" t="n">
        <f aca="false">AU166+AV166</f>
        <v>0</v>
      </c>
      <c r="AX166" s="55" t="n">
        <f aca="false">ROUND(MAX(0,AX165+AY165-BB165),2)</f>
        <v>0</v>
      </c>
      <c r="AY166" s="55" t="n">
        <f aca="false">ROUND(AX166*$E$14/12,2)</f>
        <v>0</v>
      </c>
      <c r="AZ166" s="55" t="n">
        <f aca="false">MIN($F$14,AX166+AY166)</f>
        <v>0</v>
      </c>
      <c r="BA166" s="55" t="n">
        <f aca="false">MAX(0,MIN(AX166+AY166-AZ166,$D166-(H166+M166+R166+W166+AB166+AG166+AL166+AQ166+AV166)))</f>
        <v>0</v>
      </c>
      <c r="BB166" s="55" t="n">
        <f aca="false">AZ166+BA166</f>
        <v>0</v>
      </c>
      <c r="BC166" s="55" t="n">
        <f aca="false">I166+N166+S166+X166+AC166+AH166+AM166+AR166+AW166+BB166</f>
        <v>0</v>
      </c>
      <c r="BD166" s="55" t="n">
        <f aca="false">ROUND((E166+F166-I166)+(J166+K166-N166)+(O166+P166-S166)+(T166+U166-X166)+(Y166+Z166-AC166)+(AD166+AE166-AH166)+(AI166+AJ166-AM166)+(AN166+AO166-AR166)+(AS166+AT166-AW166)+(AX166+AY166-BB166),2)</f>
        <v>0</v>
      </c>
      <c r="BE166" s="25" t="str">
        <f aca="false">IF(H166&gt;0.005,$C$5,IF(M166&gt;0.005,$C$6,IF(R166&gt;0.005,$C$7,IF(W166&gt;0.005,$C$8,IF(AB166&gt;0.005,$C$9,IF(AG166&gt;0.005,$C$10,IF(AL166&gt;0.005,$C$11,IF(AQ166&gt;0.005,$C$12,IF(AV166&gt;0.005,$C$13,IF(BA166&gt;0.005,$C$14,""))))))))))</f>
        <v/>
      </c>
    </row>
    <row r="167" customFormat="false" ht="15" hidden="false" customHeight="false" outlineLevel="0" collapsed="false">
      <c r="A167" s="24" t="n">
        <v>144</v>
      </c>
      <c r="B167" s="54" t="n">
        <f aca="false">EDATE($C$17,A167-1)</f>
        <v>50679</v>
      </c>
      <c r="C167" s="55" t="n">
        <f aca="false">G167+L167+Q167+V167+AA167+AF167+AK167+AP167+AU167+AZ167</f>
        <v>0</v>
      </c>
      <c r="D167" s="55" t="n">
        <f aca="false">MAX(0,$C$16-C167)</f>
        <v>5822</v>
      </c>
      <c r="E167" s="55" t="n">
        <f aca="false">ROUND(MAX(0,E166+F166-I166),2)</f>
        <v>0</v>
      </c>
      <c r="F167" s="55" t="n">
        <f aca="false">ROUND(E167*$E$5/12,2)</f>
        <v>0</v>
      </c>
      <c r="G167" s="55" t="n">
        <f aca="false">MIN($F$5,E167+F167)</f>
        <v>0</v>
      </c>
      <c r="H167" s="55" t="n">
        <f aca="false">MAX(0,MIN(E167+F167-G167,$D167))</f>
        <v>0</v>
      </c>
      <c r="I167" s="55" t="n">
        <f aca="false">G167+H167</f>
        <v>0</v>
      </c>
      <c r="J167" s="55" t="n">
        <f aca="false">ROUND(MAX(0,J166+K166-N166),2)</f>
        <v>0</v>
      </c>
      <c r="K167" s="55" t="n">
        <f aca="false">ROUND(J167*$E$6/12,2)</f>
        <v>0</v>
      </c>
      <c r="L167" s="55" t="n">
        <f aca="false">MIN($F$6,J167+K167)</f>
        <v>0</v>
      </c>
      <c r="M167" s="55" t="n">
        <f aca="false">MAX(0,MIN(J167+K167-L167,$D167-(H167)))</f>
        <v>0</v>
      </c>
      <c r="N167" s="55" t="n">
        <f aca="false">L167+M167</f>
        <v>0</v>
      </c>
      <c r="O167" s="55" t="n">
        <f aca="false">ROUND(MAX(0,O166+P166-S166),2)</f>
        <v>0</v>
      </c>
      <c r="P167" s="55" t="n">
        <f aca="false">ROUND(O167*$E$7/12,2)</f>
        <v>0</v>
      </c>
      <c r="Q167" s="55" t="n">
        <f aca="false">MIN($F$7,O167+P167)</f>
        <v>0</v>
      </c>
      <c r="R167" s="55" t="n">
        <f aca="false">MAX(0,MIN(O167+P167-Q167,$D167-(H167+M167)))</f>
        <v>0</v>
      </c>
      <c r="S167" s="55" t="n">
        <f aca="false">Q167+R167</f>
        <v>0</v>
      </c>
      <c r="T167" s="55" t="n">
        <f aca="false">ROUND(MAX(0,T166+U166-X166),2)</f>
        <v>0</v>
      </c>
      <c r="U167" s="55" t="n">
        <f aca="false">ROUND(T167*$E$8/12,2)</f>
        <v>0</v>
      </c>
      <c r="V167" s="55" t="n">
        <f aca="false">MIN($F$8,T167+U167)</f>
        <v>0</v>
      </c>
      <c r="W167" s="55" t="n">
        <f aca="false">MAX(0,MIN(T167+U167-V167,$D167-(H167+M167+R167)))</f>
        <v>0</v>
      </c>
      <c r="X167" s="55" t="n">
        <f aca="false">V167+W167</f>
        <v>0</v>
      </c>
      <c r="Y167" s="55" t="n">
        <f aca="false">ROUND(MAX(0,Y166+Z166-AC166),2)</f>
        <v>0</v>
      </c>
      <c r="Z167" s="55" t="n">
        <f aca="false">ROUND(Y167*$E$9/12,2)</f>
        <v>0</v>
      </c>
      <c r="AA167" s="55" t="n">
        <f aca="false">MIN($F$9,Y167+Z167)</f>
        <v>0</v>
      </c>
      <c r="AB167" s="55" t="n">
        <f aca="false">MAX(0,MIN(Y167+Z167-AA167,$D167-(H167+M167+R167+W167)))</f>
        <v>0</v>
      </c>
      <c r="AC167" s="55" t="n">
        <f aca="false">AA167+AB167</f>
        <v>0</v>
      </c>
      <c r="AD167" s="55" t="n">
        <f aca="false">ROUND(MAX(0,AD166+AE166-AH166),2)</f>
        <v>0</v>
      </c>
      <c r="AE167" s="55" t="n">
        <f aca="false">ROUND(AD167*$E$10/12,2)</f>
        <v>0</v>
      </c>
      <c r="AF167" s="55" t="n">
        <f aca="false">MIN($F$10,AD167+AE167)</f>
        <v>0</v>
      </c>
      <c r="AG167" s="55" t="n">
        <f aca="false">MAX(0,MIN(AD167+AE167-AF167,$D167-(H167+M167+R167+W167+AB167)))</f>
        <v>0</v>
      </c>
      <c r="AH167" s="55" t="n">
        <f aca="false">AF167+AG167</f>
        <v>0</v>
      </c>
      <c r="AI167" s="55" t="n">
        <f aca="false">ROUND(MAX(0,AI166+AJ166-AM166),2)</f>
        <v>0</v>
      </c>
      <c r="AJ167" s="55" t="n">
        <f aca="false">ROUND(AI167*$E$11/12,2)</f>
        <v>0</v>
      </c>
      <c r="AK167" s="55" t="n">
        <f aca="false">MIN($F$11,AI167+AJ167)</f>
        <v>0</v>
      </c>
      <c r="AL167" s="55" t="n">
        <f aca="false">MAX(0,MIN(AI167+AJ167-AK167,$D167-(H167+M167+R167+W167+AB167+AG167)))</f>
        <v>0</v>
      </c>
      <c r="AM167" s="55" t="n">
        <f aca="false">AK167+AL167</f>
        <v>0</v>
      </c>
      <c r="AN167" s="55" t="n">
        <f aca="false">ROUND(MAX(0,AN166+AO166-AR166),2)</f>
        <v>0</v>
      </c>
      <c r="AO167" s="55" t="n">
        <f aca="false">ROUND(AN167*$E$12/12,2)</f>
        <v>0</v>
      </c>
      <c r="AP167" s="55" t="n">
        <f aca="false">MIN($F$12,AN167+AO167)</f>
        <v>0</v>
      </c>
      <c r="AQ167" s="55" t="n">
        <f aca="false">MAX(0,MIN(AN167+AO167-AP167,$D167-(H167+M167+R167+W167+AB167+AG167+AL167)))</f>
        <v>0</v>
      </c>
      <c r="AR167" s="55" t="n">
        <f aca="false">AP167+AQ167</f>
        <v>0</v>
      </c>
      <c r="AS167" s="55" t="n">
        <f aca="false">ROUND(MAX(0,AS166+AT166-AW166),2)</f>
        <v>0</v>
      </c>
      <c r="AT167" s="55" t="n">
        <f aca="false">ROUND(AS167*$E$13/12,2)</f>
        <v>0</v>
      </c>
      <c r="AU167" s="55" t="n">
        <f aca="false">MIN($F$13,AS167+AT167)</f>
        <v>0</v>
      </c>
      <c r="AV167" s="55" t="n">
        <f aca="false">MAX(0,MIN(AS167+AT167-AU167,$D167-(H167+M167+R167+W167+AB167+AG167+AL167+AQ167)))</f>
        <v>0</v>
      </c>
      <c r="AW167" s="55" t="n">
        <f aca="false">AU167+AV167</f>
        <v>0</v>
      </c>
      <c r="AX167" s="55" t="n">
        <f aca="false">ROUND(MAX(0,AX166+AY166-BB166),2)</f>
        <v>0</v>
      </c>
      <c r="AY167" s="55" t="n">
        <f aca="false">ROUND(AX167*$E$14/12,2)</f>
        <v>0</v>
      </c>
      <c r="AZ167" s="55" t="n">
        <f aca="false">MIN($F$14,AX167+AY167)</f>
        <v>0</v>
      </c>
      <c r="BA167" s="55" t="n">
        <f aca="false">MAX(0,MIN(AX167+AY167-AZ167,$D167-(H167+M167+R167+W167+AB167+AG167+AL167+AQ167+AV167)))</f>
        <v>0</v>
      </c>
      <c r="BB167" s="55" t="n">
        <f aca="false">AZ167+BA167</f>
        <v>0</v>
      </c>
      <c r="BC167" s="55" t="n">
        <f aca="false">I167+N167+S167+X167+AC167+AH167+AM167+AR167+AW167+BB167</f>
        <v>0</v>
      </c>
      <c r="BD167" s="55" t="n">
        <f aca="false">ROUND((E167+F167-I167)+(J167+K167-N167)+(O167+P167-S167)+(T167+U167-X167)+(Y167+Z167-AC167)+(AD167+AE167-AH167)+(AI167+AJ167-AM167)+(AN167+AO167-AR167)+(AS167+AT167-AW167)+(AX167+AY167-BB167),2)</f>
        <v>0</v>
      </c>
      <c r="BE167" s="25" t="str">
        <f aca="false">IF(H167&gt;0.005,$C$5,IF(M167&gt;0.005,$C$6,IF(R167&gt;0.005,$C$7,IF(W167&gt;0.005,$C$8,IF(AB167&gt;0.005,$C$9,IF(AG167&gt;0.005,$C$10,IF(AL167&gt;0.005,$C$11,IF(AQ167&gt;0.005,$C$12,IF(AV167&gt;0.005,$C$13,IF(BA167&gt;0.005,$C$14,""))))))))))</f>
        <v/>
      </c>
    </row>
    <row r="168" customFormat="false" ht="15" hidden="false" customHeight="false" outlineLevel="0" collapsed="false">
      <c r="A168" s="24" t="n">
        <v>145</v>
      </c>
      <c r="B168" s="54" t="n">
        <f aca="false">EDATE($C$17,A168-1)</f>
        <v>50710</v>
      </c>
      <c r="C168" s="55" t="n">
        <f aca="false">G168+L168+Q168+V168+AA168+AF168+AK168+AP168+AU168+AZ168</f>
        <v>0</v>
      </c>
      <c r="D168" s="55" t="n">
        <f aca="false">MAX(0,$C$16-C168)</f>
        <v>5822</v>
      </c>
      <c r="E168" s="55" t="n">
        <f aca="false">ROUND(MAX(0,E167+F167-I167),2)</f>
        <v>0</v>
      </c>
      <c r="F168" s="55" t="n">
        <f aca="false">ROUND(E168*$E$5/12,2)</f>
        <v>0</v>
      </c>
      <c r="G168" s="55" t="n">
        <f aca="false">MIN($F$5,E168+F168)</f>
        <v>0</v>
      </c>
      <c r="H168" s="55" t="n">
        <f aca="false">MAX(0,MIN(E168+F168-G168,$D168))</f>
        <v>0</v>
      </c>
      <c r="I168" s="55" t="n">
        <f aca="false">G168+H168</f>
        <v>0</v>
      </c>
      <c r="J168" s="55" t="n">
        <f aca="false">ROUND(MAX(0,J167+K167-N167),2)</f>
        <v>0</v>
      </c>
      <c r="K168" s="55" t="n">
        <f aca="false">ROUND(J168*$E$6/12,2)</f>
        <v>0</v>
      </c>
      <c r="L168" s="55" t="n">
        <f aca="false">MIN($F$6,J168+K168)</f>
        <v>0</v>
      </c>
      <c r="M168" s="55" t="n">
        <f aca="false">MAX(0,MIN(J168+K168-L168,$D168-(H168)))</f>
        <v>0</v>
      </c>
      <c r="N168" s="55" t="n">
        <f aca="false">L168+M168</f>
        <v>0</v>
      </c>
      <c r="O168" s="55" t="n">
        <f aca="false">ROUND(MAX(0,O167+P167-S167),2)</f>
        <v>0</v>
      </c>
      <c r="P168" s="55" t="n">
        <f aca="false">ROUND(O168*$E$7/12,2)</f>
        <v>0</v>
      </c>
      <c r="Q168" s="55" t="n">
        <f aca="false">MIN($F$7,O168+P168)</f>
        <v>0</v>
      </c>
      <c r="R168" s="55" t="n">
        <f aca="false">MAX(0,MIN(O168+P168-Q168,$D168-(H168+M168)))</f>
        <v>0</v>
      </c>
      <c r="S168" s="55" t="n">
        <f aca="false">Q168+R168</f>
        <v>0</v>
      </c>
      <c r="T168" s="55" t="n">
        <f aca="false">ROUND(MAX(0,T167+U167-X167),2)</f>
        <v>0</v>
      </c>
      <c r="U168" s="55" t="n">
        <f aca="false">ROUND(T168*$E$8/12,2)</f>
        <v>0</v>
      </c>
      <c r="V168" s="55" t="n">
        <f aca="false">MIN($F$8,T168+U168)</f>
        <v>0</v>
      </c>
      <c r="W168" s="55" t="n">
        <f aca="false">MAX(0,MIN(T168+U168-V168,$D168-(H168+M168+R168)))</f>
        <v>0</v>
      </c>
      <c r="X168" s="55" t="n">
        <f aca="false">V168+W168</f>
        <v>0</v>
      </c>
      <c r="Y168" s="55" t="n">
        <f aca="false">ROUND(MAX(0,Y167+Z167-AC167),2)</f>
        <v>0</v>
      </c>
      <c r="Z168" s="55" t="n">
        <f aca="false">ROUND(Y168*$E$9/12,2)</f>
        <v>0</v>
      </c>
      <c r="AA168" s="55" t="n">
        <f aca="false">MIN($F$9,Y168+Z168)</f>
        <v>0</v>
      </c>
      <c r="AB168" s="55" t="n">
        <f aca="false">MAX(0,MIN(Y168+Z168-AA168,$D168-(H168+M168+R168+W168)))</f>
        <v>0</v>
      </c>
      <c r="AC168" s="55" t="n">
        <f aca="false">AA168+AB168</f>
        <v>0</v>
      </c>
      <c r="AD168" s="55" t="n">
        <f aca="false">ROUND(MAX(0,AD167+AE167-AH167),2)</f>
        <v>0</v>
      </c>
      <c r="AE168" s="55" t="n">
        <f aca="false">ROUND(AD168*$E$10/12,2)</f>
        <v>0</v>
      </c>
      <c r="AF168" s="55" t="n">
        <f aca="false">MIN($F$10,AD168+AE168)</f>
        <v>0</v>
      </c>
      <c r="AG168" s="55" t="n">
        <f aca="false">MAX(0,MIN(AD168+AE168-AF168,$D168-(H168+M168+R168+W168+AB168)))</f>
        <v>0</v>
      </c>
      <c r="AH168" s="55" t="n">
        <f aca="false">AF168+AG168</f>
        <v>0</v>
      </c>
      <c r="AI168" s="55" t="n">
        <f aca="false">ROUND(MAX(0,AI167+AJ167-AM167),2)</f>
        <v>0</v>
      </c>
      <c r="AJ168" s="55" t="n">
        <f aca="false">ROUND(AI168*$E$11/12,2)</f>
        <v>0</v>
      </c>
      <c r="AK168" s="55" t="n">
        <f aca="false">MIN($F$11,AI168+AJ168)</f>
        <v>0</v>
      </c>
      <c r="AL168" s="55" t="n">
        <f aca="false">MAX(0,MIN(AI168+AJ168-AK168,$D168-(H168+M168+R168+W168+AB168+AG168)))</f>
        <v>0</v>
      </c>
      <c r="AM168" s="55" t="n">
        <f aca="false">AK168+AL168</f>
        <v>0</v>
      </c>
      <c r="AN168" s="55" t="n">
        <f aca="false">ROUND(MAX(0,AN167+AO167-AR167),2)</f>
        <v>0</v>
      </c>
      <c r="AO168" s="55" t="n">
        <f aca="false">ROUND(AN168*$E$12/12,2)</f>
        <v>0</v>
      </c>
      <c r="AP168" s="55" t="n">
        <f aca="false">MIN($F$12,AN168+AO168)</f>
        <v>0</v>
      </c>
      <c r="AQ168" s="55" t="n">
        <f aca="false">MAX(0,MIN(AN168+AO168-AP168,$D168-(H168+M168+R168+W168+AB168+AG168+AL168)))</f>
        <v>0</v>
      </c>
      <c r="AR168" s="55" t="n">
        <f aca="false">AP168+AQ168</f>
        <v>0</v>
      </c>
      <c r="AS168" s="55" t="n">
        <f aca="false">ROUND(MAX(0,AS167+AT167-AW167),2)</f>
        <v>0</v>
      </c>
      <c r="AT168" s="55" t="n">
        <f aca="false">ROUND(AS168*$E$13/12,2)</f>
        <v>0</v>
      </c>
      <c r="AU168" s="55" t="n">
        <f aca="false">MIN($F$13,AS168+AT168)</f>
        <v>0</v>
      </c>
      <c r="AV168" s="55" t="n">
        <f aca="false">MAX(0,MIN(AS168+AT168-AU168,$D168-(H168+M168+R168+W168+AB168+AG168+AL168+AQ168)))</f>
        <v>0</v>
      </c>
      <c r="AW168" s="55" t="n">
        <f aca="false">AU168+AV168</f>
        <v>0</v>
      </c>
      <c r="AX168" s="55" t="n">
        <f aca="false">ROUND(MAX(0,AX167+AY167-BB167),2)</f>
        <v>0</v>
      </c>
      <c r="AY168" s="55" t="n">
        <f aca="false">ROUND(AX168*$E$14/12,2)</f>
        <v>0</v>
      </c>
      <c r="AZ168" s="55" t="n">
        <f aca="false">MIN($F$14,AX168+AY168)</f>
        <v>0</v>
      </c>
      <c r="BA168" s="55" t="n">
        <f aca="false">MAX(0,MIN(AX168+AY168-AZ168,$D168-(H168+M168+R168+W168+AB168+AG168+AL168+AQ168+AV168)))</f>
        <v>0</v>
      </c>
      <c r="BB168" s="55" t="n">
        <f aca="false">AZ168+BA168</f>
        <v>0</v>
      </c>
      <c r="BC168" s="55" t="n">
        <f aca="false">I168+N168+S168+X168+AC168+AH168+AM168+AR168+AW168+BB168</f>
        <v>0</v>
      </c>
      <c r="BD168" s="55" t="n">
        <f aca="false">ROUND((E168+F168-I168)+(J168+K168-N168)+(O168+P168-S168)+(T168+U168-X168)+(Y168+Z168-AC168)+(AD168+AE168-AH168)+(AI168+AJ168-AM168)+(AN168+AO168-AR168)+(AS168+AT168-AW168)+(AX168+AY168-BB168),2)</f>
        <v>0</v>
      </c>
      <c r="BE168" s="25" t="str">
        <f aca="false">IF(H168&gt;0.005,$C$5,IF(M168&gt;0.005,$C$6,IF(R168&gt;0.005,$C$7,IF(W168&gt;0.005,$C$8,IF(AB168&gt;0.005,$C$9,IF(AG168&gt;0.005,$C$10,IF(AL168&gt;0.005,$C$11,IF(AQ168&gt;0.005,$C$12,IF(AV168&gt;0.005,$C$13,IF(BA168&gt;0.005,$C$14,""))))))))))</f>
        <v/>
      </c>
    </row>
    <row r="169" customFormat="false" ht="15" hidden="false" customHeight="false" outlineLevel="0" collapsed="false">
      <c r="A169" s="24" t="n">
        <v>146</v>
      </c>
      <c r="B169" s="54" t="n">
        <f aca="false">EDATE($C$17,A169-1)</f>
        <v>50740</v>
      </c>
      <c r="C169" s="55" t="n">
        <f aca="false">G169+L169+Q169+V169+AA169+AF169+AK169+AP169+AU169+AZ169</f>
        <v>0</v>
      </c>
      <c r="D169" s="55" t="n">
        <f aca="false">MAX(0,$C$16-C169)</f>
        <v>5822</v>
      </c>
      <c r="E169" s="55" t="n">
        <f aca="false">ROUND(MAX(0,E168+F168-I168),2)</f>
        <v>0</v>
      </c>
      <c r="F169" s="55" t="n">
        <f aca="false">ROUND(E169*$E$5/12,2)</f>
        <v>0</v>
      </c>
      <c r="G169" s="55" t="n">
        <f aca="false">MIN($F$5,E169+F169)</f>
        <v>0</v>
      </c>
      <c r="H169" s="55" t="n">
        <f aca="false">MAX(0,MIN(E169+F169-G169,$D169))</f>
        <v>0</v>
      </c>
      <c r="I169" s="55" t="n">
        <f aca="false">G169+H169</f>
        <v>0</v>
      </c>
      <c r="J169" s="55" t="n">
        <f aca="false">ROUND(MAX(0,J168+K168-N168),2)</f>
        <v>0</v>
      </c>
      <c r="K169" s="55" t="n">
        <f aca="false">ROUND(J169*$E$6/12,2)</f>
        <v>0</v>
      </c>
      <c r="L169" s="55" t="n">
        <f aca="false">MIN($F$6,J169+K169)</f>
        <v>0</v>
      </c>
      <c r="M169" s="55" t="n">
        <f aca="false">MAX(0,MIN(J169+K169-L169,$D169-(H169)))</f>
        <v>0</v>
      </c>
      <c r="N169" s="55" t="n">
        <f aca="false">L169+M169</f>
        <v>0</v>
      </c>
      <c r="O169" s="55" t="n">
        <f aca="false">ROUND(MAX(0,O168+P168-S168),2)</f>
        <v>0</v>
      </c>
      <c r="P169" s="55" t="n">
        <f aca="false">ROUND(O169*$E$7/12,2)</f>
        <v>0</v>
      </c>
      <c r="Q169" s="55" t="n">
        <f aca="false">MIN($F$7,O169+P169)</f>
        <v>0</v>
      </c>
      <c r="R169" s="55" t="n">
        <f aca="false">MAX(0,MIN(O169+P169-Q169,$D169-(H169+M169)))</f>
        <v>0</v>
      </c>
      <c r="S169" s="55" t="n">
        <f aca="false">Q169+R169</f>
        <v>0</v>
      </c>
      <c r="T169" s="55" t="n">
        <f aca="false">ROUND(MAX(0,T168+U168-X168),2)</f>
        <v>0</v>
      </c>
      <c r="U169" s="55" t="n">
        <f aca="false">ROUND(T169*$E$8/12,2)</f>
        <v>0</v>
      </c>
      <c r="V169" s="55" t="n">
        <f aca="false">MIN($F$8,T169+U169)</f>
        <v>0</v>
      </c>
      <c r="W169" s="55" t="n">
        <f aca="false">MAX(0,MIN(T169+U169-V169,$D169-(H169+M169+R169)))</f>
        <v>0</v>
      </c>
      <c r="X169" s="55" t="n">
        <f aca="false">V169+W169</f>
        <v>0</v>
      </c>
      <c r="Y169" s="55" t="n">
        <f aca="false">ROUND(MAX(0,Y168+Z168-AC168),2)</f>
        <v>0</v>
      </c>
      <c r="Z169" s="55" t="n">
        <f aca="false">ROUND(Y169*$E$9/12,2)</f>
        <v>0</v>
      </c>
      <c r="AA169" s="55" t="n">
        <f aca="false">MIN($F$9,Y169+Z169)</f>
        <v>0</v>
      </c>
      <c r="AB169" s="55" t="n">
        <f aca="false">MAX(0,MIN(Y169+Z169-AA169,$D169-(H169+M169+R169+W169)))</f>
        <v>0</v>
      </c>
      <c r="AC169" s="55" t="n">
        <f aca="false">AA169+AB169</f>
        <v>0</v>
      </c>
      <c r="AD169" s="55" t="n">
        <f aca="false">ROUND(MAX(0,AD168+AE168-AH168),2)</f>
        <v>0</v>
      </c>
      <c r="AE169" s="55" t="n">
        <f aca="false">ROUND(AD169*$E$10/12,2)</f>
        <v>0</v>
      </c>
      <c r="AF169" s="55" t="n">
        <f aca="false">MIN($F$10,AD169+AE169)</f>
        <v>0</v>
      </c>
      <c r="AG169" s="55" t="n">
        <f aca="false">MAX(0,MIN(AD169+AE169-AF169,$D169-(H169+M169+R169+W169+AB169)))</f>
        <v>0</v>
      </c>
      <c r="AH169" s="55" t="n">
        <f aca="false">AF169+AG169</f>
        <v>0</v>
      </c>
      <c r="AI169" s="55" t="n">
        <f aca="false">ROUND(MAX(0,AI168+AJ168-AM168),2)</f>
        <v>0</v>
      </c>
      <c r="AJ169" s="55" t="n">
        <f aca="false">ROUND(AI169*$E$11/12,2)</f>
        <v>0</v>
      </c>
      <c r="AK169" s="55" t="n">
        <f aca="false">MIN($F$11,AI169+AJ169)</f>
        <v>0</v>
      </c>
      <c r="AL169" s="55" t="n">
        <f aca="false">MAX(0,MIN(AI169+AJ169-AK169,$D169-(H169+M169+R169+W169+AB169+AG169)))</f>
        <v>0</v>
      </c>
      <c r="AM169" s="55" t="n">
        <f aca="false">AK169+AL169</f>
        <v>0</v>
      </c>
      <c r="AN169" s="55" t="n">
        <f aca="false">ROUND(MAX(0,AN168+AO168-AR168),2)</f>
        <v>0</v>
      </c>
      <c r="AO169" s="55" t="n">
        <f aca="false">ROUND(AN169*$E$12/12,2)</f>
        <v>0</v>
      </c>
      <c r="AP169" s="55" t="n">
        <f aca="false">MIN($F$12,AN169+AO169)</f>
        <v>0</v>
      </c>
      <c r="AQ169" s="55" t="n">
        <f aca="false">MAX(0,MIN(AN169+AO169-AP169,$D169-(H169+M169+R169+W169+AB169+AG169+AL169)))</f>
        <v>0</v>
      </c>
      <c r="AR169" s="55" t="n">
        <f aca="false">AP169+AQ169</f>
        <v>0</v>
      </c>
      <c r="AS169" s="55" t="n">
        <f aca="false">ROUND(MAX(0,AS168+AT168-AW168),2)</f>
        <v>0</v>
      </c>
      <c r="AT169" s="55" t="n">
        <f aca="false">ROUND(AS169*$E$13/12,2)</f>
        <v>0</v>
      </c>
      <c r="AU169" s="55" t="n">
        <f aca="false">MIN($F$13,AS169+AT169)</f>
        <v>0</v>
      </c>
      <c r="AV169" s="55" t="n">
        <f aca="false">MAX(0,MIN(AS169+AT169-AU169,$D169-(H169+M169+R169+W169+AB169+AG169+AL169+AQ169)))</f>
        <v>0</v>
      </c>
      <c r="AW169" s="55" t="n">
        <f aca="false">AU169+AV169</f>
        <v>0</v>
      </c>
      <c r="AX169" s="55" t="n">
        <f aca="false">ROUND(MAX(0,AX168+AY168-BB168),2)</f>
        <v>0</v>
      </c>
      <c r="AY169" s="55" t="n">
        <f aca="false">ROUND(AX169*$E$14/12,2)</f>
        <v>0</v>
      </c>
      <c r="AZ169" s="55" t="n">
        <f aca="false">MIN($F$14,AX169+AY169)</f>
        <v>0</v>
      </c>
      <c r="BA169" s="55" t="n">
        <f aca="false">MAX(0,MIN(AX169+AY169-AZ169,$D169-(H169+M169+R169+W169+AB169+AG169+AL169+AQ169+AV169)))</f>
        <v>0</v>
      </c>
      <c r="BB169" s="55" t="n">
        <f aca="false">AZ169+BA169</f>
        <v>0</v>
      </c>
      <c r="BC169" s="55" t="n">
        <f aca="false">I169+N169+S169+X169+AC169+AH169+AM169+AR169+AW169+BB169</f>
        <v>0</v>
      </c>
      <c r="BD169" s="55" t="n">
        <f aca="false">ROUND((E169+F169-I169)+(J169+K169-N169)+(O169+P169-S169)+(T169+U169-X169)+(Y169+Z169-AC169)+(AD169+AE169-AH169)+(AI169+AJ169-AM169)+(AN169+AO169-AR169)+(AS169+AT169-AW169)+(AX169+AY169-BB169),2)</f>
        <v>0</v>
      </c>
      <c r="BE169" s="25" t="str">
        <f aca="false">IF(H169&gt;0.005,$C$5,IF(M169&gt;0.005,$C$6,IF(R169&gt;0.005,$C$7,IF(W169&gt;0.005,$C$8,IF(AB169&gt;0.005,$C$9,IF(AG169&gt;0.005,$C$10,IF(AL169&gt;0.005,$C$11,IF(AQ169&gt;0.005,$C$12,IF(AV169&gt;0.005,$C$13,IF(BA169&gt;0.005,$C$14,""))))))))))</f>
        <v/>
      </c>
    </row>
    <row r="170" customFormat="false" ht="15" hidden="false" customHeight="false" outlineLevel="0" collapsed="false">
      <c r="A170" s="24" t="n">
        <v>147</v>
      </c>
      <c r="B170" s="54" t="n">
        <f aca="false">EDATE($C$17,A170-1)</f>
        <v>50771</v>
      </c>
      <c r="C170" s="55" t="n">
        <f aca="false">G170+L170+Q170+V170+AA170+AF170+AK170+AP170+AU170+AZ170</f>
        <v>0</v>
      </c>
      <c r="D170" s="55" t="n">
        <f aca="false">MAX(0,$C$16-C170)</f>
        <v>5822</v>
      </c>
      <c r="E170" s="55" t="n">
        <f aca="false">ROUND(MAX(0,E169+F169-I169),2)</f>
        <v>0</v>
      </c>
      <c r="F170" s="55" t="n">
        <f aca="false">ROUND(E170*$E$5/12,2)</f>
        <v>0</v>
      </c>
      <c r="G170" s="55" t="n">
        <f aca="false">MIN($F$5,E170+F170)</f>
        <v>0</v>
      </c>
      <c r="H170" s="55" t="n">
        <f aca="false">MAX(0,MIN(E170+F170-G170,$D170))</f>
        <v>0</v>
      </c>
      <c r="I170" s="55" t="n">
        <f aca="false">G170+H170</f>
        <v>0</v>
      </c>
      <c r="J170" s="55" t="n">
        <f aca="false">ROUND(MAX(0,J169+K169-N169),2)</f>
        <v>0</v>
      </c>
      <c r="K170" s="55" t="n">
        <f aca="false">ROUND(J170*$E$6/12,2)</f>
        <v>0</v>
      </c>
      <c r="L170" s="55" t="n">
        <f aca="false">MIN($F$6,J170+K170)</f>
        <v>0</v>
      </c>
      <c r="M170" s="55" t="n">
        <f aca="false">MAX(0,MIN(J170+K170-L170,$D170-(H170)))</f>
        <v>0</v>
      </c>
      <c r="N170" s="55" t="n">
        <f aca="false">L170+M170</f>
        <v>0</v>
      </c>
      <c r="O170" s="55" t="n">
        <f aca="false">ROUND(MAX(0,O169+P169-S169),2)</f>
        <v>0</v>
      </c>
      <c r="P170" s="55" t="n">
        <f aca="false">ROUND(O170*$E$7/12,2)</f>
        <v>0</v>
      </c>
      <c r="Q170" s="55" t="n">
        <f aca="false">MIN($F$7,O170+P170)</f>
        <v>0</v>
      </c>
      <c r="R170" s="55" t="n">
        <f aca="false">MAX(0,MIN(O170+P170-Q170,$D170-(H170+M170)))</f>
        <v>0</v>
      </c>
      <c r="S170" s="55" t="n">
        <f aca="false">Q170+R170</f>
        <v>0</v>
      </c>
      <c r="T170" s="55" t="n">
        <f aca="false">ROUND(MAX(0,T169+U169-X169),2)</f>
        <v>0</v>
      </c>
      <c r="U170" s="55" t="n">
        <f aca="false">ROUND(T170*$E$8/12,2)</f>
        <v>0</v>
      </c>
      <c r="V170" s="55" t="n">
        <f aca="false">MIN($F$8,T170+U170)</f>
        <v>0</v>
      </c>
      <c r="W170" s="55" t="n">
        <f aca="false">MAX(0,MIN(T170+U170-V170,$D170-(H170+M170+R170)))</f>
        <v>0</v>
      </c>
      <c r="X170" s="55" t="n">
        <f aca="false">V170+W170</f>
        <v>0</v>
      </c>
      <c r="Y170" s="55" t="n">
        <f aca="false">ROUND(MAX(0,Y169+Z169-AC169),2)</f>
        <v>0</v>
      </c>
      <c r="Z170" s="55" t="n">
        <f aca="false">ROUND(Y170*$E$9/12,2)</f>
        <v>0</v>
      </c>
      <c r="AA170" s="55" t="n">
        <f aca="false">MIN($F$9,Y170+Z170)</f>
        <v>0</v>
      </c>
      <c r="AB170" s="55" t="n">
        <f aca="false">MAX(0,MIN(Y170+Z170-AA170,$D170-(H170+M170+R170+W170)))</f>
        <v>0</v>
      </c>
      <c r="AC170" s="55" t="n">
        <f aca="false">AA170+AB170</f>
        <v>0</v>
      </c>
      <c r="AD170" s="55" t="n">
        <f aca="false">ROUND(MAX(0,AD169+AE169-AH169),2)</f>
        <v>0</v>
      </c>
      <c r="AE170" s="55" t="n">
        <f aca="false">ROUND(AD170*$E$10/12,2)</f>
        <v>0</v>
      </c>
      <c r="AF170" s="55" t="n">
        <f aca="false">MIN($F$10,AD170+AE170)</f>
        <v>0</v>
      </c>
      <c r="AG170" s="55" t="n">
        <f aca="false">MAX(0,MIN(AD170+AE170-AF170,$D170-(H170+M170+R170+W170+AB170)))</f>
        <v>0</v>
      </c>
      <c r="AH170" s="55" t="n">
        <f aca="false">AF170+AG170</f>
        <v>0</v>
      </c>
      <c r="AI170" s="55" t="n">
        <f aca="false">ROUND(MAX(0,AI169+AJ169-AM169),2)</f>
        <v>0</v>
      </c>
      <c r="AJ170" s="55" t="n">
        <f aca="false">ROUND(AI170*$E$11/12,2)</f>
        <v>0</v>
      </c>
      <c r="AK170" s="55" t="n">
        <f aca="false">MIN($F$11,AI170+AJ170)</f>
        <v>0</v>
      </c>
      <c r="AL170" s="55" t="n">
        <f aca="false">MAX(0,MIN(AI170+AJ170-AK170,$D170-(H170+M170+R170+W170+AB170+AG170)))</f>
        <v>0</v>
      </c>
      <c r="AM170" s="55" t="n">
        <f aca="false">AK170+AL170</f>
        <v>0</v>
      </c>
      <c r="AN170" s="55" t="n">
        <f aca="false">ROUND(MAX(0,AN169+AO169-AR169),2)</f>
        <v>0</v>
      </c>
      <c r="AO170" s="55" t="n">
        <f aca="false">ROUND(AN170*$E$12/12,2)</f>
        <v>0</v>
      </c>
      <c r="AP170" s="55" t="n">
        <f aca="false">MIN($F$12,AN170+AO170)</f>
        <v>0</v>
      </c>
      <c r="AQ170" s="55" t="n">
        <f aca="false">MAX(0,MIN(AN170+AO170-AP170,$D170-(H170+M170+R170+W170+AB170+AG170+AL170)))</f>
        <v>0</v>
      </c>
      <c r="AR170" s="55" t="n">
        <f aca="false">AP170+AQ170</f>
        <v>0</v>
      </c>
      <c r="AS170" s="55" t="n">
        <f aca="false">ROUND(MAX(0,AS169+AT169-AW169),2)</f>
        <v>0</v>
      </c>
      <c r="AT170" s="55" t="n">
        <f aca="false">ROUND(AS170*$E$13/12,2)</f>
        <v>0</v>
      </c>
      <c r="AU170" s="55" t="n">
        <f aca="false">MIN($F$13,AS170+AT170)</f>
        <v>0</v>
      </c>
      <c r="AV170" s="55" t="n">
        <f aca="false">MAX(0,MIN(AS170+AT170-AU170,$D170-(H170+M170+R170+W170+AB170+AG170+AL170+AQ170)))</f>
        <v>0</v>
      </c>
      <c r="AW170" s="55" t="n">
        <f aca="false">AU170+AV170</f>
        <v>0</v>
      </c>
      <c r="AX170" s="55" t="n">
        <f aca="false">ROUND(MAX(0,AX169+AY169-BB169),2)</f>
        <v>0</v>
      </c>
      <c r="AY170" s="55" t="n">
        <f aca="false">ROUND(AX170*$E$14/12,2)</f>
        <v>0</v>
      </c>
      <c r="AZ170" s="55" t="n">
        <f aca="false">MIN($F$14,AX170+AY170)</f>
        <v>0</v>
      </c>
      <c r="BA170" s="55" t="n">
        <f aca="false">MAX(0,MIN(AX170+AY170-AZ170,$D170-(H170+M170+R170+W170+AB170+AG170+AL170+AQ170+AV170)))</f>
        <v>0</v>
      </c>
      <c r="BB170" s="55" t="n">
        <f aca="false">AZ170+BA170</f>
        <v>0</v>
      </c>
      <c r="BC170" s="55" t="n">
        <f aca="false">I170+N170+S170+X170+AC170+AH170+AM170+AR170+AW170+BB170</f>
        <v>0</v>
      </c>
      <c r="BD170" s="55" t="n">
        <f aca="false">ROUND((E170+F170-I170)+(J170+K170-N170)+(O170+P170-S170)+(T170+U170-X170)+(Y170+Z170-AC170)+(AD170+AE170-AH170)+(AI170+AJ170-AM170)+(AN170+AO170-AR170)+(AS170+AT170-AW170)+(AX170+AY170-BB170),2)</f>
        <v>0</v>
      </c>
      <c r="BE170" s="25" t="str">
        <f aca="false">IF(H170&gt;0.005,$C$5,IF(M170&gt;0.005,$C$6,IF(R170&gt;0.005,$C$7,IF(W170&gt;0.005,$C$8,IF(AB170&gt;0.005,$C$9,IF(AG170&gt;0.005,$C$10,IF(AL170&gt;0.005,$C$11,IF(AQ170&gt;0.005,$C$12,IF(AV170&gt;0.005,$C$13,IF(BA170&gt;0.005,$C$14,""))))))))))</f>
        <v/>
      </c>
    </row>
    <row r="171" customFormat="false" ht="15" hidden="false" customHeight="false" outlineLevel="0" collapsed="false">
      <c r="A171" s="24" t="n">
        <v>148</v>
      </c>
      <c r="B171" s="54" t="n">
        <f aca="false">EDATE($C$17,A171-1)</f>
        <v>50802</v>
      </c>
      <c r="C171" s="55" t="n">
        <f aca="false">G171+L171+Q171+V171+AA171+AF171+AK171+AP171+AU171+AZ171</f>
        <v>0</v>
      </c>
      <c r="D171" s="55" t="n">
        <f aca="false">MAX(0,$C$16-C171)</f>
        <v>5822</v>
      </c>
      <c r="E171" s="55" t="n">
        <f aca="false">ROUND(MAX(0,E170+F170-I170),2)</f>
        <v>0</v>
      </c>
      <c r="F171" s="55" t="n">
        <f aca="false">ROUND(E171*$E$5/12,2)</f>
        <v>0</v>
      </c>
      <c r="G171" s="55" t="n">
        <f aca="false">MIN($F$5,E171+F171)</f>
        <v>0</v>
      </c>
      <c r="H171" s="55" t="n">
        <f aca="false">MAX(0,MIN(E171+F171-G171,$D171))</f>
        <v>0</v>
      </c>
      <c r="I171" s="55" t="n">
        <f aca="false">G171+H171</f>
        <v>0</v>
      </c>
      <c r="J171" s="55" t="n">
        <f aca="false">ROUND(MAX(0,J170+K170-N170),2)</f>
        <v>0</v>
      </c>
      <c r="K171" s="55" t="n">
        <f aca="false">ROUND(J171*$E$6/12,2)</f>
        <v>0</v>
      </c>
      <c r="L171" s="55" t="n">
        <f aca="false">MIN($F$6,J171+K171)</f>
        <v>0</v>
      </c>
      <c r="M171" s="55" t="n">
        <f aca="false">MAX(0,MIN(J171+K171-L171,$D171-(H171)))</f>
        <v>0</v>
      </c>
      <c r="N171" s="55" t="n">
        <f aca="false">L171+M171</f>
        <v>0</v>
      </c>
      <c r="O171" s="55" t="n">
        <f aca="false">ROUND(MAX(0,O170+P170-S170),2)</f>
        <v>0</v>
      </c>
      <c r="P171" s="55" t="n">
        <f aca="false">ROUND(O171*$E$7/12,2)</f>
        <v>0</v>
      </c>
      <c r="Q171" s="55" t="n">
        <f aca="false">MIN($F$7,O171+P171)</f>
        <v>0</v>
      </c>
      <c r="R171" s="55" t="n">
        <f aca="false">MAX(0,MIN(O171+P171-Q171,$D171-(H171+M171)))</f>
        <v>0</v>
      </c>
      <c r="S171" s="55" t="n">
        <f aca="false">Q171+R171</f>
        <v>0</v>
      </c>
      <c r="T171" s="55" t="n">
        <f aca="false">ROUND(MAX(0,T170+U170-X170),2)</f>
        <v>0</v>
      </c>
      <c r="U171" s="55" t="n">
        <f aca="false">ROUND(T171*$E$8/12,2)</f>
        <v>0</v>
      </c>
      <c r="V171" s="55" t="n">
        <f aca="false">MIN($F$8,T171+U171)</f>
        <v>0</v>
      </c>
      <c r="W171" s="55" t="n">
        <f aca="false">MAX(0,MIN(T171+U171-V171,$D171-(H171+M171+R171)))</f>
        <v>0</v>
      </c>
      <c r="X171" s="55" t="n">
        <f aca="false">V171+W171</f>
        <v>0</v>
      </c>
      <c r="Y171" s="55" t="n">
        <f aca="false">ROUND(MAX(0,Y170+Z170-AC170),2)</f>
        <v>0</v>
      </c>
      <c r="Z171" s="55" t="n">
        <f aca="false">ROUND(Y171*$E$9/12,2)</f>
        <v>0</v>
      </c>
      <c r="AA171" s="55" t="n">
        <f aca="false">MIN($F$9,Y171+Z171)</f>
        <v>0</v>
      </c>
      <c r="AB171" s="55" t="n">
        <f aca="false">MAX(0,MIN(Y171+Z171-AA171,$D171-(H171+M171+R171+W171)))</f>
        <v>0</v>
      </c>
      <c r="AC171" s="55" t="n">
        <f aca="false">AA171+AB171</f>
        <v>0</v>
      </c>
      <c r="AD171" s="55" t="n">
        <f aca="false">ROUND(MAX(0,AD170+AE170-AH170),2)</f>
        <v>0</v>
      </c>
      <c r="AE171" s="55" t="n">
        <f aca="false">ROUND(AD171*$E$10/12,2)</f>
        <v>0</v>
      </c>
      <c r="AF171" s="55" t="n">
        <f aca="false">MIN($F$10,AD171+AE171)</f>
        <v>0</v>
      </c>
      <c r="AG171" s="55" t="n">
        <f aca="false">MAX(0,MIN(AD171+AE171-AF171,$D171-(H171+M171+R171+W171+AB171)))</f>
        <v>0</v>
      </c>
      <c r="AH171" s="55" t="n">
        <f aca="false">AF171+AG171</f>
        <v>0</v>
      </c>
      <c r="AI171" s="55" t="n">
        <f aca="false">ROUND(MAX(0,AI170+AJ170-AM170),2)</f>
        <v>0</v>
      </c>
      <c r="AJ171" s="55" t="n">
        <f aca="false">ROUND(AI171*$E$11/12,2)</f>
        <v>0</v>
      </c>
      <c r="AK171" s="55" t="n">
        <f aca="false">MIN($F$11,AI171+AJ171)</f>
        <v>0</v>
      </c>
      <c r="AL171" s="55" t="n">
        <f aca="false">MAX(0,MIN(AI171+AJ171-AK171,$D171-(H171+M171+R171+W171+AB171+AG171)))</f>
        <v>0</v>
      </c>
      <c r="AM171" s="55" t="n">
        <f aca="false">AK171+AL171</f>
        <v>0</v>
      </c>
      <c r="AN171" s="55" t="n">
        <f aca="false">ROUND(MAX(0,AN170+AO170-AR170),2)</f>
        <v>0</v>
      </c>
      <c r="AO171" s="55" t="n">
        <f aca="false">ROUND(AN171*$E$12/12,2)</f>
        <v>0</v>
      </c>
      <c r="AP171" s="55" t="n">
        <f aca="false">MIN($F$12,AN171+AO171)</f>
        <v>0</v>
      </c>
      <c r="AQ171" s="55" t="n">
        <f aca="false">MAX(0,MIN(AN171+AO171-AP171,$D171-(H171+M171+R171+W171+AB171+AG171+AL171)))</f>
        <v>0</v>
      </c>
      <c r="AR171" s="55" t="n">
        <f aca="false">AP171+AQ171</f>
        <v>0</v>
      </c>
      <c r="AS171" s="55" t="n">
        <f aca="false">ROUND(MAX(0,AS170+AT170-AW170),2)</f>
        <v>0</v>
      </c>
      <c r="AT171" s="55" t="n">
        <f aca="false">ROUND(AS171*$E$13/12,2)</f>
        <v>0</v>
      </c>
      <c r="AU171" s="55" t="n">
        <f aca="false">MIN($F$13,AS171+AT171)</f>
        <v>0</v>
      </c>
      <c r="AV171" s="55" t="n">
        <f aca="false">MAX(0,MIN(AS171+AT171-AU171,$D171-(H171+M171+R171+W171+AB171+AG171+AL171+AQ171)))</f>
        <v>0</v>
      </c>
      <c r="AW171" s="55" t="n">
        <f aca="false">AU171+AV171</f>
        <v>0</v>
      </c>
      <c r="AX171" s="55" t="n">
        <f aca="false">ROUND(MAX(0,AX170+AY170-BB170),2)</f>
        <v>0</v>
      </c>
      <c r="AY171" s="55" t="n">
        <f aca="false">ROUND(AX171*$E$14/12,2)</f>
        <v>0</v>
      </c>
      <c r="AZ171" s="55" t="n">
        <f aca="false">MIN($F$14,AX171+AY171)</f>
        <v>0</v>
      </c>
      <c r="BA171" s="55" t="n">
        <f aca="false">MAX(0,MIN(AX171+AY171-AZ171,$D171-(H171+M171+R171+W171+AB171+AG171+AL171+AQ171+AV171)))</f>
        <v>0</v>
      </c>
      <c r="BB171" s="55" t="n">
        <f aca="false">AZ171+BA171</f>
        <v>0</v>
      </c>
      <c r="BC171" s="55" t="n">
        <f aca="false">I171+N171+S171+X171+AC171+AH171+AM171+AR171+AW171+BB171</f>
        <v>0</v>
      </c>
      <c r="BD171" s="55" t="n">
        <f aca="false">ROUND((E171+F171-I171)+(J171+K171-N171)+(O171+P171-S171)+(T171+U171-X171)+(Y171+Z171-AC171)+(AD171+AE171-AH171)+(AI171+AJ171-AM171)+(AN171+AO171-AR171)+(AS171+AT171-AW171)+(AX171+AY171-BB171),2)</f>
        <v>0</v>
      </c>
      <c r="BE171" s="25" t="str">
        <f aca="false">IF(H171&gt;0.005,$C$5,IF(M171&gt;0.005,$C$6,IF(R171&gt;0.005,$C$7,IF(W171&gt;0.005,$C$8,IF(AB171&gt;0.005,$C$9,IF(AG171&gt;0.005,$C$10,IF(AL171&gt;0.005,$C$11,IF(AQ171&gt;0.005,$C$12,IF(AV171&gt;0.005,$C$13,IF(BA171&gt;0.005,$C$14,""))))))))))</f>
        <v/>
      </c>
    </row>
    <row r="172" customFormat="false" ht="15" hidden="false" customHeight="false" outlineLevel="0" collapsed="false">
      <c r="A172" s="24" t="n">
        <v>149</v>
      </c>
      <c r="B172" s="54" t="n">
        <f aca="false">EDATE($C$17,A172-1)</f>
        <v>50830</v>
      </c>
      <c r="C172" s="55" t="n">
        <f aca="false">G172+L172+Q172+V172+AA172+AF172+AK172+AP172+AU172+AZ172</f>
        <v>0</v>
      </c>
      <c r="D172" s="55" t="n">
        <f aca="false">MAX(0,$C$16-C172)</f>
        <v>5822</v>
      </c>
      <c r="E172" s="55" t="n">
        <f aca="false">ROUND(MAX(0,E171+F171-I171),2)</f>
        <v>0</v>
      </c>
      <c r="F172" s="55" t="n">
        <f aca="false">ROUND(E172*$E$5/12,2)</f>
        <v>0</v>
      </c>
      <c r="G172" s="55" t="n">
        <f aca="false">MIN($F$5,E172+F172)</f>
        <v>0</v>
      </c>
      <c r="H172" s="55" t="n">
        <f aca="false">MAX(0,MIN(E172+F172-G172,$D172))</f>
        <v>0</v>
      </c>
      <c r="I172" s="55" t="n">
        <f aca="false">G172+H172</f>
        <v>0</v>
      </c>
      <c r="J172" s="55" t="n">
        <f aca="false">ROUND(MAX(0,J171+K171-N171),2)</f>
        <v>0</v>
      </c>
      <c r="K172" s="55" t="n">
        <f aca="false">ROUND(J172*$E$6/12,2)</f>
        <v>0</v>
      </c>
      <c r="L172" s="55" t="n">
        <f aca="false">MIN($F$6,J172+K172)</f>
        <v>0</v>
      </c>
      <c r="M172" s="55" t="n">
        <f aca="false">MAX(0,MIN(J172+K172-L172,$D172-(H172)))</f>
        <v>0</v>
      </c>
      <c r="N172" s="55" t="n">
        <f aca="false">L172+M172</f>
        <v>0</v>
      </c>
      <c r="O172" s="55" t="n">
        <f aca="false">ROUND(MAX(0,O171+P171-S171),2)</f>
        <v>0</v>
      </c>
      <c r="P172" s="55" t="n">
        <f aca="false">ROUND(O172*$E$7/12,2)</f>
        <v>0</v>
      </c>
      <c r="Q172" s="55" t="n">
        <f aca="false">MIN($F$7,O172+P172)</f>
        <v>0</v>
      </c>
      <c r="R172" s="55" t="n">
        <f aca="false">MAX(0,MIN(O172+P172-Q172,$D172-(H172+M172)))</f>
        <v>0</v>
      </c>
      <c r="S172" s="55" t="n">
        <f aca="false">Q172+R172</f>
        <v>0</v>
      </c>
      <c r="T172" s="55" t="n">
        <f aca="false">ROUND(MAX(0,T171+U171-X171),2)</f>
        <v>0</v>
      </c>
      <c r="U172" s="55" t="n">
        <f aca="false">ROUND(T172*$E$8/12,2)</f>
        <v>0</v>
      </c>
      <c r="V172" s="55" t="n">
        <f aca="false">MIN($F$8,T172+U172)</f>
        <v>0</v>
      </c>
      <c r="W172" s="55" t="n">
        <f aca="false">MAX(0,MIN(T172+U172-V172,$D172-(H172+M172+R172)))</f>
        <v>0</v>
      </c>
      <c r="X172" s="55" t="n">
        <f aca="false">V172+W172</f>
        <v>0</v>
      </c>
      <c r="Y172" s="55" t="n">
        <f aca="false">ROUND(MAX(0,Y171+Z171-AC171),2)</f>
        <v>0</v>
      </c>
      <c r="Z172" s="55" t="n">
        <f aca="false">ROUND(Y172*$E$9/12,2)</f>
        <v>0</v>
      </c>
      <c r="AA172" s="55" t="n">
        <f aca="false">MIN($F$9,Y172+Z172)</f>
        <v>0</v>
      </c>
      <c r="AB172" s="55" t="n">
        <f aca="false">MAX(0,MIN(Y172+Z172-AA172,$D172-(H172+M172+R172+W172)))</f>
        <v>0</v>
      </c>
      <c r="AC172" s="55" t="n">
        <f aca="false">AA172+AB172</f>
        <v>0</v>
      </c>
      <c r="AD172" s="55" t="n">
        <f aca="false">ROUND(MAX(0,AD171+AE171-AH171),2)</f>
        <v>0</v>
      </c>
      <c r="AE172" s="55" t="n">
        <f aca="false">ROUND(AD172*$E$10/12,2)</f>
        <v>0</v>
      </c>
      <c r="AF172" s="55" t="n">
        <f aca="false">MIN($F$10,AD172+AE172)</f>
        <v>0</v>
      </c>
      <c r="AG172" s="55" t="n">
        <f aca="false">MAX(0,MIN(AD172+AE172-AF172,$D172-(H172+M172+R172+W172+AB172)))</f>
        <v>0</v>
      </c>
      <c r="AH172" s="55" t="n">
        <f aca="false">AF172+AG172</f>
        <v>0</v>
      </c>
      <c r="AI172" s="55" t="n">
        <f aca="false">ROUND(MAX(0,AI171+AJ171-AM171),2)</f>
        <v>0</v>
      </c>
      <c r="AJ172" s="55" t="n">
        <f aca="false">ROUND(AI172*$E$11/12,2)</f>
        <v>0</v>
      </c>
      <c r="AK172" s="55" t="n">
        <f aca="false">MIN($F$11,AI172+AJ172)</f>
        <v>0</v>
      </c>
      <c r="AL172" s="55" t="n">
        <f aca="false">MAX(0,MIN(AI172+AJ172-AK172,$D172-(H172+M172+R172+W172+AB172+AG172)))</f>
        <v>0</v>
      </c>
      <c r="AM172" s="55" t="n">
        <f aca="false">AK172+AL172</f>
        <v>0</v>
      </c>
      <c r="AN172" s="55" t="n">
        <f aca="false">ROUND(MAX(0,AN171+AO171-AR171),2)</f>
        <v>0</v>
      </c>
      <c r="AO172" s="55" t="n">
        <f aca="false">ROUND(AN172*$E$12/12,2)</f>
        <v>0</v>
      </c>
      <c r="AP172" s="55" t="n">
        <f aca="false">MIN($F$12,AN172+AO172)</f>
        <v>0</v>
      </c>
      <c r="AQ172" s="55" t="n">
        <f aca="false">MAX(0,MIN(AN172+AO172-AP172,$D172-(H172+M172+R172+W172+AB172+AG172+AL172)))</f>
        <v>0</v>
      </c>
      <c r="AR172" s="55" t="n">
        <f aca="false">AP172+AQ172</f>
        <v>0</v>
      </c>
      <c r="AS172" s="55" t="n">
        <f aca="false">ROUND(MAX(0,AS171+AT171-AW171),2)</f>
        <v>0</v>
      </c>
      <c r="AT172" s="55" t="n">
        <f aca="false">ROUND(AS172*$E$13/12,2)</f>
        <v>0</v>
      </c>
      <c r="AU172" s="55" t="n">
        <f aca="false">MIN($F$13,AS172+AT172)</f>
        <v>0</v>
      </c>
      <c r="AV172" s="55" t="n">
        <f aca="false">MAX(0,MIN(AS172+AT172-AU172,$D172-(H172+M172+R172+W172+AB172+AG172+AL172+AQ172)))</f>
        <v>0</v>
      </c>
      <c r="AW172" s="55" t="n">
        <f aca="false">AU172+AV172</f>
        <v>0</v>
      </c>
      <c r="AX172" s="55" t="n">
        <f aca="false">ROUND(MAX(0,AX171+AY171-BB171),2)</f>
        <v>0</v>
      </c>
      <c r="AY172" s="55" t="n">
        <f aca="false">ROUND(AX172*$E$14/12,2)</f>
        <v>0</v>
      </c>
      <c r="AZ172" s="55" t="n">
        <f aca="false">MIN($F$14,AX172+AY172)</f>
        <v>0</v>
      </c>
      <c r="BA172" s="55" t="n">
        <f aca="false">MAX(0,MIN(AX172+AY172-AZ172,$D172-(H172+M172+R172+W172+AB172+AG172+AL172+AQ172+AV172)))</f>
        <v>0</v>
      </c>
      <c r="BB172" s="55" t="n">
        <f aca="false">AZ172+BA172</f>
        <v>0</v>
      </c>
      <c r="BC172" s="55" t="n">
        <f aca="false">I172+N172+S172+X172+AC172+AH172+AM172+AR172+AW172+BB172</f>
        <v>0</v>
      </c>
      <c r="BD172" s="55" t="n">
        <f aca="false">ROUND((E172+F172-I172)+(J172+K172-N172)+(O172+P172-S172)+(T172+U172-X172)+(Y172+Z172-AC172)+(AD172+AE172-AH172)+(AI172+AJ172-AM172)+(AN172+AO172-AR172)+(AS172+AT172-AW172)+(AX172+AY172-BB172),2)</f>
        <v>0</v>
      </c>
      <c r="BE172" s="25" t="str">
        <f aca="false">IF(H172&gt;0.005,$C$5,IF(M172&gt;0.005,$C$6,IF(R172&gt;0.005,$C$7,IF(W172&gt;0.005,$C$8,IF(AB172&gt;0.005,$C$9,IF(AG172&gt;0.005,$C$10,IF(AL172&gt;0.005,$C$11,IF(AQ172&gt;0.005,$C$12,IF(AV172&gt;0.005,$C$13,IF(BA172&gt;0.005,$C$14,""))))))))))</f>
        <v/>
      </c>
    </row>
    <row r="173" customFormat="false" ht="15" hidden="false" customHeight="false" outlineLevel="0" collapsed="false">
      <c r="A173" s="24" t="n">
        <v>150</v>
      </c>
      <c r="B173" s="54" t="n">
        <f aca="false">EDATE($C$17,A173-1)</f>
        <v>50861</v>
      </c>
      <c r="C173" s="55" t="n">
        <f aca="false">G173+L173+Q173+V173+AA173+AF173+AK173+AP173+AU173+AZ173</f>
        <v>0</v>
      </c>
      <c r="D173" s="55" t="n">
        <f aca="false">MAX(0,$C$16-C173)</f>
        <v>5822</v>
      </c>
      <c r="E173" s="55" t="n">
        <f aca="false">ROUND(MAX(0,E172+F172-I172),2)</f>
        <v>0</v>
      </c>
      <c r="F173" s="55" t="n">
        <f aca="false">ROUND(E173*$E$5/12,2)</f>
        <v>0</v>
      </c>
      <c r="G173" s="55" t="n">
        <f aca="false">MIN($F$5,E173+F173)</f>
        <v>0</v>
      </c>
      <c r="H173" s="55" t="n">
        <f aca="false">MAX(0,MIN(E173+F173-G173,$D173))</f>
        <v>0</v>
      </c>
      <c r="I173" s="55" t="n">
        <f aca="false">G173+H173</f>
        <v>0</v>
      </c>
      <c r="J173" s="55" t="n">
        <f aca="false">ROUND(MAX(0,J172+K172-N172),2)</f>
        <v>0</v>
      </c>
      <c r="K173" s="55" t="n">
        <f aca="false">ROUND(J173*$E$6/12,2)</f>
        <v>0</v>
      </c>
      <c r="L173" s="55" t="n">
        <f aca="false">MIN($F$6,J173+K173)</f>
        <v>0</v>
      </c>
      <c r="M173" s="55" t="n">
        <f aca="false">MAX(0,MIN(J173+K173-L173,$D173-(H173)))</f>
        <v>0</v>
      </c>
      <c r="N173" s="55" t="n">
        <f aca="false">L173+M173</f>
        <v>0</v>
      </c>
      <c r="O173" s="55" t="n">
        <f aca="false">ROUND(MAX(0,O172+P172-S172),2)</f>
        <v>0</v>
      </c>
      <c r="P173" s="55" t="n">
        <f aca="false">ROUND(O173*$E$7/12,2)</f>
        <v>0</v>
      </c>
      <c r="Q173" s="55" t="n">
        <f aca="false">MIN($F$7,O173+P173)</f>
        <v>0</v>
      </c>
      <c r="R173" s="55" t="n">
        <f aca="false">MAX(0,MIN(O173+P173-Q173,$D173-(H173+M173)))</f>
        <v>0</v>
      </c>
      <c r="S173" s="55" t="n">
        <f aca="false">Q173+R173</f>
        <v>0</v>
      </c>
      <c r="T173" s="55" t="n">
        <f aca="false">ROUND(MAX(0,T172+U172-X172),2)</f>
        <v>0</v>
      </c>
      <c r="U173" s="55" t="n">
        <f aca="false">ROUND(T173*$E$8/12,2)</f>
        <v>0</v>
      </c>
      <c r="V173" s="55" t="n">
        <f aca="false">MIN($F$8,T173+U173)</f>
        <v>0</v>
      </c>
      <c r="W173" s="55" t="n">
        <f aca="false">MAX(0,MIN(T173+U173-V173,$D173-(H173+M173+R173)))</f>
        <v>0</v>
      </c>
      <c r="X173" s="55" t="n">
        <f aca="false">V173+W173</f>
        <v>0</v>
      </c>
      <c r="Y173" s="55" t="n">
        <f aca="false">ROUND(MAX(0,Y172+Z172-AC172),2)</f>
        <v>0</v>
      </c>
      <c r="Z173" s="55" t="n">
        <f aca="false">ROUND(Y173*$E$9/12,2)</f>
        <v>0</v>
      </c>
      <c r="AA173" s="55" t="n">
        <f aca="false">MIN($F$9,Y173+Z173)</f>
        <v>0</v>
      </c>
      <c r="AB173" s="55" t="n">
        <f aca="false">MAX(0,MIN(Y173+Z173-AA173,$D173-(H173+M173+R173+W173)))</f>
        <v>0</v>
      </c>
      <c r="AC173" s="55" t="n">
        <f aca="false">AA173+AB173</f>
        <v>0</v>
      </c>
      <c r="AD173" s="55" t="n">
        <f aca="false">ROUND(MAX(0,AD172+AE172-AH172),2)</f>
        <v>0</v>
      </c>
      <c r="AE173" s="55" t="n">
        <f aca="false">ROUND(AD173*$E$10/12,2)</f>
        <v>0</v>
      </c>
      <c r="AF173" s="55" t="n">
        <f aca="false">MIN($F$10,AD173+AE173)</f>
        <v>0</v>
      </c>
      <c r="AG173" s="55" t="n">
        <f aca="false">MAX(0,MIN(AD173+AE173-AF173,$D173-(H173+M173+R173+W173+AB173)))</f>
        <v>0</v>
      </c>
      <c r="AH173" s="55" t="n">
        <f aca="false">AF173+AG173</f>
        <v>0</v>
      </c>
      <c r="AI173" s="55" t="n">
        <f aca="false">ROUND(MAX(0,AI172+AJ172-AM172),2)</f>
        <v>0</v>
      </c>
      <c r="AJ173" s="55" t="n">
        <f aca="false">ROUND(AI173*$E$11/12,2)</f>
        <v>0</v>
      </c>
      <c r="AK173" s="55" t="n">
        <f aca="false">MIN($F$11,AI173+AJ173)</f>
        <v>0</v>
      </c>
      <c r="AL173" s="55" t="n">
        <f aca="false">MAX(0,MIN(AI173+AJ173-AK173,$D173-(H173+M173+R173+W173+AB173+AG173)))</f>
        <v>0</v>
      </c>
      <c r="AM173" s="55" t="n">
        <f aca="false">AK173+AL173</f>
        <v>0</v>
      </c>
      <c r="AN173" s="55" t="n">
        <f aca="false">ROUND(MAX(0,AN172+AO172-AR172),2)</f>
        <v>0</v>
      </c>
      <c r="AO173" s="55" t="n">
        <f aca="false">ROUND(AN173*$E$12/12,2)</f>
        <v>0</v>
      </c>
      <c r="AP173" s="55" t="n">
        <f aca="false">MIN($F$12,AN173+AO173)</f>
        <v>0</v>
      </c>
      <c r="AQ173" s="55" t="n">
        <f aca="false">MAX(0,MIN(AN173+AO173-AP173,$D173-(H173+M173+R173+W173+AB173+AG173+AL173)))</f>
        <v>0</v>
      </c>
      <c r="AR173" s="55" t="n">
        <f aca="false">AP173+AQ173</f>
        <v>0</v>
      </c>
      <c r="AS173" s="55" t="n">
        <f aca="false">ROUND(MAX(0,AS172+AT172-AW172),2)</f>
        <v>0</v>
      </c>
      <c r="AT173" s="55" t="n">
        <f aca="false">ROUND(AS173*$E$13/12,2)</f>
        <v>0</v>
      </c>
      <c r="AU173" s="55" t="n">
        <f aca="false">MIN($F$13,AS173+AT173)</f>
        <v>0</v>
      </c>
      <c r="AV173" s="55" t="n">
        <f aca="false">MAX(0,MIN(AS173+AT173-AU173,$D173-(H173+M173+R173+W173+AB173+AG173+AL173+AQ173)))</f>
        <v>0</v>
      </c>
      <c r="AW173" s="55" t="n">
        <f aca="false">AU173+AV173</f>
        <v>0</v>
      </c>
      <c r="AX173" s="55" t="n">
        <f aca="false">ROUND(MAX(0,AX172+AY172-BB172),2)</f>
        <v>0</v>
      </c>
      <c r="AY173" s="55" t="n">
        <f aca="false">ROUND(AX173*$E$14/12,2)</f>
        <v>0</v>
      </c>
      <c r="AZ173" s="55" t="n">
        <f aca="false">MIN($F$14,AX173+AY173)</f>
        <v>0</v>
      </c>
      <c r="BA173" s="55" t="n">
        <f aca="false">MAX(0,MIN(AX173+AY173-AZ173,$D173-(H173+M173+R173+W173+AB173+AG173+AL173+AQ173+AV173)))</f>
        <v>0</v>
      </c>
      <c r="BB173" s="55" t="n">
        <f aca="false">AZ173+BA173</f>
        <v>0</v>
      </c>
      <c r="BC173" s="55" t="n">
        <f aca="false">I173+N173+S173+X173+AC173+AH173+AM173+AR173+AW173+BB173</f>
        <v>0</v>
      </c>
      <c r="BD173" s="55" t="n">
        <f aca="false">ROUND((E173+F173-I173)+(J173+K173-N173)+(O173+P173-S173)+(T173+U173-X173)+(Y173+Z173-AC173)+(AD173+AE173-AH173)+(AI173+AJ173-AM173)+(AN173+AO173-AR173)+(AS173+AT173-AW173)+(AX173+AY173-BB173),2)</f>
        <v>0</v>
      </c>
      <c r="BE173" s="25" t="str">
        <f aca="false">IF(H173&gt;0.005,$C$5,IF(M173&gt;0.005,$C$6,IF(R173&gt;0.005,$C$7,IF(W173&gt;0.005,$C$8,IF(AB173&gt;0.005,$C$9,IF(AG173&gt;0.005,$C$10,IF(AL173&gt;0.005,$C$11,IF(AQ173&gt;0.005,$C$12,IF(AV173&gt;0.005,$C$13,IF(BA173&gt;0.005,$C$14,""))))))))))</f>
        <v/>
      </c>
    </row>
    <row r="174" customFormat="false" ht="15" hidden="false" customHeight="false" outlineLevel="0" collapsed="false">
      <c r="A174" s="24" t="n">
        <v>151</v>
      </c>
      <c r="B174" s="54" t="n">
        <f aca="false">EDATE($C$17,A174-1)</f>
        <v>50891</v>
      </c>
      <c r="C174" s="55" t="n">
        <f aca="false">G174+L174+Q174+V174+AA174+AF174+AK174+AP174+AU174+AZ174</f>
        <v>0</v>
      </c>
      <c r="D174" s="55" t="n">
        <f aca="false">MAX(0,$C$16-C174)</f>
        <v>5822</v>
      </c>
      <c r="E174" s="55" t="n">
        <f aca="false">ROUND(MAX(0,E173+F173-I173),2)</f>
        <v>0</v>
      </c>
      <c r="F174" s="55" t="n">
        <f aca="false">ROUND(E174*$E$5/12,2)</f>
        <v>0</v>
      </c>
      <c r="G174" s="55" t="n">
        <f aca="false">MIN($F$5,E174+F174)</f>
        <v>0</v>
      </c>
      <c r="H174" s="55" t="n">
        <f aca="false">MAX(0,MIN(E174+F174-G174,$D174))</f>
        <v>0</v>
      </c>
      <c r="I174" s="55" t="n">
        <f aca="false">G174+H174</f>
        <v>0</v>
      </c>
      <c r="J174" s="55" t="n">
        <f aca="false">ROUND(MAX(0,J173+K173-N173),2)</f>
        <v>0</v>
      </c>
      <c r="K174" s="55" t="n">
        <f aca="false">ROUND(J174*$E$6/12,2)</f>
        <v>0</v>
      </c>
      <c r="L174" s="55" t="n">
        <f aca="false">MIN($F$6,J174+K174)</f>
        <v>0</v>
      </c>
      <c r="M174" s="55" t="n">
        <f aca="false">MAX(0,MIN(J174+K174-L174,$D174-(H174)))</f>
        <v>0</v>
      </c>
      <c r="N174" s="55" t="n">
        <f aca="false">L174+M174</f>
        <v>0</v>
      </c>
      <c r="O174" s="55" t="n">
        <f aca="false">ROUND(MAX(0,O173+P173-S173),2)</f>
        <v>0</v>
      </c>
      <c r="P174" s="55" t="n">
        <f aca="false">ROUND(O174*$E$7/12,2)</f>
        <v>0</v>
      </c>
      <c r="Q174" s="55" t="n">
        <f aca="false">MIN($F$7,O174+P174)</f>
        <v>0</v>
      </c>
      <c r="R174" s="55" t="n">
        <f aca="false">MAX(0,MIN(O174+P174-Q174,$D174-(H174+M174)))</f>
        <v>0</v>
      </c>
      <c r="S174" s="55" t="n">
        <f aca="false">Q174+R174</f>
        <v>0</v>
      </c>
      <c r="T174" s="55" t="n">
        <f aca="false">ROUND(MAX(0,T173+U173-X173),2)</f>
        <v>0</v>
      </c>
      <c r="U174" s="55" t="n">
        <f aca="false">ROUND(T174*$E$8/12,2)</f>
        <v>0</v>
      </c>
      <c r="V174" s="55" t="n">
        <f aca="false">MIN($F$8,T174+U174)</f>
        <v>0</v>
      </c>
      <c r="W174" s="55" t="n">
        <f aca="false">MAX(0,MIN(T174+U174-V174,$D174-(H174+M174+R174)))</f>
        <v>0</v>
      </c>
      <c r="X174" s="55" t="n">
        <f aca="false">V174+W174</f>
        <v>0</v>
      </c>
      <c r="Y174" s="55" t="n">
        <f aca="false">ROUND(MAX(0,Y173+Z173-AC173),2)</f>
        <v>0</v>
      </c>
      <c r="Z174" s="55" t="n">
        <f aca="false">ROUND(Y174*$E$9/12,2)</f>
        <v>0</v>
      </c>
      <c r="AA174" s="55" t="n">
        <f aca="false">MIN($F$9,Y174+Z174)</f>
        <v>0</v>
      </c>
      <c r="AB174" s="55" t="n">
        <f aca="false">MAX(0,MIN(Y174+Z174-AA174,$D174-(H174+M174+R174+W174)))</f>
        <v>0</v>
      </c>
      <c r="AC174" s="55" t="n">
        <f aca="false">AA174+AB174</f>
        <v>0</v>
      </c>
      <c r="AD174" s="55" t="n">
        <f aca="false">ROUND(MAX(0,AD173+AE173-AH173),2)</f>
        <v>0</v>
      </c>
      <c r="AE174" s="55" t="n">
        <f aca="false">ROUND(AD174*$E$10/12,2)</f>
        <v>0</v>
      </c>
      <c r="AF174" s="55" t="n">
        <f aca="false">MIN($F$10,AD174+AE174)</f>
        <v>0</v>
      </c>
      <c r="AG174" s="55" t="n">
        <f aca="false">MAX(0,MIN(AD174+AE174-AF174,$D174-(H174+M174+R174+W174+AB174)))</f>
        <v>0</v>
      </c>
      <c r="AH174" s="55" t="n">
        <f aca="false">AF174+AG174</f>
        <v>0</v>
      </c>
      <c r="AI174" s="55" t="n">
        <f aca="false">ROUND(MAX(0,AI173+AJ173-AM173),2)</f>
        <v>0</v>
      </c>
      <c r="AJ174" s="55" t="n">
        <f aca="false">ROUND(AI174*$E$11/12,2)</f>
        <v>0</v>
      </c>
      <c r="AK174" s="55" t="n">
        <f aca="false">MIN($F$11,AI174+AJ174)</f>
        <v>0</v>
      </c>
      <c r="AL174" s="55" t="n">
        <f aca="false">MAX(0,MIN(AI174+AJ174-AK174,$D174-(H174+M174+R174+W174+AB174+AG174)))</f>
        <v>0</v>
      </c>
      <c r="AM174" s="55" t="n">
        <f aca="false">AK174+AL174</f>
        <v>0</v>
      </c>
      <c r="AN174" s="55" t="n">
        <f aca="false">ROUND(MAX(0,AN173+AO173-AR173),2)</f>
        <v>0</v>
      </c>
      <c r="AO174" s="55" t="n">
        <f aca="false">ROUND(AN174*$E$12/12,2)</f>
        <v>0</v>
      </c>
      <c r="AP174" s="55" t="n">
        <f aca="false">MIN($F$12,AN174+AO174)</f>
        <v>0</v>
      </c>
      <c r="AQ174" s="55" t="n">
        <f aca="false">MAX(0,MIN(AN174+AO174-AP174,$D174-(H174+M174+R174+W174+AB174+AG174+AL174)))</f>
        <v>0</v>
      </c>
      <c r="AR174" s="55" t="n">
        <f aca="false">AP174+AQ174</f>
        <v>0</v>
      </c>
      <c r="AS174" s="55" t="n">
        <f aca="false">ROUND(MAX(0,AS173+AT173-AW173),2)</f>
        <v>0</v>
      </c>
      <c r="AT174" s="55" t="n">
        <f aca="false">ROUND(AS174*$E$13/12,2)</f>
        <v>0</v>
      </c>
      <c r="AU174" s="55" t="n">
        <f aca="false">MIN($F$13,AS174+AT174)</f>
        <v>0</v>
      </c>
      <c r="AV174" s="55" t="n">
        <f aca="false">MAX(0,MIN(AS174+AT174-AU174,$D174-(H174+M174+R174+W174+AB174+AG174+AL174+AQ174)))</f>
        <v>0</v>
      </c>
      <c r="AW174" s="55" t="n">
        <f aca="false">AU174+AV174</f>
        <v>0</v>
      </c>
      <c r="AX174" s="55" t="n">
        <f aca="false">ROUND(MAX(0,AX173+AY173-BB173),2)</f>
        <v>0</v>
      </c>
      <c r="AY174" s="55" t="n">
        <f aca="false">ROUND(AX174*$E$14/12,2)</f>
        <v>0</v>
      </c>
      <c r="AZ174" s="55" t="n">
        <f aca="false">MIN($F$14,AX174+AY174)</f>
        <v>0</v>
      </c>
      <c r="BA174" s="55" t="n">
        <f aca="false">MAX(0,MIN(AX174+AY174-AZ174,$D174-(H174+M174+R174+W174+AB174+AG174+AL174+AQ174+AV174)))</f>
        <v>0</v>
      </c>
      <c r="BB174" s="55" t="n">
        <f aca="false">AZ174+BA174</f>
        <v>0</v>
      </c>
      <c r="BC174" s="55" t="n">
        <f aca="false">I174+N174+S174+X174+AC174+AH174+AM174+AR174+AW174+BB174</f>
        <v>0</v>
      </c>
      <c r="BD174" s="55" t="n">
        <f aca="false">ROUND((E174+F174-I174)+(J174+K174-N174)+(O174+P174-S174)+(T174+U174-X174)+(Y174+Z174-AC174)+(AD174+AE174-AH174)+(AI174+AJ174-AM174)+(AN174+AO174-AR174)+(AS174+AT174-AW174)+(AX174+AY174-BB174),2)</f>
        <v>0</v>
      </c>
      <c r="BE174" s="25" t="str">
        <f aca="false">IF(H174&gt;0.005,$C$5,IF(M174&gt;0.005,$C$6,IF(R174&gt;0.005,$C$7,IF(W174&gt;0.005,$C$8,IF(AB174&gt;0.005,$C$9,IF(AG174&gt;0.005,$C$10,IF(AL174&gt;0.005,$C$11,IF(AQ174&gt;0.005,$C$12,IF(AV174&gt;0.005,$C$13,IF(BA174&gt;0.005,$C$14,""))))))))))</f>
        <v/>
      </c>
    </row>
    <row r="175" customFormat="false" ht="15" hidden="false" customHeight="false" outlineLevel="0" collapsed="false">
      <c r="A175" s="24" t="n">
        <v>152</v>
      </c>
      <c r="B175" s="54" t="n">
        <f aca="false">EDATE($C$17,A175-1)</f>
        <v>50922</v>
      </c>
      <c r="C175" s="55" t="n">
        <f aca="false">G175+L175+Q175+V175+AA175+AF175+AK175+AP175+AU175+AZ175</f>
        <v>0</v>
      </c>
      <c r="D175" s="55" t="n">
        <f aca="false">MAX(0,$C$16-C175)</f>
        <v>5822</v>
      </c>
      <c r="E175" s="55" t="n">
        <f aca="false">ROUND(MAX(0,E174+F174-I174),2)</f>
        <v>0</v>
      </c>
      <c r="F175" s="55" t="n">
        <f aca="false">ROUND(E175*$E$5/12,2)</f>
        <v>0</v>
      </c>
      <c r="G175" s="55" t="n">
        <f aca="false">MIN($F$5,E175+F175)</f>
        <v>0</v>
      </c>
      <c r="H175" s="55" t="n">
        <f aca="false">MAX(0,MIN(E175+F175-G175,$D175))</f>
        <v>0</v>
      </c>
      <c r="I175" s="55" t="n">
        <f aca="false">G175+H175</f>
        <v>0</v>
      </c>
      <c r="J175" s="55" t="n">
        <f aca="false">ROUND(MAX(0,J174+K174-N174),2)</f>
        <v>0</v>
      </c>
      <c r="K175" s="55" t="n">
        <f aca="false">ROUND(J175*$E$6/12,2)</f>
        <v>0</v>
      </c>
      <c r="L175" s="55" t="n">
        <f aca="false">MIN($F$6,J175+K175)</f>
        <v>0</v>
      </c>
      <c r="M175" s="55" t="n">
        <f aca="false">MAX(0,MIN(J175+K175-L175,$D175-(H175)))</f>
        <v>0</v>
      </c>
      <c r="N175" s="55" t="n">
        <f aca="false">L175+M175</f>
        <v>0</v>
      </c>
      <c r="O175" s="55" t="n">
        <f aca="false">ROUND(MAX(0,O174+P174-S174),2)</f>
        <v>0</v>
      </c>
      <c r="P175" s="55" t="n">
        <f aca="false">ROUND(O175*$E$7/12,2)</f>
        <v>0</v>
      </c>
      <c r="Q175" s="55" t="n">
        <f aca="false">MIN($F$7,O175+P175)</f>
        <v>0</v>
      </c>
      <c r="R175" s="55" t="n">
        <f aca="false">MAX(0,MIN(O175+P175-Q175,$D175-(H175+M175)))</f>
        <v>0</v>
      </c>
      <c r="S175" s="55" t="n">
        <f aca="false">Q175+R175</f>
        <v>0</v>
      </c>
      <c r="T175" s="55" t="n">
        <f aca="false">ROUND(MAX(0,T174+U174-X174),2)</f>
        <v>0</v>
      </c>
      <c r="U175" s="55" t="n">
        <f aca="false">ROUND(T175*$E$8/12,2)</f>
        <v>0</v>
      </c>
      <c r="V175" s="55" t="n">
        <f aca="false">MIN($F$8,T175+U175)</f>
        <v>0</v>
      </c>
      <c r="W175" s="55" t="n">
        <f aca="false">MAX(0,MIN(T175+U175-V175,$D175-(H175+M175+R175)))</f>
        <v>0</v>
      </c>
      <c r="X175" s="55" t="n">
        <f aca="false">V175+W175</f>
        <v>0</v>
      </c>
      <c r="Y175" s="55" t="n">
        <f aca="false">ROUND(MAX(0,Y174+Z174-AC174),2)</f>
        <v>0</v>
      </c>
      <c r="Z175" s="55" t="n">
        <f aca="false">ROUND(Y175*$E$9/12,2)</f>
        <v>0</v>
      </c>
      <c r="AA175" s="55" t="n">
        <f aca="false">MIN($F$9,Y175+Z175)</f>
        <v>0</v>
      </c>
      <c r="AB175" s="55" t="n">
        <f aca="false">MAX(0,MIN(Y175+Z175-AA175,$D175-(H175+M175+R175+W175)))</f>
        <v>0</v>
      </c>
      <c r="AC175" s="55" t="n">
        <f aca="false">AA175+AB175</f>
        <v>0</v>
      </c>
      <c r="AD175" s="55" t="n">
        <f aca="false">ROUND(MAX(0,AD174+AE174-AH174),2)</f>
        <v>0</v>
      </c>
      <c r="AE175" s="55" t="n">
        <f aca="false">ROUND(AD175*$E$10/12,2)</f>
        <v>0</v>
      </c>
      <c r="AF175" s="55" t="n">
        <f aca="false">MIN($F$10,AD175+AE175)</f>
        <v>0</v>
      </c>
      <c r="AG175" s="55" t="n">
        <f aca="false">MAX(0,MIN(AD175+AE175-AF175,$D175-(H175+M175+R175+W175+AB175)))</f>
        <v>0</v>
      </c>
      <c r="AH175" s="55" t="n">
        <f aca="false">AF175+AG175</f>
        <v>0</v>
      </c>
      <c r="AI175" s="55" t="n">
        <f aca="false">ROUND(MAX(0,AI174+AJ174-AM174),2)</f>
        <v>0</v>
      </c>
      <c r="AJ175" s="55" t="n">
        <f aca="false">ROUND(AI175*$E$11/12,2)</f>
        <v>0</v>
      </c>
      <c r="AK175" s="55" t="n">
        <f aca="false">MIN($F$11,AI175+AJ175)</f>
        <v>0</v>
      </c>
      <c r="AL175" s="55" t="n">
        <f aca="false">MAX(0,MIN(AI175+AJ175-AK175,$D175-(H175+M175+R175+W175+AB175+AG175)))</f>
        <v>0</v>
      </c>
      <c r="AM175" s="55" t="n">
        <f aca="false">AK175+AL175</f>
        <v>0</v>
      </c>
      <c r="AN175" s="55" t="n">
        <f aca="false">ROUND(MAX(0,AN174+AO174-AR174),2)</f>
        <v>0</v>
      </c>
      <c r="AO175" s="55" t="n">
        <f aca="false">ROUND(AN175*$E$12/12,2)</f>
        <v>0</v>
      </c>
      <c r="AP175" s="55" t="n">
        <f aca="false">MIN($F$12,AN175+AO175)</f>
        <v>0</v>
      </c>
      <c r="AQ175" s="55" t="n">
        <f aca="false">MAX(0,MIN(AN175+AO175-AP175,$D175-(H175+M175+R175+W175+AB175+AG175+AL175)))</f>
        <v>0</v>
      </c>
      <c r="AR175" s="55" t="n">
        <f aca="false">AP175+AQ175</f>
        <v>0</v>
      </c>
      <c r="AS175" s="55" t="n">
        <f aca="false">ROUND(MAX(0,AS174+AT174-AW174),2)</f>
        <v>0</v>
      </c>
      <c r="AT175" s="55" t="n">
        <f aca="false">ROUND(AS175*$E$13/12,2)</f>
        <v>0</v>
      </c>
      <c r="AU175" s="55" t="n">
        <f aca="false">MIN($F$13,AS175+AT175)</f>
        <v>0</v>
      </c>
      <c r="AV175" s="55" t="n">
        <f aca="false">MAX(0,MIN(AS175+AT175-AU175,$D175-(H175+M175+R175+W175+AB175+AG175+AL175+AQ175)))</f>
        <v>0</v>
      </c>
      <c r="AW175" s="55" t="n">
        <f aca="false">AU175+AV175</f>
        <v>0</v>
      </c>
      <c r="AX175" s="55" t="n">
        <f aca="false">ROUND(MAX(0,AX174+AY174-BB174),2)</f>
        <v>0</v>
      </c>
      <c r="AY175" s="55" t="n">
        <f aca="false">ROUND(AX175*$E$14/12,2)</f>
        <v>0</v>
      </c>
      <c r="AZ175" s="55" t="n">
        <f aca="false">MIN($F$14,AX175+AY175)</f>
        <v>0</v>
      </c>
      <c r="BA175" s="55" t="n">
        <f aca="false">MAX(0,MIN(AX175+AY175-AZ175,$D175-(H175+M175+R175+W175+AB175+AG175+AL175+AQ175+AV175)))</f>
        <v>0</v>
      </c>
      <c r="BB175" s="55" t="n">
        <f aca="false">AZ175+BA175</f>
        <v>0</v>
      </c>
      <c r="BC175" s="55" t="n">
        <f aca="false">I175+N175+S175+X175+AC175+AH175+AM175+AR175+AW175+BB175</f>
        <v>0</v>
      </c>
      <c r="BD175" s="55" t="n">
        <f aca="false">ROUND((E175+F175-I175)+(J175+K175-N175)+(O175+P175-S175)+(T175+U175-X175)+(Y175+Z175-AC175)+(AD175+AE175-AH175)+(AI175+AJ175-AM175)+(AN175+AO175-AR175)+(AS175+AT175-AW175)+(AX175+AY175-BB175),2)</f>
        <v>0</v>
      </c>
      <c r="BE175" s="25" t="str">
        <f aca="false">IF(H175&gt;0.005,$C$5,IF(M175&gt;0.005,$C$6,IF(R175&gt;0.005,$C$7,IF(W175&gt;0.005,$C$8,IF(AB175&gt;0.005,$C$9,IF(AG175&gt;0.005,$C$10,IF(AL175&gt;0.005,$C$11,IF(AQ175&gt;0.005,$C$12,IF(AV175&gt;0.005,$C$13,IF(BA175&gt;0.005,$C$14,""))))))))))</f>
        <v/>
      </c>
    </row>
    <row r="176" customFormat="false" ht="15" hidden="false" customHeight="false" outlineLevel="0" collapsed="false">
      <c r="A176" s="24" t="n">
        <v>153</v>
      </c>
      <c r="B176" s="54" t="n">
        <f aca="false">EDATE($C$17,A176-1)</f>
        <v>50952</v>
      </c>
      <c r="C176" s="55" t="n">
        <f aca="false">G176+L176+Q176+V176+AA176+AF176+AK176+AP176+AU176+AZ176</f>
        <v>0</v>
      </c>
      <c r="D176" s="55" t="n">
        <f aca="false">MAX(0,$C$16-C176)</f>
        <v>5822</v>
      </c>
      <c r="E176" s="55" t="n">
        <f aca="false">ROUND(MAX(0,E175+F175-I175),2)</f>
        <v>0</v>
      </c>
      <c r="F176" s="55" t="n">
        <f aca="false">ROUND(E176*$E$5/12,2)</f>
        <v>0</v>
      </c>
      <c r="G176" s="55" t="n">
        <f aca="false">MIN($F$5,E176+F176)</f>
        <v>0</v>
      </c>
      <c r="H176" s="55" t="n">
        <f aca="false">MAX(0,MIN(E176+F176-G176,$D176))</f>
        <v>0</v>
      </c>
      <c r="I176" s="55" t="n">
        <f aca="false">G176+H176</f>
        <v>0</v>
      </c>
      <c r="J176" s="55" t="n">
        <f aca="false">ROUND(MAX(0,J175+K175-N175),2)</f>
        <v>0</v>
      </c>
      <c r="K176" s="55" t="n">
        <f aca="false">ROUND(J176*$E$6/12,2)</f>
        <v>0</v>
      </c>
      <c r="L176" s="55" t="n">
        <f aca="false">MIN($F$6,J176+K176)</f>
        <v>0</v>
      </c>
      <c r="M176" s="55" t="n">
        <f aca="false">MAX(0,MIN(J176+K176-L176,$D176-(H176)))</f>
        <v>0</v>
      </c>
      <c r="N176" s="55" t="n">
        <f aca="false">L176+M176</f>
        <v>0</v>
      </c>
      <c r="O176" s="55" t="n">
        <f aca="false">ROUND(MAX(0,O175+P175-S175),2)</f>
        <v>0</v>
      </c>
      <c r="P176" s="55" t="n">
        <f aca="false">ROUND(O176*$E$7/12,2)</f>
        <v>0</v>
      </c>
      <c r="Q176" s="55" t="n">
        <f aca="false">MIN($F$7,O176+P176)</f>
        <v>0</v>
      </c>
      <c r="R176" s="55" t="n">
        <f aca="false">MAX(0,MIN(O176+P176-Q176,$D176-(H176+M176)))</f>
        <v>0</v>
      </c>
      <c r="S176" s="55" t="n">
        <f aca="false">Q176+R176</f>
        <v>0</v>
      </c>
      <c r="T176" s="55" t="n">
        <f aca="false">ROUND(MAX(0,T175+U175-X175),2)</f>
        <v>0</v>
      </c>
      <c r="U176" s="55" t="n">
        <f aca="false">ROUND(T176*$E$8/12,2)</f>
        <v>0</v>
      </c>
      <c r="V176" s="55" t="n">
        <f aca="false">MIN($F$8,T176+U176)</f>
        <v>0</v>
      </c>
      <c r="W176" s="55" t="n">
        <f aca="false">MAX(0,MIN(T176+U176-V176,$D176-(H176+M176+R176)))</f>
        <v>0</v>
      </c>
      <c r="X176" s="55" t="n">
        <f aca="false">V176+W176</f>
        <v>0</v>
      </c>
      <c r="Y176" s="55" t="n">
        <f aca="false">ROUND(MAX(0,Y175+Z175-AC175),2)</f>
        <v>0</v>
      </c>
      <c r="Z176" s="55" t="n">
        <f aca="false">ROUND(Y176*$E$9/12,2)</f>
        <v>0</v>
      </c>
      <c r="AA176" s="55" t="n">
        <f aca="false">MIN($F$9,Y176+Z176)</f>
        <v>0</v>
      </c>
      <c r="AB176" s="55" t="n">
        <f aca="false">MAX(0,MIN(Y176+Z176-AA176,$D176-(H176+M176+R176+W176)))</f>
        <v>0</v>
      </c>
      <c r="AC176" s="55" t="n">
        <f aca="false">AA176+AB176</f>
        <v>0</v>
      </c>
      <c r="AD176" s="55" t="n">
        <f aca="false">ROUND(MAX(0,AD175+AE175-AH175),2)</f>
        <v>0</v>
      </c>
      <c r="AE176" s="55" t="n">
        <f aca="false">ROUND(AD176*$E$10/12,2)</f>
        <v>0</v>
      </c>
      <c r="AF176" s="55" t="n">
        <f aca="false">MIN($F$10,AD176+AE176)</f>
        <v>0</v>
      </c>
      <c r="AG176" s="55" t="n">
        <f aca="false">MAX(0,MIN(AD176+AE176-AF176,$D176-(H176+M176+R176+W176+AB176)))</f>
        <v>0</v>
      </c>
      <c r="AH176" s="55" t="n">
        <f aca="false">AF176+AG176</f>
        <v>0</v>
      </c>
      <c r="AI176" s="55" t="n">
        <f aca="false">ROUND(MAX(0,AI175+AJ175-AM175),2)</f>
        <v>0</v>
      </c>
      <c r="AJ176" s="55" t="n">
        <f aca="false">ROUND(AI176*$E$11/12,2)</f>
        <v>0</v>
      </c>
      <c r="AK176" s="55" t="n">
        <f aca="false">MIN($F$11,AI176+AJ176)</f>
        <v>0</v>
      </c>
      <c r="AL176" s="55" t="n">
        <f aca="false">MAX(0,MIN(AI176+AJ176-AK176,$D176-(H176+M176+R176+W176+AB176+AG176)))</f>
        <v>0</v>
      </c>
      <c r="AM176" s="55" t="n">
        <f aca="false">AK176+AL176</f>
        <v>0</v>
      </c>
      <c r="AN176" s="55" t="n">
        <f aca="false">ROUND(MAX(0,AN175+AO175-AR175),2)</f>
        <v>0</v>
      </c>
      <c r="AO176" s="55" t="n">
        <f aca="false">ROUND(AN176*$E$12/12,2)</f>
        <v>0</v>
      </c>
      <c r="AP176" s="55" t="n">
        <f aca="false">MIN($F$12,AN176+AO176)</f>
        <v>0</v>
      </c>
      <c r="AQ176" s="55" t="n">
        <f aca="false">MAX(0,MIN(AN176+AO176-AP176,$D176-(H176+M176+R176+W176+AB176+AG176+AL176)))</f>
        <v>0</v>
      </c>
      <c r="AR176" s="55" t="n">
        <f aca="false">AP176+AQ176</f>
        <v>0</v>
      </c>
      <c r="AS176" s="55" t="n">
        <f aca="false">ROUND(MAX(0,AS175+AT175-AW175),2)</f>
        <v>0</v>
      </c>
      <c r="AT176" s="55" t="n">
        <f aca="false">ROUND(AS176*$E$13/12,2)</f>
        <v>0</v>
      </c>
      <c r="AU176" s="55" t="n">
        <f aca="false">MIN($F$13,AS176+AT176)</f>
        <v>0</v>
      </c>
      <c r="AV176" s="55" t="n">
        <f aca="false">MAX(0,MIN(AS176+AT176-AU176,$D176-(H176+M176+R176+W176+AB176+AG176+AL176+AQ176)))</f>
        <v>0</v>
      </c>
      <c r="AW176" s="55" t="n">
        <f aca="false">AU176+AV176</f>
        <v>0</v>
      </c>
      <c r="AX176" s="55" t="n">
        <f aca="false">ROUND(MAX(0,AX175+AY175-BB175),2)</f>
        <v>0</v>
      </c>
      <c r="AY176" s="55" t="n">
        <f aca="false">ROUND(AX176*$E$14/12,2)</f>
        <v>0</v>
      </c>
      <c r="AZ176" s="55" t="n">
        <f aca="false">MIN($F$14,AX176+AY176)</f>
        <v>0</v>
      </c>
      <c r="BA176" s="55" t="n">
        <f aca="false">MAX(0,MIN(AX176+AY176-AZ176,$D176-(H176+M176+R176+W176+AB176+AG176+AL176+AQ176+AV176)))</f>
        <v>0</v>
      </c>
      <c r="BB176" s="55" t="n">
        <f aca="false">AZ176+BA176</f>
        <v>0</v>
      </c>
      <c r="BC176" s="55" t="n">
        <f aca="false">I176+N176+S176+X176+AC176+AH176+AM176+AR176+AW176+BB176</f>
        <v>0</v>
      </c>
      <c r="BD176" s="55" t="n">
        <f aca="false">ROUND((E176+F176-I176)+(J176+K176-N176)+(O176+P176-S176)+(T176+U176-X176)+(Y176+Z176-AC176)+(AD176+AE176-AH176)+(AI176+AJ176-AM176)+(AN176+AO176-AR176)+(AS176+AT176-AW176)+(AX176+AY176-BB176),2)</f>
        <v>0</v>
      </c>
      <c r="BE176" s="25" t="str">
        <f aca="false">IF(H176&gt;0.005,$C$5,IF(M176&gt;0.005,$C$6,IF(R176&gt;0.005,$C$7,IF(W176&gt;0.005,$C$8,IF(AB176&gt;0.005,$C$9,IF(AG176&gt;0.005,$C$10,IF(AL176&gt;0.005,$C$11,IF(AQ176&gt;0.005,$C$12,IF(AV176&gt;0.005,$C$13,IF(BA176&gt;0.005,$C$14,""))))))))))</f>
        <v/>
      </c>
    </row>
    <row r="177" customFormat="false" ht="15" hidden="false" customHeight="false" outlineLevel="0" collapsed="false">
      <c r="A177" s="24" t="n">
        <v>154</v>
      </c>
      <c r="B177" s="54" t="n">
        <f aca="false">EDATE($C$17,A177-1)</f>
        <v>50983</v>
      </c>
      <c r="C177" s="55" t="n">
        <f aca="false">G177+L177+Q177+V177+AA177+AF177+AK177+AP177+AU177+AZ177</f>
        <v>0</v>
      </c>
      <c r="D177" s="55" t="n">
        <f aca="false">MAX(0,$C$16-C177)</f>
        <v>5822</v>
      </c>
      <c r="E177" s="55" t="n">
        <f aca="false">ROUND(MAX(0,E176+F176-I176),2)</f>
        <v>0</v>
      </c>
      <c r="F177" s="55" t="n">
        <f aca="false">ROUND(E177*$E$5/12,2)</f>
        <v>0</v>
      </c>
      <c r="G177" s="55" t="n">
        <f aca="false">MIN($F$5,E177+F177)</f>
        <v>0</v>
      </c>
      <c r="H177" s="55" t="n">
        <f aca="false">MAX(0,MIN(E177+F177-G177,$D177))</f>
        <v>0</v>
      </c>
      <c r="I177" s="55" t="n">
        <f aca="false">G177+H177</f>
        <v>0</v>
      </c>
      <c r="J177" s="55" t="n">
        <f aca="false">ROUND(MAX(0,J176+K176-N176),2)</f>
        <v>0</v>
      </c>
      <c r="K177" s="55" t="n">
        <f aca="false">ROUND(J177*$E$6/12,2)</f>
        <v>0</v>
      </c>
      <c r="L177" s="55" t="n">
        <f aca="false">MIN($F$6,J177+K177)</f>
        <v>0</v>
      </c>
      <c r="M177" s="55" t="n">
        <f aca="false">MAX(0,MIN(J177+K177-L177,$D177-(H177)))</f>
        <v>0</v>
      </c>
      <c r="N177" s="55" t="n">
        <f aca="false">L177+M177</f>
        <v>0</v>
      </c>
      <c r="O177" s="55" t="n">
        <f aca="false">ROUND(MAX(0,O176+P176-S176),2)</f>
        <v>0</v>
      </c>
      <c r="P177" s="55" t="n">
        <f aca="false">ROUND(O177*$E$7/12,2)</f>
        <v>0</v>
      </c>
      <c r="Q177" s="55" t="n">
        <f aca="false">MIN($F$7,O177+P177)</f>
        <v>0</v>
      </c>
      <c r="R177" s="55" t="n">
        <f aca="false">MAX(0,MIN(O177+P177-Q177,$D177-(H177+M177)))</f>
        <v>0</v>
      </c>
      <c r="S177" s="55" t="n">
        <f aca="false">Q177+R177</f>
        <v>0</v>
      </c>
      <c r="T177" s="55" t="n">
        <f aca="false">ROUND(MAX(0,T176+U176-X176),2)</f>
        <v>0</v>
      </c>
      <c r="U177" s="55" t="n">
        <f aca="false">ROUND(T177*$E$8/12,2)</f>
        <v>0</v>
      </c>
      <c r="V177" s="55" t="n">
        <f aca="false">MIN($F$8,T177+U177)</f>
        <v>0</v>
      </c>
      <c r="W177" s="55" t="n">
        <f aca="false">MAX(0,MIN(T177+U177-V177,$D177-(H177+M177+R177)))</f>
        <v>0</v>
      </c>
      <c r="X177" s="55" t="n">
        <f aca="false">V177+W177</f>
        <v>0</v>
      </c>
      <c r="Y177" s="55" t="n">
        <f aca="false">ROUND(MAX(0,Y176+Z176-AC176),2)</f>
        <v>0</v>
      </c>
      <c r="Z177" s="55" t="n">
        <f aca="false">ROUND(Y177*$E$9/12,2)</f>
        <v>0</v>
      </c>
      <c r="AA177" s="55" t="n">
        <f aca="false">MIN($F$9,Y177+Z177)</f>
        <v>0</v>
      </c>
      <c r="AB177" s="55" t="n">
        <f aca="false">MAX(0,MIN(Y177+Z177-AA177,$D177-(H177+M177+R177+W177)))</f>
        <v>0</v>
      </c>
      <c r="AC177" s="55" t="n">
        <f aca="false">AA177+AB177</f>
        <v>0</v>
      </c>
      <c r="AD177" s="55" t="n">
        <f aca="false">ROUND(MAX(0,AD176+AE176-AH176),2)</f>
        <v>0</v>
      </c>
      <c r="AE177" s="55" t="n">
        <f aca="false">ROUND(AD177*$E$10/12,2)</f>
        <v>0</v>
      </c>
      <c r="AF177" s="55" t="n">
        <f aca="false">MIN($F$10,AD177+AE177)</f>
        <v>0</v>
      </c>
      <c r="AG177" s="55" t="n">
        <f aca="false">MAX(0,MIN(AD177+AE177-AF177,$D177-(H177+M177+R177+W177+AB177)))</f>
        <v>0</v>
      </c>
      <c r="AH177" s="55" t="n">
        <f aca="false">AF177+AG177</f>
        <v>0</v>
      </c>
      <c r="AI177" s="55" t="n">
        <f aca="false">ROUND(MAX(0,AI176+AJ176-AM176),2)</f>
        <v>0</v>
      </c>
      <c r="AJ177" s="55" t="n">
        <f aca="false">ROUND(AI177*$E$11/12,2)</f>
        <v>0</v>
      </c>
      <c r="AK177" s="55" t="n">
        <f aca="false">MIN($F$11,AI177+AJ177)</f>
        <v>0</v>
      </c>
      <c r="AL177" s="55" t="n">
        <f aca="false">MAX(0,MIN(AI177+AJ177-AK177,$D177-(H177+M177+R177+W177+AB177+AG177)))</f>
        <v>0</v>
      </c>
      <c r="AM177" s="55" t="n">
        <f aca="false">AK177+AL177</f>
        <v>0</v>
      </c>
      <c r="AN177" s="55" t="n">
        <f aca="false">ROUND(MAX(0,AN176+AO176-AR176),2)</f>
        <v>0</v>
      </c>
      <c r="AO177" s="55" t="n">
        <f aca="false">ROUND(AN177*$E$12/12,2)</f>
        <v>0</v>
      </c>
      <c r="AP177" s="55" t="n">
        <f aca="false">MIN($F$12,AN177+AO177)</f>
        <v>0</v>
      </c>
      <c r="AQ177" s="55" t="n">
        <f aca="false">MAX(0,MIN(AN177+AO177-AP177,$D177-(H177+M177+R177+W177+AB177+AG177+AL177)))</f>
        <v>0</v>
      </c>
      <c r="AR177" s="55" t="n">
        <f aca="false">AP177+AQ177</f>
        <v>0</v>
      </c>
      <c r="AS177" s="55" t="n">
        <f aca="false">ROUND(MAX(0,AS176+AT176-AW176),2)</f>
        <v>0</v>
      </c>
      <c r="AT177" s="55" t="n">
        <f aca="false">ROUND(AS177*$E$13/12,2)</f>
        <v>0</v>
      </c>
      <c r="AU177" s="55" t="n">
        <f aca="false">MIN($F$13,AS177+AT177)</f>
        <v>0</v>
      </c>
      <c r="AV177" s="55" t="n">
        <f aca="false">MAX(0,MIN(AS177+AT177-AU177,$D177-(H177+M177+R177+W177+AB177+AG177+AL177+AQ177)))</f>
        <v>0</v>
      </c>
      <c r="AW177" s="55" t="n">
        <f aca="false">AU177+AV177</f>
        <v>0</v>
      </c>
      <c r="AX177" s="55" t="n">
        <f aca="false">ROUND(MAX(0,AX176+AY176-BB176),2)</f>
        <v>0</v>
      </c>
      <c r="AY177" s="55" t="n">
        <f aca="false">ROUND(AX177*$E$14/12,2)</f>
        <v>0</v>
      </c>
      <c r="AZ177" s="55" t="n">
        <f aca="false">MIN($F$14,AX177+AY177)</f>
        <v>0</v>
      </c>
      <c r="BA177" s="55" t="n">
        <f aca="false">MAX(0,MIN(AX177+AY177-AZ177,$D177-(H177+M177+R177+W177+AB177+AG177+AL177+AQ177+AV177)))</f>
        <v>0</v>
      </c>
      <c r="BB177" s="55" t="n">
        <f aca="false">AZ177+BA177</f>
        <v>0</v>
      </c>
      <c r="BC177" s="55" t="n">
        <f aca="false">I177+N177+S177+X177+AC177+AH177+AM177+AR177+AW177+BB177</f>
        <v>0</v>
      </c>
      <c r="BD177" s="55" t="n">
        <f aca="false">ROUND((E177+F177-I177)+(J177+K177-N177)+(O177+P177-S177)+(T177+U177-X177)+(Y177+Z177-AC177)+(AD177+AE177-AH177)+(AI177+AJ177-AM177)+(AN177+AO177-AR177)+(AS177+AT177-AW177)+(AX177+AY177-BB177),2)</f>
        <v>0</v>
      </c>
      <c r="BE177" s="25" t="str">
        <f aca="false">IF(H177&gt;0.005,$C$5,IF(M177&gt;0.005,$C$6,IF(R177&gt;0.005,$C$7,IF(W177&gt;0.005,$C$8,IF(AB177&gt;0.005,$C$9,IF(AG177&gt;0.005,$C$10,IF(AL177&gt;0.005,$C$11,IF(AQ177&gt;0.005,$C$12,IF(AV177&gt;0.005,$C$13,IF(BA177&gt;0.005,$C$14,""))))))))))</f>
        <v/>
      </c>
    </row>
    <row r="178" customFormat="false" ht="15" hidden="false" customHeight="false" outlineLevel="0" collapsed="false">
      <c r="A178" s="24" t="n">
        <v>155</v>
      </c>
      <c r="B178" s="54" t="n">
        <f aca="false">EDATE($C$17,A178-1)</f>
        <v>51014</v>
      </c>
      <c r="C178" s="55" t="n">
        <f aca="false">G178+L178+Q178+V178+AA178+AF178+AK178+AP178+AU178+AZ178</f>
        <v>0</v>
      </c>
      <c r="D178" s="55" t="n">
        <f aca="false">MAX(0,$C$16-C178)</f>
        <v>5822</v>
      </c>
      <c r="E178" s="55" t="n">
        <f aca="false">ROUND(MAX(0,E177+F177-I177),2)</f>
        <v>0</v>
      </c>
      <c r="F178" s="55" t="n">
        <f aca="false">ROUND(E178*$E$5/12,2)</f>
        <v>0</v>
      </c>
      <c r="G178" s="55" t="n">
        <f aca="false">MIN($F$5,E178+F178)</f>
        <v>0</v>
      </c>
      <c r="H178" s="55" t="n">
        <f aca="false">MAX(0,MIN(E178+F178-G178,$D178))</f>
        <v>0</v>
      </c>
      <c r="I178" s="55" t="n">
        <f aca="false">G178+H178</f>
        <v>0</v>
      </c>
      <c r="J178" s="55" t="n">
        <f aca="false">ROUND(MAX(0,J177+K177-N177),2)</f>
        <v>0</v>
      </c>
      <c r="K178" s="55" t="n">
        <f aca="false">ROUND(J178*$E$6/12,2)</f>
        <v>0</v>
      </c>
      <c r="L178" s="55" t="n">
        <f aca="false">MIN($F$6,J178+K178)</f>
        <v>0</v>
      </c>
      <c r="M178" s="55" t="n">
        <f aca="false">MAX(0,MIN(J178+K178-L178,$D178-(H178)))</f>
        <v>0</v>
      </c>
      <c r="N178" s="55" t="n">
        <f aca="false">L178+M178</f>
        <v>0</v>
      </c>
      <c r="O178" s="55" t="n">
        <f aca="false">ROUND(MAX(0,O177+P177-S177),2)</f>
        <v>0</v>
      </c>
      <c r="P178" s="55" t="n">
        <f aca="false">ROUND(O178*$E$7/12,2)</f>
        <v>0</v>
      </c>
      <c r="Q178" s="55" t="n">
        <f aca="false">MIN($F$7,O178+P178)</f>
        <v>0</v>
      </c>
      <c r="R178" s="55" t="n">
        <f aca="false">MAX(0,MIN(O178+P178-Q178,$D178-(H178+M178)))</f>
        <v>0</v>
      </c>
      <c r="S178" s="55" t="n">
        <f aca="false">Q178+R178</f>
        <v>0</v>
      </c>
      <c r="T178" s="55" t="n">
        <f aca="false">ROUND(MAX(0,T177+U177-X177),2)</f>
        <v>0</v>
      </c>
      <c r="U178" s="55" t="n">
        <f aca="false">ROUND(T178*$E$8/12,2)</f>
        <v>0</v>
      </c>
      <c r="V178" s="55" t="n">
        <f aca="false">MIN($F$8,T178+U178)</f>
        <v>0</v>
      </c>
      <c r="W178" s="55" t="n">
        <f aca="false">MAX(0,MIN(T178+U178-V178,$D178-(H178+M178+R178)))</f>
        <v>0</v>
      </c>
      <c r="X178" s="55" t="n">
        <f aca="false">V178+W178</f>
        <v>0</v>
      </c>
      <c r="Y178" s="55" t="n">
        <f aca="false">ROUND(MAX(0,Y177+Z177-AC177),2)</f>
        <v>0</v>
      </c>
      <c r="Z178" s="55" t="n">
        <f aca="false">ROUND(Y178*$E$9/12,2)</f>
        <v>0</v>
      </c>
      <c r="AA178" s="55" t="n">
        <f aca="false">MIN($F$9,Y178+Z178)</f>
        <v>0</v>
      </c>
      <c r="AB178" s="55" t="n">
        <f aca="false">MAX(0,MIN(Y178+Z178-AA178,$D178-(H178+M178+R178+W178)))</f>
        <v>0</v>
      </c>
      <c r="AC178" s="55" t="n">
        <f aca="false">AA178+AB178</f>
        <v>0</v>
      </c>
      <c r="AD178" s="55" t="n">
        <f aca="false">ROUND(MAX(0,AD177+AE177-AH177),2)</f>
        <v>0</v>
      </c>
      <c r="AE178" s="55" t="n">
        <f aca="false">ROUND(AD178*$E$10/12,2)</f>
        <v>0</v>
      </c>
      <c r="AF178" s="55" t="n">
        <f aca="false">MIN($F$10,AD178+AE178)</f>
        <v>0</v>
      </c>
      <c r="AG178" s="55" t="n">
        <f aca="false">MAX(0,MIN(AD178+AE178-AF178,$D178-(H178+M178+R178+W178+AB178)))</f>
        <v>0</v>
      </c>
      <c r="AH178" s="55" t="n">
        <f aca="false">AF178+AG178</f>
        <v>0</v>
      </c>
      <c r="AI178" s="55" t="n">
        <f aca="false">ROUND(MAX(0,AI177+AJ177-AM177),2)</f>
        <v>0</v>
      </c>
      <c r="AJ178" s="55" t="n">
        <f aca="false">ROUND(AI178*$E$11/12,2)</f>
        <v>0</v>
      </c>
      <c r="AK178" s="55" t="n">
        <f aca="false">MIN($F$11,AI178+AJ178)</f>
        <v>0</v>
      </c>
      <c r="AL178" s="55" t="n">
        <f aca="false">MAX(0,MIN(AI178+AJ178-AK178,$D178-(H178+M178+R178+W178+AB178+AG178)))</f>
        <v>0</v>
      </c>
      <c r="AM178" s="55" t="n">
        <f aca="false">AK178+AL178</f>
        <v>0</v>
      </c>
      <c r="AN178" s="55" t="n">
        <f aca="false">ROUND(MAX(0,AN177+AO177-AR177),2)</f>
        <v>0</v>
      </c>
      <c r="AO178" s="55" t="n">
        <f aca="false">ROUND(AN178*$E$12/12,2)</f>
        <v>0</v>
      </c>
      <c r="AP178" s="55" t="n">
        <f aca="false">MIN($F$12,AN178+AO178)</f>
        <v>0</v>
      </c>
      <c r="AQ178" s="55" t="n">
        <f aca="false">MAX(0,MIN(AN178+AO178-AP178,$D178-(H178+M178+R178+W178+AB178+AG178+AL178)))</f>
        <v>0</v>
      </c>
      <c r="AR178" s="55" t="n">
        <f aca="false">AP178+AQ178</f>
        <v>0</v>
      </c>
      <c r="AS178" s="55" t="n">
        <f aca="false">ROUND(MAX(0,AS177+AT177-AW177),2)</f>
        <v>0</v>
      </c>
      <c r="AT178" s="55" t="n">
        <f aca="false">ROUND(AS178*$E$13/12,2)</f>
        <v>0</v>
      </c>
      <c r="AU178" s="55" t="n">
        <f aca="false">MIN($F$13,AS178+AT178)</f>
        <v>0</v>
      </c>
      <c r="AV178" s="55" t="n">
        <f aca="false">MAX(0,MIN(AS178+AT178-AU178,$D178-(H178+M178+R178+W178+AB178+AG178+AL178+AQ178)))</f>
        <v>0</v>
      </c>
      <c r="AW178" s="55" t="n">
        <f aca="false">AU178+AV178</f>
        <v>0</v>
      </c>
      <c r="AX178" s="55" t="n">
        <f aca="false">ROUND(MAX(0,AX177+AY177-BB177),2)</f>
        <v>0</v>
      </c>
      <c r="AY178" s="55" t="n">
        <f aca="false">ROUND(AX178*$E$14/12,2)</f>
        <v>0</v>
      </c>
      <c r="AZ178" s="55" t="n">
        <f aca="false">MIN($F$14,AX178+AY178)</f>
        <v>0</v>
      </c>
      <c r="BA178" s="55" t="n">
        <f aca="false">MAX(0,MIN(AX178+AY178-AZ178,$D178-(H178+M178+R178+W178+AB178+AG178+AL178+AQ178+AV178)))</f>
        <v>0</v>
      </c>
      <c r="BB178" s="55" t="n">
        <f aca="false">AZ178+BA178</f>
        <v>0</v>
      </c>
      <c r="BC178" s="55" t="n">
        <f aca="false">I178+N178+S178+X178+AC178+AH178+AM178+AR178+AW178+BB178</f>
        <v>0</v>
      </c>
      <c r="BD178" s="55" t="n">
        <f aca="false">ROUND((E178+F178-I178)+(J178+K178-N178)+(O178+P178-S178)+(T178+U178-X178)+(Y178+Z178-AC178)+(AD178+AE178-AH178)+(AI178+AJ178-AM178)+(AN178+AO178-AR178)+(AS178+AT178-AW178)+(AX178+AY178-BB178),2)</f>
        <v>0</v>
      </c>
      <c r="BE178" s="25" t="str">
        <f aca="false">IF(H178&gt;0.005,$C$5,IF(M178&gt;0.005,$C$6,IF(R178&gt;0.005,$C$7,IF(W178&gt;0.005,$C$8,IF(AB178&gt;0.005,$C$9,IF(AG178&gt;0.005,$C$10,IF(AL178&gt;0.005,$C$11,IF(AQ178&gt;0.005,$C$12,IF(AV178&gt;0.005,$C$13,IF(BA178&gt;0.005,$C$14,""))))))))))</f>
        <v/>
      </c>
    </row>
    <row r="179" customFormat="false" ht="15" hidden="false" customHeight="false" outlineLevel="0" collapsed="false">
      <c r="A179" s="24" t="n">
        <v>156</v>
      </c>
      <c r="B179" s="54" t="n">
        <f aca="false">EDATE($C$17,A179-1)</f>
        <v>51044</v>
      </c>
      <c r="C179" s="55" t="n">
        <f aca="false">G179+L179+Q179+V179+AA179+AF179+AK179+AP179+AU179+AZ179</f>
        <v>0</v>
      </c>
      <c r="D179" s="55" t="n">
        <f aca="false">MAX(0,$C$16-C179)</f>
        <v>5822</v>
      </c>
      <c r="E179" s="55" t="n">
        <f aca="false">ROUND(MAX(0,E178+F178-I178),2)</f>
        <v>0</v>
      </c>
      <c r="F179" s="55" t="n">
        <f aca="false">ROUND(E179*$E$5/12,2)</f>
        <v>0</v>
      </c>
      <c r="G179" s="55" t="n">
        <f aca="false">MIN($F$5,E179+F179)</f>
        <v>0</v>
      </c>
      <c r="H179" s="55" t="n">
        <f aca="false">MAX(0,MIN(E179+F179-G179,$D179))</f>
        <v>0</v>
      </c>
      <c r="I179" s="55" t="n">
        <f aca="false">G179+H179</f>
        <v>0</v>
      </c>
      <c r="J179" s="55" t="n">
        <f aca="false">ROUND(MAX(0,J178+K178-N178),2)</f>
        <v>0</v>
      </c>
      <c r="K179" s="55" t="n">
        <f aca="false">ROUND(J179*$E$6/12,2)</f>
        <v>0</v>
      </c>
      <c r="L179" s="55" t="n">
        <f aca="false">MIN($F$6,J179+K179)</f>
        <v>0</v>
      </c>
      <c r="M179" s="55" t="n">
        <f aca="false">MAX(0,MIN(J179+K179-L179,$D179-(H179)))</f>
        <v>0</v>
      </c>
      <c r="N179" s="55" t="n">
        <f aca="false">L179+M179</f>
        <v>0</v>
      </c>
      <c r="O179" s="55" t="n">
        <f aca="false">ROUND(MAX(0,O178+P178-S178),2)</f>
        <v>0</v>
      </c>
      <c r="P179" s="55" t="n">
        <f aca="false">ROUND(O179*$E$7/12,2)</f>
        <v>0</v>
      </c>
      <c r="Q179" s="55" t="n">
        <f aca="false">MIN($F$7,O179+P179)</f>
        <v>0</v>
      </c>
      <c r="R179" s="55" t="n">
        <f aca="false">MAX(0,MIN(O179+P179-Q179,$D179-(H179+M179)))</f>
        <v>0</v>
      </c>
      <c r="S179" s="55" t="n">
        <f aca="false">Q179+R179</f>
        <v>0</v>
      </c>
      <c r="T179" s="55" t="n">
        <f aca="false">ROUND(MAX(0,T178+U178-X178),2)</f>
        <v>0</v>
      </c>
      <c r="U179" s="55" t="n">
        <f aca="false">ROUND(T179*$E$8/12,2)</f>
        <v>0</v>
      </c>
      <c r="V179" s="55" t="n">
        <f aca="false">MIN($F$8,T179+U179)</f>
        <v>0</v>
      </c>
      <c r="W179" s="55" t="n">
        <f aca="false">MAX(0,MIN(T179+U179-V179,$D179-(H179+M179+R179)))</f>
        <v>0</v>
      </c>
      <c r="X179" s="55" t="n">
        <f aca="false">V179+W179</f>
        <v>0</v>
      </c>
      <c r="Y179" s="55" t="n">
        <f aca="false">ROUND(MAX(0,Y178+Z178-AC178),2)</f>
        <v>0</v>
      </c>
      <c r="Z179" s="55" t="n">
        <f aca="false">ROUND(Y179*$E$9/12,2)</f>
        <v>0</v>
      </c>
      <c r="AA179" s="55" t="n">
        <f aca="false">MIN($F$9,Y179+Z179)</f>
        <v>0</v>
      </c>
      <c r="AB179" s="55" t="n">
        <f aca="false">MAX(0,MIN(Y179+Z179-AA179,$D179-(H179+M179+R179+W179)))</f>
        <v>0</v>
      </c>
      <c r="AC179" s="55" t="n">
        <f aca="false">AA179+AB179</f>
        <v>0</v>
      </c>
      <c r="AD179" s="55" t="n">
        <f aca="false">ROUND(MAX(0,AD178+AE178-AH178),2)</f>
        <v>0</v>
      </c>
      <c r="AE179" s="55" t="n">
        <f aca="false">ROUND(AD179*$E$10/12,2)</f>
        <v>0</v>
      </c>
      <c r="AF179" s="55" t="n">
        <f aca="false">MIN($F$10,AD179+AE179)</f>
        <v>0</v>
      </c>
      <c r="AG179" s="55" t="n">
        <f aca="false">MAX(0,MIN(AD179+AE179-AF179,$D179-(H179+M179+R179+W179+AB179)))</f>
        <v>0</v>
      </c>
      <c r="AH179" s="55" t="n">
        <f aca="false">AF179+AG179</f>
        <v>0</v>
      </c>
      <c r="AI179" s="55" t="n">
        <f aca="false">ROUND(MAX(0,AI178+AJ178-AM178),2)</f>
        <v>0</v>
      </c>
      <c r="AJ179" s="55" t="n">
        <f aca="false">ROUND(AI179*$E$11/12,2)</f>
        <v>0</v>
      </c>
      <c r="AK179" s="55" t="n">
        <f aca="false">MIN($F$11,AI179+AJ179)</f>
        <v>0</v>
      </c>
      <c r="AL179" s="55" t="n">
        <f aca="false">MAX(0,MIN(AI179+AJ179-AK179,$D179-(H179+M179+R179+W179+AB179+AG179)))</f>
        <v>0</v>
      </c>
      <c r="AM179" s="55" t="n">
        <f aca="false">AK179+AL179</f>
        <v>0</v>
      </c>
      <c r="AN179" s="55" t="n">
        <f aca="false">ROUND(MAX(0,AN178+AO178-AR178),2)</f>
        <v>0</v>
      </c>
      <c r="AO179" s="55" t="n">
        <f aca="false">ROUND(AN179*$E$12/12,2)</f>
        <v>0</v>
      </c>
      <c r="AP179" s="55" t="n">
        <f aca="false">MIN($F$12,AN179+AO179)</f>
        <v>0</v>
      </c>
      <c r="AQ179" s="55" t="n">
        <f aca="false">MAX(0,MIN(AN179+AO179-AP179,$D179-(H179+M179+R179+W179+AB179+AG179+AL179)))</f>
        <v>0</v>
      </c>
      <c r="AR179" s="55" t="n">
        <f aca="false">AP179+AQ179</f>
        <v>0</v>
      </c>
      <c r="AS179" s="55" t="n">
        <f aca="false">ROUND(MAX(0,AS178+AT178-AW178),2)</f>
        <v>0</v>
      </c>
      <c r="AT179" s="55" t="n">
        <f aca="false">ROUND(AS179*$E$13/12,2)</f>
        <v>0</v>
      </c>
      <c r="AU179" s="55" t="n">
        <f aca="false">MIN($F$13,AS179+AT179)</f>
        <v>0</v>
      </c>
      <c r="AV179" s="55" t="n">
        <f aca="false">MAX(0,MIN(AS179+AT179-AU179,$D179-(H179+M179+R179+W179+AB179+AG179+AL179+AQ179)))</f>
        <v>0</v>
      </c>
      <c r="AW179" s="55" t="n">
        <f aca="false">AU179+AV179</f>
        <v>0</v>
      </c>
      <c r="AX179" s="55" t="n">
        <f aca="false">ROUND(MAX(0,AX178+AY178-BB178),2)</f>
        <v>0</v>
      </c>
      <c r="AY179" s="55" t="n">
        <f aca="false">ROUND(AX179*$E$14/12,2)</f>
        <v>0</v>
      </c>
      <c r="AZ179" s="55" t="n">
        <f aca="false">MIN($F$14,AX179+AY179)</f>
        <v>0</v>
      </c>
      <c r="BA179" s="55" t="n">
        <f aca="false">MAX(0,MIN(AX179+AY179-AZ179,$D179-(H179+M179+R179+W179+AB179+AG179+AL179+AQ179+AV179)))</f>
        <v>0</v>
      </c>
      <c r="BB179" s="55" t="n">
        <f aca="false">AZ179+BA179</f>
        <v>0</v>
      </c>
      <c r="BC179" s="55" t="n">
        <f aca="false">I179+N179+S179+X179+AC179+AH179+AM179+AR179+AW179+BB179</f>
        <v>0</v>
      </c>
      <c r="BD179" s="55" t="n">
        <f aca="false">ROUND((E179+F179-I179)+(J179+K179-N179)+(O179+P179-S179)+(T179+U179-X179)+(Y179+Z179-AC179)+(AD179+AE179-AH179)+(AI179+AJ179-AM179)+(AN179+AO179-AR179)+(AS179+AT179-AW179)+(AX179+AY179-BB179),2)</f>
        <v>0</v>
      </c>
      <c r="BE179" s="25" t="str">
        <f aca="false">IF(H179&gt;0.005,$C$5,IF(M179&gt;0.005,$C$6,IF(R179&gt;0.005,$C$7,IF(W179&gt;0.005,$C$8,IF(AB179&gt;0.005,$C$9,IF(AG179&gt;0.005,$C$10,IF(AL179&gt;0.005,$C$11,IF(AQ179&gt;0.005,$C$12,IF(AV179&gt;0.005,$C$13,IF(BA179&gt;0.005,$C$14,""))))))))))</f>
        <v/>
      </c>
    </row>
    <row r="180" customFormat="false" ht="15" hidden="false" customHeight="false" outlineLevel="0" collapsed="false">
      <c r="A180" s="24" t="n">
        <v>157</v>
      </c>
      <c r="B180" s="54" t="n">
        <f aca="false">EDATE($C$17,A180-1)</f>
        <v>51075</v>
      </c>
      <c r="C180" s="55" t="n">
        <f aca="false">G180+L180+Q180+V180+AA180+AF180+AK180+AP180+AU180+AZ180</f>
        <v>0</v>
      </c>
      <c r="D180" s="55" t="n">
        <f aca="false">MAX(0,$C$16-C180)</f>
        <v>5822</v>
      </c>
      <c r="E180" s="55" t="n">
        <f aca="false">ROUND(MAX(0,E179+F179-I179),2)</f>
        <v>0</v>
      </c>
      <c r="F180" s="55" t="n">
        <f aca="false">ROUND(E180*$E$5/12,2)</f>
        <v>0</v>
      </c>
      <c r="G180" s="55" t="n">
        <f aca="false">MIN($F$5,E180+F180)</f>
        <v>0</v>
      </c>
      <c r="H180" s="55" t="n">
        <f aca="false">MAX(0,MIN(E180+F180-G180,$D180))</f>
        <v>0</v>
      </c>
      <c r="I180" s="55" t="n">
        <f aca="false">G180+H180</f>
        <v>0</v>
      </c>
      <c r="J180" s="55" t="n">
        <f aca="false">ROUND(MAX(0,J179+K179-N179),2)</f>
        <v>0</v>
      </c>
      <c r="K180" s="55" t="n">
        <f aca="false">ROUND(J180*$E$6/12,2)</f>
        <v>0</v>
      </c>
      <c r="L180" s="55" t="n">
        <f aca="false">MIN($F$6,J180+K180)</f>
        <v>0</v>
      </c>
      <c r="M180" s="55" t="n">
        <f aca="false">MAX(0,MIN(J180+K180-L180,$D180-(H180)))</f>
        <v>0</v>
      </c>
      <c r="N180" s="55" t="n">
        <f aca="false">L180+M180</f>
        <v>0</v>
      </c>
      <c r="O180" s="55" t="n">
        <f aca="false">ROUND(MAX(0,O179+P179-S179),2)</f>
        <v>0</v>
      </c>
      <c r="P180" s="55" t="n">
        <f aca="false">ROUND(O180*$E$7/12,2)</f>
        <v>0</v>
      </c>
      <c r="Q180" s="55" t="n">
        <f aca="false">MIN($F$7,O180+P180)</f>
        <v>0</v>
      </c>
      <c r="R180" s="55" t="n">
        <f aca="false">MAX(0,MIN(O180+P180-Q180,$D180-(H180+M180)))</f>
        <v>0</v>
      </c>
      <c r="S180" s="55" t="n">
        <f aca="false">Q180+R180</f>
        <v>0</v>
      </c>
      <c r="T180" s="55" t="n">
        <f aca="false">ROUND(MAX(0,T179+U179-X179),2)</f>
        <v>0</v>
      </c>
      <c r="U180" s="55" t="n">
        <f aca="false">ROUND(T180*$E$8/12,2)</f>
        <v>0</v>
      </c>
      <c r="V180" s="55" t="n">
        <f aca="false">MIN($F$8,T180+U180)</f>
        <v>0</v>
      </c>
      <c r="W180" s="55" t="n">
        <f aca="false">MAX(0,MIN(T180+U180-V180,$D180-(H180+M180+R180)))</f>
        <v>0</v>
      </c>
      <c r="X180" s="55" t="n">
        <f aca="false">V180+W180</f>
        <v>0</v>
      </c>
      <c r="Y180" s="55" t="n">
        <f aca="false">ROUND(MAX(0,Y179+Z179-AC179),2)</f>
        <v>0</v>
      </c>
      <c r="Z180" s="55" t="n">
        <f aca="false">ROUND(Y180*$E$9/12,2)</f>
        <v>0</v>
      </c>
      <c r="AA180" s="55" t="n">
        <f aca="false">MIN($F$9,Y180+Z180)</f>
        <v>0</v>
      </c>
      <c r="AB180" s="55" t="n">
        <f aca="false">MAX(0,MIN(Y180+Z180-AA180,$D180-(H180+M180+R180+W180)))</f>
        <v>0</v>
      </c>
      <c r="AC180" s="55" t="n">
        <f aca="false">AA180+AB180</f>
        <v>0</v>
      </c>
      <c r="AD180" s="55" t="n">
        <f aca="false">ROUND(MAX(0,AD179+AE179-AH179),2)</f>
        <v>0</v>
      </c>
      <c r="AE180" s="55" t="n">
        <f aca="false">ROUND(AD180*$E$10/12,2)</f>
        <v>0</v>
      </c>
      <c r="AF180" s="55" t="n">
        <f aca="false">MIN($F$10,AD180+AE180)</f>
        <v>0</v>
      </c>
      <c r="AG180" s="55" t="n">
        <f aca="false">MAX(0,MIN(AD180+AE180-AF180,$D180-(H180+M180+R180+W180+AB180)))</f>
        <v>0</v>
      </c>
      <c r="AH180" s="55" t="n">
        <f aca="false">AF180+AG180</f>
        <v>0</v>
      </c>
      <c r="AI180" s="55" t="n">
        <f aca="false">ROUND(MAX(0,AI179+AJ179-AM179),2)</f>
        <v>0</v>
      </c>
      <c r="AJ180" s="55" t="n">
        <f aca="false">ROUND(AI180*$E$11/12,2)</f>
        <v>0</v>
      </c>
      <c r="AK180" s="55" t="n">
        <f aca="false">MIN($F$11,AI180+AJ180)</f>
        <v>0</v>
      </c>
      <c r="AL180" s="55" t="n">
        <f aca="false">MAX(0,MIN(AI180+AJ180-AK180,$D180-(H180+M180+R180+W180+AB180+AG180)))</f>
        <v>0</v>
      </c>
      <c r="AM180" s="55" t="n">
        <f aca="false">AK180+AL180</f>
        <v>0</v>
      </c>
      <c r="AN180" s="55" t="n">
        <f aca="false">ROUND(MAX(0,AN179+AO179-AR179),2)</f>
        <v>0</v>
      </c>
      <c r="AO180" s="55" t="n">
        <f aca="false">ROUND(AN180*$E$12/12,2)</f>
        <v>0</v>
      </c>
      <c r="AP180" s="55" t="n">
        <f aca="false">MIN($F$12,AN180+AO180)</f>
        <v>0</v>
      </c>
      <c r="AQ180" s="55" t="n">
        <f aca="false">MAX(0,MIN(AN180+AO180-AP180,$D180-(H180+M180+R180+W180+AB180+AG180+AL180)))</f>
        <v>0</v>
      </c>
      <c r="AR180" s="55" t="n">
        <f aca="false">AP180+AQ180</f>
        <v>0</v>
      </c>
      <c r="AS180" s="55" t="n">
        <f aca="false">ROUND(MAX(0,AS179+AT179-AW179),2)</f>
        <v>0</v>
      </c>
      <c r="AT180" s="55" t="n">
        <f aca="false">ROUND(AS180*$E$13/12,2)</f>
        <v>0</v>
      </c>
      <c r="AU180" s="55" t="n">
        <f aca="false">MIN($F$13,AS180+AT180)</f>
        <v>0</v>
      </c>
      <c r="AV180" s="55" t="n">
        <f aca="false">MAX(0,MIN(AS180+AT180-AU180,$D180-(H180+M180+R180+W180+AB180+AG180+AL180+AQ180)))</f>
        <v>0</v>
      </c>
      <c r="AW180" s="55" t="n">
        <f aca="false">AU180+AV180</f>
        <v>0</v>
      </c>
      <c r="AX180" s="55" t="n">
        <f aca="false">ROUND(MAX(0,AX179+AY179-BB179),2)</f>
        <v>0</v>
      </c>
      <c r="AY180" s="55" t="n">
        <f aca="false">ROUND(AX180*$E$14/12,2)</f>
        <v>0</v>
      </c>
      <c r="AZ180" s="55" t="n">
        <f aca="false">MIN($F$14,AX180+AY180)</f>
        <v>0</v>
      </c>
      <c r="BA180" s="55" t="n">
        <f aca="false">MAX(0,MIN(AX180+AY180-AZ180,$D180-(H180+M180+R180+W180+AB180+AG180+AL180+AQ180+AV180)))</f>
        <v>0</v>
      </c>
      <c r="BB180" s="55" t="n">
        <f aca="false">AZ180+BA180</f>
        <v>0</v>
      </c>
      <c r="BC180" s="55" t="n">
        <f aca="false">I180+N180+S180+X180+AC180+AH180+AM180+AR180+AW180+BB180</f>
        <v>0</v>
      </c>
      <c r="BD180" s="55" t="n">
        <f aca="false">ROUND((E180+F180-I180)+(J180+K180-N180)+(O180+P180-S180)+(T180+U180-X180)+(Y180+Z180-AC180)+(AD180+AE180-AH180)+(AI180+AJ180-AM180)+(AN180+AO180-AR180)+(AS180+AT180-AW180)+(AX180+AY180-BB180),2)</f>
        <v>0</v>
      </c>
      <c r="BE180" s="25" t="str">
        <f aca="false">IF(H180&gt;0.005,$C$5,IF(M180&gt;0.005,$C$6,IF(R180&gt;0.005,$C$7,IF(W180&gt;0.005,$C$8,IF(AB180&gt;0.005,$C$9,IF(AG180&gt;0.005,$C$10,IF(AL180&gt;0.005,$C$11,IF(AQ180&gt;0.005,$C$12,IF(AV180&gt;0.005,$C$13,IF(BA180&gt;0.005,$C$14,""))))))))))</f>
        <v/>
      </c>
    </row>
    <row r="181" customFormat="false" ht="15" hidden="false" customHeight="false" outlineLevel="0" collapsed="false">
      <c r="A181" s="24" t="n">
        <v>158</v>
      </c>
      <c r="B181" s="54" t="n">
        <f aca="false">EDATE($C$17,A181-1)</f>
        <v>51105</v>
      </c>
      <c r="C181" s="55" t="n">
        <f aca="false">G181+L181+Q181+V181+AA181+AF181+AK181+AP181+AU181+AZ181</f>
        <v>0</v>
      </c>
      <c r="D181" s="55" t="n">
        <f aca="false">MAX(0,$C$16-C181)</f>
        <v>5822</v>
      </c>
      <c r="E181" s="55" t="n">
        <f aca="false">ROUND(MAX(0,E180+F180-I180),2)</f>
        <v>0</v>
      </c>
      <c r="F181" s="55" t="n">
        <f aca="false">ROUND(E181*$E$5/12,2)</f>
        <v>0</v>
      </c>
      <c r="G181" s="55" t="n">
        <f aca="false">MIN($F$5,E181+F181)</f>
        <v>0</v>
      </c>
      <c r="H181" s="55" t="n">
        <f aca="false">MAX(0,MIN(E181+F181-G181,$D181))</f>
        <v>0</v>
      </c>
      <c r="I181" s="55" t="n">
        <f aca="false">G181+H181</f>
        <v>0</v>
      </c>
      <c r="J181" s="55" t="n">
        <f aca="false">ROUND(MAX(0,J180+K180-N180),2)</f>
        <v>0</v>
      </c>
      <c r="K181" s="55" t="n">
        <f aca="false">ROUND(J181*$E$6/12,2)</f>
        <v>0</v>
      </c>
      <c r="L181" s="55" t="n">
        <f aca="false">MIN($F$6,J181+K181)</f>
        <v>0</v>
      </c>
      <c r="M181" s="55" t="n">
        <f aca="false">MAX(0,MIN(J181+K181-L181,$D181-(H181)))</f>
        <v>0</v>
      </c>
      <c r="N181" s="55" t="n">
        <f aca="false">L181+M181</f>
        <v>0</v>
      </c>
      <c r="O181" s="55" t="n">
        <f aca="false">ROUND(MAX(0,O180+P180-S180),2)</f>
        <v>0</v>
      </c>
      <c r="P181" s="55" t="n">
        <f aca="false">ROUND(O181*$E$7/12,2)</f>
        <v>0</v>
      </c>
      <c r="Q181" s="55" t="n">
        <f aca="false">MIN($F$7,O181+P181)</f>
        <v>0</v>
      </c>
      <c r="R181" s="55" t="n">
        <f aca="false">MAX(0,MIN(O181+P181-Q181,$D181-(H181+M181)))</f>
        <v>0</v>
      </c>
      <c r="S181" s="55" t="n">
        <f aca="false">Q181+R181</f>
        <v>0</v>
      </c>
      <c r="T181" s="55" t="n">
        <f aca="false">ROUND(MAX(0,T180+U180-X180),2)</f>
        <v>0</v>
      </c>
      <c r="U181" s="55" t="n">
        <f aca="false">ROUND(T181*$E$8/12,2)</f>
        <v>0</v>
      </c>
      <c r="V181" s="55" t="n">
        <f aca="false">MIN($F$8,T181+U181)</f>
        <v>0</v>
      </c>
      <c r="W181" s="55" t="n">
        <f aca="false">MAX(0,MIN(T181+U181-V181,$D181-(H181+M181+R181)))</f>
        <v>0</v>
      </c>
      <c r="X181" s="55" t="n">
        <f aca="false">V181+W181</f>
        <v>0</v>
      </c>
      <c r="Y181" s="55" t="n">
        <f aca="false">ROUND(MAX(0,Y180+Z180-AC180),2)</f>
        <v>0</v>
      </c>
      <c r="Z181" s="55" t="n">
        <f aca="false">ROUND(Y181*$E$9/12,2)</f>
        <v>0</v>
      </c>
      <c r="AA181" s="55" t="n">
        <f aca="false">MIN($F$9,Y181+Z181)</f>
        <v>0</v>
      </c>
      <c r="AB181" s="55" t="n">
        <f aca="false">MAX(0,MIN(Y181+Z181-AA181,$D181-(H181+M181+R181+W181)))</f>
        <v>0</v>
      </c>
      <c r="AC181" s="55" t="n">
        <f aca="false">AA181+AB181</f>
        <v>0</v>
      </c>
      <c r="AD181" s="55" t="n">
        <f aca="false">ROUND(MAX(0,AD180+AE180-AH180),2)</f>
        <v>0</v>
      </c>
      <c r="AE181" s="55" t="n">
        <f aca="false">ROUND(AD181*$E$10/12,2)</f>
        <v>0</v>
      </c>
      <c r="AF181" s="55" t="n">
        <f aca="false">MIN($F$10,AD181+AE181)</f>
        <v>0</v>
      </c>
      <c r="AG181" s="55" t="n">
        <f aca="false">MAX(0,MIN(AD181+AE181-AF181,$D181-(H181+M181+R181+W181+AB181)))</f>
        <v>0</v>
      </c>
      <c r="AH181" s="55" t="n">
        <f aca="false">AF181+AG181</f>
        <v>0</v>
      </c>
      <c r="AI181" s="55" t="n">
        <f aca="false">ROUND(MAX(0,AI180+AJ180-AM180),2)</f>
        <v>0</v>
      </c>
      <c r="AJ181" s="55" t="n">
        <f aca="false">ROUND(AI181*$E$11/12,2)</f>
        <v>0</v>
      </c>
      <c r="AK181" s="55" t="n">
        <f aca="false">MIN($F$11,AI181+AJ181)</f>
        <v>0</v>
      </c>
      <c r="AL181" s="55" t="n">
        <f aca="false">MAX(0,MIN(AI181+AJ181-AK181,$D181-(H181+M181+R181+W181+AB181+AG181)))</f>
        <v>0</v>
      </c>
      <c r="AM181" s="55" t="n">
        <f aca="false">AK181+AL181</f>
        <v>0</v>
      </c>
      <c r="AN181" s="55" t="n">
        <f aca="false">ROUND(MAX(0,AN180+AO180-AR180),2)</f>
        <v>0</v>
      </c>
      <c r="AO181" s="55" t="n">
        <f aca="false">ROUND(AN181*$E$12/12,2)</f>
        <v>0</v>
      </c>
      <c r="AP181" s="55" t="n">
        <f aca="false">MIN($F$12,AN181+AO181)</f>
        <v>0</v>
      </c>
      <c r="AQ181" s="55" t="n">
        <f aca="false">MAX(0,MIN(AN181+AO181-AP181,$D181-(H181+M181+R181+W181+AB181+AG181+AL181)))</f>
        <v>0</v>
      </c>
      <c r="AR181" s="55" t="n">
        <f aca="false">AP181+AQ181</f>
        <v>0</v>
      </c>
      <c r="AS181" s="55" t="n">
        <f aca="false">ROUND(MAX(0,AS180+AT180-AW180),2)</f>
        <v>0</v>
      </c>
      <c r="AT181" s="55" t="n">
        <f aca="false">ROUND(AS181*$E$13/12,2)</f>
        <v>0</v>
      </c>
      <c r="AU181" s="55" t="n">
        <f aca="false">MIN($F$13,AS181+AT181)</f>
        <v>0</v>
      </c>
      <c r="AV181" s="55" t="n">
        <f aca="false">MAX(0,MIN(AS181+AT181-AU181,$D181-(H181+M181+R181+W181+AB181+AG181+AL181+AQ181)))</f>
        <v>0</v>
      </c>
      <c r="AW181" s="55" t="n">
        <f aca="false">AU181+AV181</f>
        <v>0</v>
      </c>
      <c r="AX181" s="55" t="n">
        <f aca="false">ROUND(MAX(0,AX180+AY180-BB180),2)</f>
        <v>0</v>
      </c>
      <c r="AY181" s="55" t="n">
        <f aca="false">ROUND(AX181*$E$14/12,2)</f>
        <v>0</v>
      </c>
      <c r="AZ181" s="55" t="n">
        <f aca="false">MIN($F$14,AX181+AY181)</f>
        <v>0</v>
      </c>
      <c r="BA181" s="55" t="n">
        <f aca="false">MAX(0,MIN(AX181+AY181-AZ181,$D181-(H181+M181+R181+W181+AB181+AG181+AL181+AQ181+AV181)))</f>
        <v>0</v>
      </c>
      <c r="BB181" s="55" t="n">
        <f aca="false">AZ181+BA181</f>
        <v>0</v>
      </c>
      <c r="BC181" s="55" t="n">
        <f aca="false">I181+N181+S181+X181+AC181+AH181+AM181+AR181+AW181+BB181</f>
        <v>0</v>
      </c>
      <c r="BD181" s="55" t="n">
        <f aca="false">ROUND((E181+F181-I181)+(J181+K181-N181)+(O181+P181-S181)+(T181+U181-X181)+(Y181+Z181-AC181)+(AD181+AE181-AH181)+(AI181+AJ181-AM181)+(AN181+AO181-AR181)+(AS181+AT181-AW181)+(AX181+AY181-BB181),2)</f>
        <v>0</v>
      </c>
      <c r="BE181" s="25" t="str">
        <f aca="false">IF(H181&gt;0.005,$C$5,IF(M181&gt;0.005,$C$6,IF(R181&gt;0.005,$C$7,IF(W181&gt;0.005,$C$8,IF(AB181&gt;0.005,$C$9,IF(AG181&gt;0.005,$C$10,IF(AL181&gt;0.005,$C$11,IF(AQ181&gt;0.005,$C$12,IF(AV181&gt;0.005,$C$13,IF(BA181&gt;0.005,$C$14,""))))))))))</f>
        <v/>
      </c>
    </row>
    <row r="182" customFormat="false" ht="15" hidden="false" customHeight="false" outlineLevel="0" collapsed="false">
      <c r="A182" s="24" t="n">
        <v>159</v>
      </c>
      <c r="B182" s="54" t="n">
        <f aca="false">EDATE($C$17,A182-1)</f>
        <v>51136</v>
      </c>
      <c r="C182" s="55" t="n">
        <f aca="false">G182+L182+Q182+V182+AA182+AF182+AK182+AP182+AU182+AZ182</f>
        <v>0</v>
      </c>
      <c r="D182" s="55" t="n">
        <f aca="false">MAX(0,$C$16-C182)</f>
        <v>5822</v>
      </c>
      <c r="E182" s="55" t="n">
        <f aca="false">ROUND(MAX(0,E181+F181-I181),2)</f>
        <v>0</v>
      </c>
      <c r="F182" s="55" t="n">
        <f aca="false">ROUND(E182*$E$5/12,2)</f>
        <v>0</v>
      </c>
      <c r="G182" s="55" t="n">
        <f aca="false">MIN($F$5,E182+F182)</f>
        <v>0</v>
      </c>
      <c r="H182" s="55" t="n">
        <f aca="false">MAX(0,MIN(E182+F182-G182,$D182))</f>
        <v>0</v>
      </c>
      <c r="I182" s="55" t="n">
        <f aca="false">G182+H182</f>
        <v>0</v>
      </c>
      <c r="J182" s="55" t="n">
        <f aca="false">ROUND(MAX(0,J181+K181-N181),2)</f>
        <v>0</v>
      </c>
      <c r="K182" s="55" t="n">
        <f aca="false">ROUND(J182*$E$6/12,2)</f>
        <v>0</v>
      </c>
      <c r="L182" s="55" t="n">
        <f aca="false">MIN($F$6,J182+K182)</f>
        <v>0</v>
      </c>
      <c r="M182" s="55" t="n">
        <f aca="false">MAX(0,MIN(J182+K182-L182,$D182-(H182)))</f>
        <v>0</v>
      </c>
      <c r="N182" s="55" t="n">
        <f aca="false">L182+M182</f>
        <v>0</v>
      </c>
      <c r="O182" s="55" t="n">
        <f aca="false">ROUND(MAX(0,O181+P181-S181),2)</f>
        <v>0</v>
      </c>
      <c r="P182" s="55" t="n">
        <f aca="false">ROUND(O182*$E$7/12,2)</f>
        <v>0</v>
      </c>
      <c r="Q182" s="55" t="n">
        <f aca="false">MIN($F$7,O182+P182)</f>
        <v>0</v>
      </c>
      <c r="R182" s="55" t="n">
        <f aca="false">MAX(0,MIN(O182+P182-Q182,$D182-(H182+M182)))</f>
        <v>0</v>
      </c>
      <c r="S182" s="55" t="n">
        <f aca="false">Q182+R182</f>
        <v>0</v>
      </c>
      <c r="T182" s="55" t="n">
        <f aca="false">ROUND(MAX(0,T181+U181-X181),2)</f>
        <v>0</v>
      </c>
      <c r="U182" s="55" t="n">
        <f aca="false">ROUND(T182*$E$8/12,2)</f>
        <v>0</v>
      </c>
      <c r="V182" s="55" t="n">
        <f aca="false">MIN($F$8,T182+U182)</f>
        <v>0</v>
      </c>
      <c r="W182" s="55" t="n">
        <f aca="false">MAX(0,MIN(T182+U182-V182,$D182-(H182+M182+R182)))</f>
        <v>0</v>
      </c>
      <c r="X182" s="55" t="n">
        <f aca="false">V182+W182</f>
        <v>0</v>
      </c>
      <c r="Y182" s="55" t="n">
        <f aca="false">ROUND(MAX(0,Y181+Z181-AC181),2)</f>
        <v>0</v>
      </c>
      <c r="Z182" s="55" t="n">
        <f aca="false">ROUND(Y182*$E$9/12,2)</f>
        <v>0</v>
      </c>
      <c r="AA182" s="55" t="n">
        <f aca="false">MIN($F$9,Y182+Z182)</f>
        <v>0</v>
      </c>
      <c r="AB182" s="55" t="n">
        <f aca="false">MAX(0,MIN(Y182+Z182-AA182,$D182-(H182+M182+R182+W182)))</f>
        <v>0</v>
      </c>
      <c r="AC182" s="55" t="n">
        <f aca="false">AA182+AB182</f>
        <v>0</v>
      </c>
      <c r="AD182" s="55" t="n">
        <f aca="false">ROUND(MAX(0,AD181+AE181-AH181),2)</f>
        <v>0</v>
      </c>
      <c r="AE182" s="55" t="n">
        <f aca="false">ROUND(AD182*$E$10/12,2)</f>
        <v>0</v>
      </c>
      <c r="AF182" s="55" t="n">
        <f aca="false">MIN($F$10,AD182+AE182)</f>
        <v>0</v>
      </c>
      <c r="AG182" s="55" t="n">
        <f aca="false">MAX(0,MIN(AD182+AE182-AF182,$D182-(H182+M182+R182+W182+AB182)))</f>
        <v>0</v>
      </c>
      <c r="AH182" s="55" t="n">
        <f aca="false">AF182+AG182</f>
        <v>0</v>
      </c>
      <c r="AI182" s="55" t="n">
        <f aca="false">ROUND(MAX(0,AI181+AJ181-AM181),2)</f>
        <v>0</v>
      </c>
      <c r="AJ182" s="55" t="n">
        <f aca="false">ROUND(AI182*$E$11/12,2)</f>
        <v>0</v>
      </c>
      <c r="AK182" s="55" t="n">
        <f aca="false">MIN($F$11,AI182+AJ182)</f>
        <v>0</v>
      </c>
      <c r="AL182" s="55" t="n">
        <f aca="false">MAX(0,MIN(AI182+AJ182-AK182,$D182-(H182+M182+R182+W182+AB182+AG182)))</f>
        <v>0</v>
      </c>
      <c r="AM182" s="55" t="n">
        <f aca="false">AK182+AL182</f>
        <v>0</v>
      </c>
      <c r="AN182" s="55" t="n">
        <f aca="false">ROUND(MAX(0,AN181+AO181-AR181),2)</f>
        <v>0</v>
      </c>
      <c r="AO182" s="55" t="n">
        <f aca="false">ROUND(AN182*$E$12/12,2)</f>
        <v>0</v>
      </c>
      <c r="AP182" s="55" t="n">
        <f aca="false">MIN($F$12,AN182+AO182)</f>
        <v>0</v>
      </c>
      <c r="AQ182" s="55" t="n">
        <f aca="false">MAX(0,MIN(AN182+AO182-AP182,$D182-(H182+M182+R182+W182+AB182+AG182+AL182)))</f>
        <v>0</v>
      </c>
      <c r="AR182" s="55" t="n">
        <f aca="false">AP182+AQ182</f>
        <v>0</v>
      </c>
      <c r="AS182" s="55" t="n">
        <f aca="false">ROUND(MAX(0,AS181+AT181-AW181),2)</f>
        <v>0</v>
      </c>
      <c r="AT182" s="55" t="n">
        <f aca="false">ROUND(AS182*$E$13/12,2)</f>
        <v>0</v>
      </c>
      <c r="AU182" s="55" t="n">
        <f aca="false">MIN($F$13,AS182+AT182)</f>
        <v>0</v>
      </c>
      <c r="AV182" s="55" t="n">
        <f aca="false">MAX(0,MIN(AS182+AT182-AU182,$D182-(H182+M182+R182+W182+AB182+AG182+AL182+AQ182)))</f>
        <v>0</v>
      </c>
      <c r="AW182" s="55" t="n">
        <f aca="false">AU182+AV182</f>
        <v>0</v>
      </c>
      <c r="AX182" s="55" t="n">
        <f aca="false">ROUND(MAX(0,AX181+AY181-BB181),2)</f>
        <v>0</v>
      </c>
      <c r="AY182" s="55" t="n">
        <f aca="false">ROUND(AX182*$E$14/12,2)</f>
        <v>0</v>
      </c>
      <c r="AZ182" s="55" t="n">
        <f aca="false">MIN($F$14,AX182+AY182)</f>
        <v>0</v>
      </c>
      <c r="BA182" s="55" t="n">
        <f aca="false">MAX(0,MIN(AX182+AY182-AZ182,$D182-(H182+M182+R182+W182+AB182+AG182+AL182+AQ182+AV182)))</f>
        <v>0</v>
      </c>
      <c r="BB182" s="55" t="n">
        <f aca="false">AZ182+BA182</f>
        <v>0</v>
      </c>
      <c r="BC182" s="55" t="n">
        <f aca="false">I182+N182+S182+X182+AC182+AH182+AM182+AR182+AW182+BB182</f>
        <v>0</v>
      </c>
      <c r="BD182" s="55" t="n">
        <f aca="false">ROUND((E182+F182-I182)+(J182+K182-N182)+(O182+P182-S182)+(T182+U182-X182)+(Y182+Z182-AC182)+(AD182+AE182-AH182)+(AI182+AJ182-AM182)+(AN182+AO182-AR182)+(AS182+AT182-AW182)+(AX182+AY182-BB182),2)</f>
        <v>0</v>
      </c>
      <c r="BE182" s="25" t="str">
        <f aca="false">IF(H182&gt;0.005,$C$5,IF(M182&gt;0.005,$C$6,IF(R182&gt;0.005,$C$7,IF(W182&gt;0.005,$C$8,IF(AB182&gt;0.005,$C$9,IF(AG182&gt;0.005,$C$10,IF(AL182&gt;0.005,$C$11,IF(AQ182&gt;0.005,$C$12,IF(AV182&gt;0.005,$C$13,IF(BA182&gt;0.005,$C$14,""))))))))))</f>
        <v/>
      </c>
    </row>
    <row r="183" customFormat="false" ht="15" hidden="false" customHeight="false" outlineLevel="0" collapsed="false">
      <c r="A183" s="24" t="n">
        <v>160</v>
      </c>
      <c r="B183" s="54" t="n">
        <f aca="false">EDATE($C$17,A183-1)</f>
        <v>51167</v>
      </c>
      <c r="C183" s="55" t="n">
        <f aca="false">G183+L183+Q183+V183+AA183+AF183+AK183+AP183+AU183+AZ183</f>
        <v>0</v>
      </c>
      <c r="D183" s="55" t="n">
        <f aca="false">MAX(0,$C$16-C183)</f>
        <v>5822</v>
      </c>
      <c r="E183" s="55" t="n">
        <f aca="false">ROUND(MAX(0,E182+F182-I182),2)</f>
        <v>0</v>
      </c>
      <c r="F183" s="55" t="n">
        <f aca="false">ROUND(E183*$E$5/12,2)</f>
        <v>0</v>
      </c>
      <c r="G183" s="55" t="n">
        <f aca="false">MIN($F$5,E183+F183)</f>
        <v>0</v>
      </c>
      <c r="H183" s="55" t="n">
        <f aca="false">MAX(0,MIN(E183+F183-G183,$D183))</f>
        <v>0</v>
      </c>
      <c r="I183" s="55" t="n">
        <f aca="false">G183+H183</f>
        <v>0</v>
      </c>
      <c r="J183" s="55" t="n">
        <f aca="false">ROUND(MAX(0,J182+K182-N182),2)</f>
        <v>0</v>
      </c>
      <c r="K183" s="55" t="n">
        <f aca="false">ROUND(J183*$E$6/12,2)</f>
        <v>0</v>
      </c>
      <c r="L183" s="55" t="n">
        <f aca="false">MIN($F$6,J183+K183)</f>
        <v>0</v>
      </c>
      <c r="M183" s="55" t="n">
        <f aca="false">MAX(0,MIN(J183+K183-L183,$D183-(H183)))</f>
        <v>0</v>
      </c>
      <c r="N183" s="55" t="n">
        <f aca="false">L183+M183</f>
        <v>0</v>
      </c>
      <c r="O183" s="55" t="n">
        <f aca="false">ROUND(MAX(0,O182+P182-S182),2)</f>
        <v>0</v>
      </c>
      <c r="P183" s="55" t="n">
        <f aca="false">ROUND(O183*$E$7/12,2)</f>
        <v>0</v>
      </c>
      <c r="Q183" s="55" t="n">
        <f aca="false">MIN($F$7,O183+P183)</f>
        <v>0</v>
      </c>
      <c r="R183" s="55" t="n">
        <f aca="false">MAX(0,MIN(O183+P183-Q183,$D183-(H183+M183)))</f>
        <v>0</v>
      </c>
      <c r="S183" s="55" t="n">
        <f aca="false">Q183+R183</f>
        <v>0</v>
      </c>
      <c r="T183" s="55" t="n">
        <f aca="false">ROUND(MAX(0,T182+U182-X182),2)</f>
        <v>0</v>
      </c>
      <c r="U183" s="55" t="n">
        <f aca="false">ROUND(T183*$E$8/12,2)</f>
        <v>0</v>
      </c>
      <c r="V183" s="55" t="n">
        <f aca="false">MIN($F$8,T183+U183)</f>
        <v>0</v>
      </c>
      <c r="W183" s="55" t="n">
        <f aca="false">MAX(0,MIN(T183+U183-V183,$D183-(H183+M183+R183)))</f>
        <v>0</v>
      </c>
      <c r="X183" s="55" t="n">
        <f aca="false">V183+W183</f>
        <v>0</v>
      </c>
      <c r="Y183" s="55" t="n">
        <f aca="false">ROUND(MAX(0,Y182+Z182-AC182),2)</f>
        <v>0</v>
      </c>
      <c r="Z183" s="55" t="n">
        <f aca="false">ROUND(Y183*$E$9/12,2)</f>
        <v>0</v>
      </c>
      <c r="AA183" s="55" t="n">
        <f aca="false">MIN($F$9,Y183+Z183)</f>
        <v>0</v>
      </c>
      <c r="AB183" s="55" t="n">
        <f aca="false">MAX(0,MIN(Y183+Z183-AA183,$D183-(H183+M183+R183+W183)))</f>
        <v>0</v>
      </c>
      <c r="AC183" s="55" t="n">
        <f aca="false">AA183+AB183</f>
        <v>0</v>
      </c>
      <c r="AD183" s="55" t="n">
        <f aca="false">ROUND(MAX(0,AD182+AE182-AH182),2)</f>
        <v>0</v>
      </c>
      <c r="AE183" s="55" t="n">
        <f aca="false">ROUND(AD183*$E$10/12,2)</f>
        <v>0</v>
      </c>
      <c r="AF183" s="55" t="n">
        <f aca="false">MIN($F$10,AD183+AE183)</f>
        <v>0</v>
      </c>
      <c r="AG183" s="55" t="n">
        <f aca="false">MAX(0,MIN(AD183+AE183-AF183,$D183-(H183+M183+R183+W183+AB183)))</f>
        <v>0</v>
      </c>
      <c r="AH183" s="55" t="n">
        <f aca="false">AF183+AG183</f>
        <v>0</v>
      </c>
      <c r="AI183" s="55" t="n">
        <f aca="false">ROUND(MAX(0,AI182+AJ182-AM182),2)</f>
        <v>0</v>
      </c>
      <c r="AJ183" s="55" t="n">
        <f aca="false">ROUND(AI183*$E$11/12,2)</f>
        <v>0</v>
      </c>
      <c r="AK183" s="55" t="n">
        <f aca="false">MIN($F$11,AI183+AJ183)</f>
        <v>0</v>
      </c>
      <c r="AL183" s="55" t="n">
        <f aca="false">MAX(0,MIN(AI183+AJ183-AK183,$D183-(H183+M183+R183+W183+AB183+AG183)))</f>
        <v>0</v>
      </c>
      <c r="AM183" s="55" t="n">
        <f aca="false">AK183+AL183</f>
        <v>0</v>
      </c>
      <c r="AN183" s="55" t="n">
        <f aca="false">ROUND(MAX(0,AN182+AO182-AR182),2)</f>
        <v>0</v>
      </c>
      <c r="AO183" s="55" t="n">
        <f aca="false">ROUND(AN183*$E$12/12,2)</f>
        <v>0</v>
      </c>
      <c r="AP183" s="55" t="n">
        <f aca="false">MIN($F$12,AN183+AO183)</f>
        <v>0</v>
      </c>
      <c r="AQ183" s="55" t="n">
        <f aca="false">MAX(0,MIN(AN183+AO183-AP183,$D183-(H183+M183+R183+W183+AB183+AG183+AL183)))</f>
        <v>0</v>
      </c>
      <c r="AR183" s="55" t="n">
        <f aca="false">AP183+AQ183</f>
        <v>0</v>
      </c>
      <c r="AS183" s="55" t="n">
        <f aca="false">ROUND(MAX(0,AS182+AT182-AW182),2)</f>
        <v>0</v>
      </c>
      <c r="AT183" s="55" t="n">
        <f aca="false">ROUND(AS183*$E$13/12,2)</f>
        <v>0</v>
      </c>
      <c r="AU183" s="55" t="n">
        <f aca="false">MIN($F$13,AS183+AT183)</f>
        <v>0</v>
      </c>
      <c r="AV183" s="55" t="n">
        <f aca="false">MAX(0,MIN(AS183+AT183-AU183,$D183-(H183+M183+R183+W183+AB183+AG183+AL183+AQ183)))</f>
        <v>0</v>
      </c>
      <c r="AW183" s="55" t="n">
        <f aca="false">AU183+AV183</f>
        <v>0</v>
      </c>
      <c r="AX183" s="55" t="n">
        <f aca="false">ROUND(MAX(0,AX182+AY182-BB182),2)</f>
        <v>0</v>
      </c>
      <c r="AY183" s="55" t="n">
        <f aca="false">ROUND(AX183*$E$14/12,2)</f>
        <v>0</v>
      </c>
      <c r="AZ183" s="55" t="n">
        <f aca="false">MIN($F$14,AX183+AY183)</f>
        <v>0</v>
      </c>
      <c r="BA183" s="55" t="n">
        <f aca="false">MAX(0,MIN(AX183+AY183-AZ183,$D183-(H183+M183+R183+W183+AB183+AG183+AL183+AQ183+AV183)))</f>
        <v>0</v>
      </c>
      <c r="BB183" s="55" t="n">
        <f aca="false">AZ183+BA183</f>
        <v>0</v>
      </c>
      <c r="BC183" s="55" t="n">
        <f aca="false">I183+N183+S183+X183+AC183+AH183+AM183+AR183+AW183+BB183</f>
        <v>0</v>
      </c>
      <c r="BD183" s="55" t="n">
        <f aca="false">ROUND((E183+F183-I183)+(J183+K183-N183)+(O183+P183-S183)+(T183+U183-X183)+(Y183+Z183-AC183)+(AD183+AE183-AH183)+(AI183+AJ183-AM183)+(AN183+AO183-AR183)+(AS183+AT183-AW183)+(AX183+AY183-BB183),2)</f>
        <v>0</v>
      </c>
      <c r="BE183" s="25" t="str">
        <f aca="false">IF(H183&gt;0.005,$C$5,IF(M183&gt;0.005,$C$6,IF(R183&gt;0.005,$C$7,IF(W183&gt;0.005,$C$8,IF(AB183&gt;0.005,$C$9,IF(AG183&gt;0.005,$C$10,IF(AL183&gt;0.005,$C$11,IF(AQ183&gt;0.005,$C$12,IF(AV183&gt;0.005,$C$13,IF(BA183&gt;0.005,$C$14,""))))))))))</f>
        <v/>
      </c>
    </row>
    <row r="184" customFormat="false" ht="15" hidden="false" customHeight="false" outlineLevel="0" collapsed="false">
      <c r="A184" s="24" t="n">
        <v>161</v>
      </c>
      <c r="B184" s="54" t="n">
        <f aca="false">EDATE($C$17,A184-1)</f>
        <v>51196</v>
      </c>
      <c r="C184" s="55" t="n">
        <f aca="false">G184+L184+Q184+V184+AA184+AF184+AK184+AP184+AU184+AZ184</f>
        <v>0</v>
      </c>
      <c r="D184" s="55" t="n">
        <f aca="false">MAX(0,$C$16-C184)</f>
        <v>5822</v>
      </c>
      <c r="E184" s="55" t="n">
        <f aca="false">ROUND(MAX(0,E183+F183-I183),2)</f>
        <v>0</v>
      </c>
      <c r="F184" s="55" t="n">
        <f aca="false">ROUND(E184*$E$5/12,2)</f>
        <v>0</v>
      </c>
      <c r="G184" s="55" t="n">
        <f aca="false">MIN($F$5,E184+F184)</f>
        <v>0</v>
      </c>
      <c r="H184" s="55" t="n">
        <f aca="false">MAX(0,MIN(E184+F184-G184,$D184))</f>
        <v>0</v>
      </c>
      <c r="I184" s="55" t="n">
        <f aca="false">G184+H184</f>
        <v>0</v>
      </c>
      <c r="J184" s="55" t="n">
        <f aca="false">ROUND(MAX(0,J183+K183-N183),2)</f>
        <v>0</v>
      </c>
      <c r="K184" s="55" t="n">
        <f aca="false">ROUND(J184*$E$6/12,2)</f>
        <v>0</v>
      </c>
      <c r="L184" s="55" t="n">
        <f aca="false">MIN($F$6,J184+K184)</f>
        <v>0</v>
      </c>
      <c r="M184" s="55" t="n">
        <f aca="false">MAX(0,MIN(J184+K184-L184,$D184-(H184)))</f>
        <v>0</v>
      </c>
      <c r="N184" s="55" t="n">
        <f aca="false">L184+M184</f>
        <v>0</v>
      </c>
      <c r="O184" s="55" t="n">
        <f aca="false">ROUND(MAX(0,O183+P183-S183),2)</f>
        <v>0</v>
      </c>
      <c r="P184" s="55" t="n">
        <f aca="false">ROUND(O184*$E$7/12,2)</f>
        <v>0</v>
      </c>
      <c r="Q184" s="55" t="n">
        <f aca="false">MIN($F$7,O184+P184)</f>
        <v>0</v>
      </c>
      <c r="R184" s="55" t="n">
        <f aca="false">MAX(0,MIN(O184+P184-Q184,$D184-(H184+M184)))</f>
        <v>0</v>
      </c>
      <c r="S184" s="55" t="n">
        <f aca="false">Q184+R184</f>
        <v>0</v>
      </c>
      <c r="T184" s="55" t="n">
        <f aca="false">ROUND(MAX(0,T183+U183-X183),2)</f>
        <v>0</v>
      </c>
      <c r="U184" s="55" t="n">
        <f aca="false">ROUND(T184*$E$8/12,2)</f>
        <v>0</v>
      </c>
      <c r="V184" s="55" t="n">
        <f aca="false">MIN($F$8,T184+U184)</f>
        <v>0</v>
      </c>
      <c r="W184" s="55" t="n">
        <f aca="false">MAX(0,MIN(T184+U184-V184,$D184-(H184+M184+R184)))</f>
        <v>0</v>
      </c>
      <c r="X184" s="55" t="n">
        <f aca="false">V184+W184</f>
        <v>0</v>
      </c>
      <c r="Y184" s="55" t="n">
        <f aca="false">ROUND(MAX(0,Y183+Z183-AC183),2)</f>
        <v>0</v>
      </c>
      <c r="Z184" s="55" t="n">
        <f aca="false">ROUND(Y184*$E$9/12,2)</f>
        <v>0</v>
      </c>
      <c r="AA184" s="55" t="n">
        <f aca="false">MIN($F$9,Y184+Z184)</f>
        <v>0</v>
      </c>
      <c r="AB184" s="55" t="n">
        <f aca="false">MAX(0,MIN(Y184+Z184-AA184,$D184-(H184+M184+R184+W184)))</f>
        <v>0</v>
      </c>
      <c r="AC184" s="55" t="n">
        <f aca="false">AA184+AB184</f>
        <v>0</v>
      </c>
      <c r="AD184" s="55" t="n">
        <f aca="false">ROUND(MAX(0,AD183+AE183-AH183),2)</f>
        <v>0</v>
      </c>
      <c r="AE184" s="55" t="n">
        <f aca="false">ROUND(AD184*$E$10/12,2)</f>
        <v>0</v>
      </c>
      <c r="AF184" s="55" t="n">
        <f aca="false">MIN($F$10,AD184+AE184)</f>
        <v>0</v>
      </c>
      <c r="AG184" s="55" t="n">
        <f aca="false">MAX(0,MIN(AD184+AE184-AF184,$D184-(H184+M184+R184+W184+AB184)))</f>
        <v>0</v>
      </c>
      <c r="AH184" s="55" t="n">
        <f aca="false">AF184+AG184</f>
        <v>0</v>
      </c>
      <c r="AI184" s="55" t="n">
        <f aca="false">ROUND(MAX(0,AI183+AJ183-AM183),2)</f>
        <v>0</v>
      </c>
      <c r="AJ184" s="55" t="n">
        <f aca="false">ROUND(AI184*$E$11/12,2)</f>
        <v>0</v>
      </c>
      <c r="AK184" s="55" t="n">
        <f aca="false">MIN($F$11,AI184+AJ184)</f>
        <v>0</v>
      </c>
      <c r="AL184" s="55" t="n">
        <f aca="false">MAX(0,MIN(AI184+AJ184-AK184,$D184-(H184+M184+R184+W184+AB184+AG184)))</f>
        <v>0</v>
      </c>
      <c r="AM184" s="55" t="n">
        <f aca="false">AK184+AL184</f>
        <v>0</v>
      </c>
      <c r="AN184" s="55" t="n">
        <f aca="false">ROUND(MAX(0,AN183+AO183-AR183),2)</f>
        <v>0</v>
      </c>
      <c r="AO184" s="55" t="n">
        <f aca="false">ROUND(AN184*$E$12/12,2)</f>
        <v>0</v>
      </c>
      <c r="AP184" s="55" t="n">
        <f aca="false">MIN($F$12,AN184+AO184)</f>
        <v>0</v>
      </c>
      <c r="AQ184" s="55" t="n">
        <f aca="false">MAX(0,MIN(AN184+AO184-AP184,$D184-(H184+M184+R184+W184+AB184+AG184+AL184)))</f>
        <v>0</v>
      </c>
      <c r="AR184" s="55" t="n">
        <f aca="false">AP184+AQ184</f>
        <v>0</v>
      </c>
      <c r="AS184" s="55" t="n">
        <f aca="false">ROUND(MAX(0,AS183+AT183-AW183),2)</f>
        <v>0</v>
      </c>
      <c r="AT184" s="55" t="n">
        <f aca="false">ROUND(AS184*$E$13/12,2)</f>
        <v>0</v>
      </c>
      <c r="AU184" s="55" t="n">
        <f aca="false">MIN($F$13,AS184+AT184)</f>
        <v>0</v>
      </c>
      <c r="AV184" s="55" t="n">
        <f aca="false">MAX(0,MIN(AS184+AT184-AU184,$D184-(H184+M184+R184+W184+AB184+AG184+AL184+AQ184)))</f>
        <v>0</v>
      </c>
      <c r="AW184" s="55" t="n">
        <f aca="false">AU184+AV184</f>
        <v>0</v>
      </c>
      <c r="AX184" s="55" t="n">
        <f aca="false">ROUND(MAX(0,AX183+AY183-BB183),2)</f>
        <v>0</v>
      </c>
      <c r="AY184" s="55" t="n">
        <f aca="false">ROUND(AX184*$E$14/12,2)</f>
        <v>0</v>
      </c>
      <c r="AZ184" s="55" t="n">
        <f aca="false">MIN($F$14,AX184+AY184)</f>
        <v>0</v>
      </c>
      <c r="BA184" s="55" t="n">
        <f aca="false">MAX(0,MIN(AX184+AY184-AZ184,$D184-(H184+M184+R184+W184+AB184+AG184+AL184+AQ184+AV184)))</f>
        <v>0</v>
      </c>
      <c r="BB184" s="55" t="n">
        <f aca="false">AZ184+BA184</f>
        <v>0</v>
      </c>
      <c r="BC184" s="55" t="n">
        <f aca="false">I184+N184+S184+X184+AC184+AH184+AM184+AR184+AW184+BB184</f>
        <v>0</v>
      </c>
      <c r="BD184" s="55" t="n">
        <f aca="false">ROUND((E184+F184-I184)+(J184+K184-N184)+(O184+P184-S184)+(T184+U184-X184)+(Y184+Z184-AC184)+(AD184+AE184-AH184)+(AI184+AJ184-AM184)+(AN184+AO184-AR184)+(AS184+AT184-AW184)+(AX184+AY184-BB184),2)</f>
        <v>0</v>
      </c>
      <c r="BE184" s="25" t="str">
        <f aca="false">IF(H184&gt;0.005,$C$5,IF(M184&gt;0.005,$C$6,IF(R184&gt;0.005,$C$7,IF(W184&gt;0.005,$C$8,IF(AB184&gt;0.005,$C$9,IF(AG184&gt;0.005,$C$10,IF(AL184&gt;0.005,$C$11,IF(AQ184&gt;0.005,$C$12,IF(AV184&gt;0.005,$C$13,IF(BA184&gt;0.005,$C$14,""))))))))))</f>
        <v/>
      </c>
    </row>
    <row r="185" customFormat="false" ht="15" hidden="false" customHeight="false" outlineLevel="0" collapsed="false">
      <c r="A185" s="24" t="n">
        <v>162</v>
      </c>
      <c r="B185" s="54" t="n">
        <f aca="false">EDATE($C$17,A185-1)</f>
        <v>51227</v>
      </c>
      <c r="C185" s="55" t="n">
        <f aca="false">G185+L185+Q185+V185+AA185+AF185+AK185+AP185+AU185+AZ185</f>
        <v>0</v>
      </c>
      <c r="D185" s="55" t="n">
        <f aca="false">MAX(0,$C$16-C185)</f>
        <v>5822</v>
      </c>
      <c r="E185" s="55" t="n">
        <f aca="false">ROUND(MAX(0,E184+F184-I184),2)</f>
        <v>0</v>
      </c>
      <c r="F185" s="55" t="n">
        <f aca="false">ROUND(E185*$E$5/12,2)</f>
        <v>0</v>
      </c>
      <c r="G185" s="55" t="n">
        <f aca="false">MIN($F$5,E185+F185)</f>
        <v>0</v>
      </c>
      <c r="H185" s="55" t="n">
        <f aca="false">MAX(0,MIN(E185+F185-G185,$D185))</f>
        <v>0</v>
      </c>
      <c r="I185" s="55" t="n">
        <f aca="false">G185+H185</f>
        <v>0</v>
      </c>
      <c r="J185" s="55" t="n">
        <f aca="false">ROUND(MAX(0,J184+K184-N184),2)</f>
        <v>0</v>
      </c>
      <c r="K185" s="55" t="n">
        <f aca="false">ROUND(J185*$E$6/12,2)</f>
        <v>0</v>
      </c>
      <c r="L185" s="55" t="n">
        <f aca="false">MIN($F$6,J185+K185)</f>
        <v>0</v>
      </c>
      <c r="M185" s="55" t="n">
        <f aca="false">MAX(0,MIN(J185+K185-L185,$D185-(H185)))</f>
        <v>0</v>
      </c>
      <c r="N185" s="55" t="n">
        <f aca="false">L185+M185</f>
        <v>0</v>
      </c>
      <c r="O185" s="55" t="n">
        <f aca="false">ROUND(MAX(0,O184+P184-S184),2)</f>
        <v>0</v>
      </c>
      <c r="P185" s="55" t="n">
        <f aca="false">ROUND(O185*$E$7/12,2)</f>
        <v>0</v>
      </c>
      <c r="Q185" s="55" t="n">
        <f aca="false">MIN($F$7,O185+P185)</f>
        <v>0</v>
      </c>
      <c r="R185" s="55" t="n">
        <f aca="false">MAX(0,MIN(O185+P185-Q185,$D185-(H185+M185)))</f>
        <v>0</v>
      </c>
      <c r="S185" s="55" t="n">
        <f aca="false">Q185+R185</f>
        <v>0</v>
      </c>
      <c r="T185" s="55" t="n">
        <f aca="false">ROUND(MAX(0,T184+U184-X184),2)</f>
        <v>0</v>
      </c>
      <c r="U185" s="55" t="n">
        <f aca="false">ROUND(T185*$E$8/12,2)</f>
        <v>0</v>
      </c>
      <c r="V185" s="55" t="n">
        <f aca="false">MIN($F$8,T185+U185)</f>
        <v>0</v>
      </c>
      <c r="W185" s="55" t="n">
        <f aca="false">MAX(0,MIN(T185+U185-V185,$D185-(H185+M185+R185)))</f>
        <v>0</v>
      </c>
      <c r="X185" s="55" t="n">
        <f aca="false">V185+W185</f>
        <v>0</v>
      </c>
      <c r="Y185" s="55" t="n">
        <f aca="false">ROUND(MAX(0,Y184+Z184-AC184),2)</f>
        <v>0</v>
      </c>
      <c r="Z185" s="55" t="n">
        <f aca="false">ROUND(Y185*$E$9/12,2)</f>
        <v>0</v>
      </c>
      <c r="AA185" s="55" t="n">
        <f aca="false">MIN($F$9,Y185+Z185)</f>
        <v>0</v>
      </c>
      <c r="AB185" s="55" t="n">
        <f aca="false">MAX(0,MIN(Y185+Z185-AA185,$D185-(H185+M185+R185+W185)))</f>
        <v>0</v>
      </c>
      <c r="AC185" s="55" t="n">
        <f aca="false">AA185+AB185</f>
        <v>0</v>
      </c>
      <c r="AD185" s="55" t="n">
        <f aca="false">ROUND(MAX(0,AD184+AE184-AH184),2)</f>
        <v>0</v>
      </c>
      <c r="AE185" s="55" t="n">
        <f aca="false">ROUND(AD185*$E$10/12,2)</f>
        <v>0</v>
      </c>
      <c r="AF185" s="55" t="n">
        <f aca="false">MIN($F$10,AD185+AE185)</f>
        <v>0</v>
      </c>
      <c r="AG185" s="55" t="n">
        <f aca="false">MAX(0,MIN(AD185+AE185-AF185,$D185-(H185+M185+R185+W185+AB185)))</f>
        <v>0</v>
      </c>
      <c r="AH185" s="55" t="n">
        <f aca="false">AF185+AG185</f>
        <v>0</v>
      </c>
      <c r="AI185" s="55" t="n">
        <f aca="false">ROUND(MAX(0,AI184+AJ184-AM184),2)</f>
        <v>0</v>
      </c>
      <c r="AJ185" s="55" t="n">
        <f aca="false">ROUND(AI185*$E$11/12,2)</f>
        <v>0</v>
      </c>
      <c r="AK185" s="55" t="n">
        <f aca="false">MIN($F$11,AI185+AJ185)</f>
        <v>0</v>
      </c>
      <c r="AL185" s="55" t="n">
        <f aca="false">MAX(0,MIN(AI185+AJ185-AK185,$D185-(H185+M185+R185+W185+AB185+AG185)))</f>
        <v>0</v>
      </c>
      <c r="AM185" s="55" t="n">
        <f aca="false">AK185+AL185</f>
        <v>0</v>
      </c>
      <c r="AN185" s="55" t="n">
        <f aca="false">ROUND(MAX(0,AN184+AO184-AR184),2)</f>
        <v>0</v>
      </c>
      <c r="AO185" s="55" t="n">
        <f aca="false">ROUND(AN185*$E$12/12,2)</f>
        <v>0</v>
      </c>
      <c r="AP185" s="55" t="n">
        <f aca="false">MIN($F$12,AN185+AO185)</f>
        <v>0</v>
      </c>
      <c r="AQ185" s="55" t="n">
        <f aca="false">MAX(0,MIN(AN185+AO185-AP185,$D185-(H185+M185+R185+W185+AB185+AG185+AL185)))</f>
        <v>0</v>
      </c>
      <c r="AR185" s="55" t="n">
        <f aca="false">AP185+AQ185</f>
        <v>0</v>
      </c>
      <c r="AS185" s="55" t="n">
        <f aca="false">ROUND(MAX(0,AS184+AT184-AW184),2)</f>
        <v>0</v>
      </c>
      <c r="AT185" s="55" t="n">
        <f aca="false">ROUND(AS185*$E$13/12,2)</f>
        <v>0</v>
      </c>
      <c r="AU185" s="55" t="n">
        <f aca="false">MIN($F$13,AS185+AT185)</f>
        <v>0</v>
      </c>
      <c r="AV185" s="55" t="n">
        <f aca="false">MAX(0,MIN(AS185+AT185-AU185,$D185-(H185+M185+R185+W185+AB185+AG185+AL185+AQ185)))</f>
        <v>0</v>
      </c>
      <c r="AW185" s="55" t="n">
        <f aca="false">AU185+AV185</f>
        <v>0</v>
      </c>
      <c r="AX185" s="55" t="n">
        <f aca="false">ROUND(MAX(0,AX184+AY184-BB184),2)</f>
        <v>0</v>
      </c>
      <c r="AY185" s="55" t="n">
        <f aca="false">ROUND(AX185*$E$14/12,2)</f>
        <v>0</v>
      </c>
      <c r="AZ185" s="55" t="n">
        <f aca="false">MIN($F$14,AX185+AY185)</f>
        <v>0</v>
      </c>
      <c r="BA185" s="55" t="n">
        <f aca="false">MAX(0,MIN(AX185+AY185-AZ185,$D185-(H185+M185+R185+W185+AB185+AG185+AL185+AQ185+AV185)))</f>
        <v>0</v>
      </c>
      <c r="BB185" s="55" t="n">
        <f aca="false">AZ185+BA185</f>
        <v>0</v>
      </c>
      <c r="BC185" s="55" t="n">
        <f aca="false">I185+N185+S185+X185+AC185+AH185+AM185+AR185+AW185+BB185</f>
        <v>0</v>
      </c>
      <c r="BD185" s="55" t="n">
        <f aca="false">ROUND((E185+F185-I185)+(J185+K185-N185)+(O185+P185-S185)+(T185+U185-X185)+(Y185+Z185-AC185)+(AD185+AE185-AH185)+(AI185+AJ185-AM185)+(AN185+AO185-AR185)+(AS185+AT185-AW185)+(AX185+AY185-BB185),2)</f>
        <v>0</v>
      </c>
      <c r="BE185" s="25" t="str">
        <f aca="false">IF(H185&gt;0.005,$C$5,IF(M185&gt;0.005,$C$6,IF(R185&gt;0.005,$C$7,IF(W185&gt;0.005,$C$8,IF(AB185&gt;0.005,$C$9,IF(AG185&gt;0.005,$C$10,IF(AL185&gt;0.005,$C$11,IF(AQ185&gt;0.005,$C$12,IF(AV185&gt;0.005,$C$13,IF(BA185&gt;0.005,$C$14,""))))))))))</f>
        <v/>
      </c>
    </row>
    <row r="186" customFormat="false" ht="15" hidden="false" customHeight="false" outlineLevel="0" collapsed="false">
      <c r="A186" s="24" t="n">
        <v>163</v>
      </c>
      <c r="B186" s="54" t="n">
        <f aca="false">EDATE($C$17,A186-1)</f>
        <v>51257</v>
      </c>
      <c r="C186" s="55" t="n">
        <f aca="false">G186+L186+Q186+V186+AA186+AF186+AK186+AP186+AU186+AZ186</f>
        <v>0</v>
      </c>
      <c r="D186" s="55" t="n">
        <f aca="false">MAX(0,$C$16-C186)</f>
        <v>5822</v>
      </c>
      <c r="E186" s="55" t="n">
        <f aca="false">ROUND(MAX(0,E185+F185-I185),2)</f>
        <v>0</v>
      </c>
      <c r="F186" s="55" t="n">
        <f aca="false">ROUND(E186*$E$5/12,2)</f>
        <v>0</v>
      </c>
      <c r="G186" s="55" t="n">
        <f aca="false">MIN($F$5,E186+F186)</f>
        <v>0</v>
      </c>
      <c r="H186" s="55" t="n">
        <f aca="false">MAX(0,MIN(E186+F186-G186,$D186))</f>
        <v>0</v>
      </c>
      <c r="I186" s="55" t="n">
        <f aca="false">G186+H186</f>
        <v>0</v>
      </c>
      <c r="J186" s="55" t="n">
        <f aca="false">ROUND(MAX(0,J185+K185-N185),2)</f>
        <v>0</v>
      </c>
      <c r="K186" s="55" t="n">
        <f aca="false">ROUND(J186*$E$6/12,2)</f>
        <v>0</v>
      </c>
      <c r="L186" s="55" t="n">
        <f aca="false">MIN($F$6,J186+K186)</f>
        <v>0</v>
      </c>
      <c r="M186" s="55" t="n">
        <f aca="false">MAX(0,MIN(J186+K186-L186,$D186-(H186)))</f>
        <v>0</v>
      </c>
      <c r="N186" s="55" t="n">
        <f aca="false">L186+M186</f>
        <v>0</v>
      </c>
      <c r="O186" s="55" t="n">
        <f aca="false">ROUND(MAX(0,O185+P185-S185),2)</f>
        <v>0</v>
      </c>
      <c r="P186" s="55" t="n">
        <f aca="false">ROUND(O186*$E$7/12,2)</f>
        <v>0</v>
      </c>
      <c r="Q186" s="55" t="n">
        <f aca="false">MIN($F$7,O186+P186)</f>
        <v>0</v>
      </c>
      <c r="R186" s="55" t="n">
        <f aca="false">MAX(0,MIN(O186+P186-Q186,$D186-(H186+M186)))</f>
        <v>0</v>
      </c>
      <c r="S186" s="55" t="n">
        <f aca="false">Q186+R186</f>
        <v>0</v>
      </c>
      <c r="T186" s="55" t="n">
        <f aca="false">ROUND(MAX(0,T185+U185-X185),2)</f>
        <v>0</v>
      </c>
      <c r="U186" s="55" t="n">
        <f aca="false">ROUND(T186*$E$8/12,2)</f>
        <v>0</v>
      </c>
      <c r="V186" s="55" t="n">
        <f aca="false">MIN($F$8,T186+U186)</f>
        <v>0</v>
      </c>
      <c r="W186" s="55" t="n">
        <f aca="false">MAX(0,MIN(T186+U186-V186,$D186-(H186+M186+R186)))</f>
        <v>0</v>
      </c>
      <c r="X186" s="55" t="n">
        <f aca="false">V186+W186</f>
        <v>0</v>
      </c>
      <c r="Y186" s="55" t="n">
        <f aca="false">ROUND(MAX(0,Y185+Z185-AC185),2)</f>
        <v>0</v>
      </c>
      <c r="Z186" s="55" t="n">
        <f aca="false">ROUND(Y186*$E$9/12,2)</f>
        <v>0</v>
      </c>
      <c r="AA186" s="55" t="n">
        <f aca="false">MIN($F$9,Y186+Z186)</f>
        <v>0</v>
      </c>
      <c r="AB186" s="55" t="n">
        <f aca="false">MAX(0,MIN(Y186+Z186-AA186,$D186-(H186+M186+R186+W186)))</f>
        <v>0</v>
      </c>
      <c r="AC186" s="55" t="n">
        <f aca="false">AA186+AB186</f>
        <v>0</v>
      </c>
      <c r="AD186" s="55" t="n">
        <f aca="false">ROUND(MAX(0,AD185+AE185-AH185),2)</f>
        <v>0</v>
      </c>
      <c r="AE186" s="55" t="n">
        <f aca="false">ROUND(AD186*$E$10/12,2)</f>
        <v>0</v>
      </c>
      <c r="AF186" s="55" t="n">
        <f aca="false">MIN($F$10,AD186+AE186)</f>
        <v>0</v>
      </c>
      <c r="AG186" s="55" t="n">
        <f aca="false">MAX(0,MIN(AD186+AE186-AF186,$D186-(H186+M186+R186+W186+AB186)))</f>
        <v>0</v>
      </c>
      <c r="AH186" s="55" t="n">
        <f aca="false">AF186+AG186</f>
        <v>0</v>
      </c>
      <c r="AI186" s="55" t="n">
        <f aca="false">ROUND(MAX(0,AI185+AJ185-AM185),2)</f>
        <v>0</v>
      </c>
      <c r="AJ186" s="55" t="n">
        <f aca="false">ROUND(AI186*$E$11/12,2)</f>
        <v>0</v>
      </c>
      <c r="AK186" s="55" t="n">
        <f aca="false">MIN($F$11,AI186+AJ186)</f>
        <v>0</v>
      </c>
      <c r="AL186" s="55" t="n">
        <f aca="false">MAX(0,MIN(AI186+AJ186-AK186,$D186-(H186+M186+R186+W186+AB186+AG186)))</f>
        <v>0</v>
      </c>
      <c r="AM186" s="55" t="n">
        <f aca="false">AK186+AL186</f>
        <v>0</v>
      </c>
      <c r="AN186" s="55" t="n">
        <f aca="false">ROUND(MAX(0,AN185+AO185-AR185),2)</f>
        <v>0</v>
      </c>
      <c r="AO186" s="55" t="n">
        <f aca="false">ROUND(AN186*$E$12/12,2)</f>
        <v>0</v>
      </c>
      <c r="AP186" s="55" t="n">
        <f aca="false">MIN($F$12,AN186+AO186)</f>
        <v>0</v>
      </c>
      <c r="AQ186" s="55" t="n">
        <f aca="false">MAX(0,MIN(AN186+AO186-AP186,$D186-(H186+M186+R186+W186+AB186+AG186+AL186)))</f>
        <v>0</v>
      </c>
      <c r="AR186" s="55" t="n">
        <f aca="false">AP186+AQ186</f>
        <v>0</v>
      </c>
      <c r="AS186" s="55" t="n">
        <f aca="false">ROUND(MAX(0,AS185+AT185-AW185),2)</f>
        <v>0</v>
      </c>
      <c r="AT186" s="55" t="n">
        <f aca="false">ROUND(AS186*$E$13/12,2)</f>
        <v>0</v>
      </c>
      <c r="AU186" s="55" t="n">
        <f aca="false">MIN($F$13,AS186+AT186)</f>
        <v>0</v>
      </c>
      <c r="AV186" s="55" t="n">
        <f aca="false">MAX(0,MIN(AS186+AT186-AU186,$D186-(H186+M186+R186+W186+AB186+AG186+AL186+AQ186)))</f>
        <v>0</v>
      </c>
      <c r="AW186" s="55" t="n">
        <f aca="false">AU186+AV186</f>
        <v>0</v>
      </c>
      <c r="AX186" s="55" t="n">
        <f aca="false">ROUND(MAX(0,AX185+AY185-BB185),2)</f>
        <v>0</v>
      </c>
      <c r="AY186" s="55" t="n">
        <f aca="false">ROUND(AX186*$E$14/12,2)</f>
        <v>0</v>
      </c>
      <c r="AZ186" s="55" t="n">
        <f aca="false">MIN($F$14,AX186+AY186)</f>
        <v>0</v>
      </c>
      <c r="BA186" s="55" t="n">
        <f aca="false">MAX(0,MIN(AX186+AY186-AZ186,$D186-(H186+M186+R186+W186+AB186+AG186+AL186+AQ186+AV186)))</f>
        <v>0</v>
      </c>
      <c r="BB186" s="55" t="n">
        <f aca="false">AZ186+BA186</f>
        <v>0</v>
      </c>
      <c r="BC186" s="55" t="n">
        <f aca="false">I186+N186+S186+X186+AC186+AH186+AM186+AR186+AW186+BB186</f>
        <v>0</v>
      </c>
      <c r="BD186" s="55" t="n">
        <f aca="false">ROUND((E186+F186-I186)+(J186+K186-N186)+(O186+P186-S186)+(T186+U186-X186)+(Y186+Z186-AC186)+(AD186+AE186-AH186)+(AI186+AJ186-AM186)+(AN186+AO186-AR186)+(AS186+AT186-AW186)+(AX186+AY186-BB186),2)</f>
        <v>0</v>
      </c>
      <c r="BE186" s="25" t="str">
        <f aca="false">IF(H186&gt;0.005,$C$5,IF(M186&gt;0.005,$C$6,IF(R186&gt;0.005,$C$7,IF(W186&gt;0.005,$C$8,IF(AB186&gt;0.005,$C$9,IF(AG186&gt;0.005,$C$10,IF(AL186&gt;0.005,$C$11,IF(AQ186&gt;0.005,$C$12,IF(AV186&gt;0.005,$C$13,IF(BA186&gt;0.005,$C$14,""))))))))))</f>
        <v/>
      </c>
    </row>
    <row r="187" customFormat="false" ht="15" hidden="false" customHeight="false" outlineLevel="0" collapsed="false">
      <c r="A187" s="24" t="n">
        <v>164</v>
      </c>
      <c r="B187" s="54" t="n">
        <f aca="false">EDATE($C$17,A187-1)</f>
        <v>51288</v>
      </c>
      <c r="C187" s="55" t="n">
        <f aca="false">G187+L187+Q187+V187+AA187+AF187+AK187+AP187+AU187+AZ187</f>
        <v>0</v>
      </c>
      <c r="D187" s="55" t="n">
        <f aca="false">MAX(0,$C$16-C187)</f>
        <v>5822</v>
      </c>
      <c r="E187" s="55" t="n">
        <f aca="false">ROUND(MAX(0,E186+F186-I186),2)</f>
        <v>0</v>
      </c>
      <c r="F187" s="55" t="n">
        <f aca="false">ROUND(E187*$E$5/12,2)</f>
        <v>0</v>
      </c>
      <c r="G187" s="55" t="n">
        <f aca="false">MIN($F$5,E187+F187)</f>
        <v>0</v>
      </c>
      <c r="H187" s="55" t="n">
        <f aca="false">MAX(0,MIN(E187+F187-G187,$D187))</f>
        <v>0</v>
      </c>
      <c r="I187" s="55" t="n">
        <f aca="false">G187+H187</f>
        <v>0</v>
      </c>
      <c r="J187" s="55" t="n">
        <f aca="false">ROUND(MAX(0,J186+K186-N186),2)</f>
        <v>0</v>
      </c>
      <c r="K187" s="55" t="n">
        <f aca="false">ROUND(J187*$E$6/12,2)</f>
        <v>0</v>
      </c>
      <c r="L187" s="55" t="n">
        <f aca="false">MIN($F$6,J187+K187)</f>
        <v>0</v>
      </c>
      <c r="M187" s="55" t="n">
        <f aca="false">MAX(0,MIN(J187+K187-L187,$D187-(H187)))</f>
        <v>0</v>
      </c>
      <c r="N187" s="55" t="n">
        <f aca="false">L187+M187</f>
        <v>0</v>
      </c>
      <c r="O187" s="55" t="n">
        <f aca="false">ROUND(MAX(0,O186+P186-S186),2)</f>
        <v>0</v>
      </c>
      <c r="P187" s="55" t="n">
        <f aca="false">ROUND(O187*$E$7/12,2)</f>
        <v>0</v>
      </c>
      <c r="Q187" s="55" t="n">
        <f aca="false">MIN($F$7,O187+P187)</f>
        <v>0</v>
      </c>
      <c r="R187" s="55" t="n">
        <f aca="false">MAX(0,MIN(O187+P187-Q187,$D187-(H187+M187)))</f>
        <v>0</v>
      </c>
      <c r="S187" s="55" t="n">
        <f aca="false">Q187+R187</f>
        <v>0</v>
      </c>
      <c r="T187" s="55" t="n">
        <f aca="false">ROUND(MAX(0,T186+U186-X186),2)</f>
        <v>0</v>
      </c>
      <c r="U187" s="55" t="n">
        <f aca="false">ROUND(T187*$E$8/12,2)</f>
        <v>0</v>
      </c>
      <c r="V187" s="55" t="n">
        <f aca="false">MIN($F$8,T187+U187)</f>
        <v>0</v>
      </c>
      <c r="W187" s="55" t="n">
        <f aca="false">MAX(0,MIN(T187+U187-V187,$D187-(H187+M187+R187)))</f>
        <v>0</v>
      </c>
      <c r="X187" s="55" t="n">
        <f aca="false">V187+W187</f>
        <v>0</v>
      </c>
      <c r="Y187" s="55" t="n">
        <f aca="false">ROUND(MAX(0,Y186+Z186-AC186),2)</f>
        <v>0</v>
      </c>
      <c r="Z187" s="55" t="n">
        <f aca="false">ROUND(Y187*$E$9/12,2)</f>
        <v>0</v>
      </c>
      <c r="AA187" s="55" t="n">
        <f aca="false">MIN($F$9,Y187+Z187)</f>
        <v>0</v>
      </c>
      <c r="AB187" s="55" t="n">
        <f aca="false">MAX(0,MIN(Y187+Z187-AA187,$D187-(H187+M187+R187+W187)))</f>
        <v>0</v>
      </c>
      <c r="AC187" s="55" t="n">
        <f aca="false">AA187+AB187</f>
        <v>0</v>
      </c>
      <c r="AD187" s="55" t="n">
        <f aca="false">ROUND(MAX(0,AD186+AE186-AH186),2)</f>
        <v>0</v>
      </c>
      <c r="AE187" s="55" t="n">
        <f aca="false">ROUND(AD187*$E$10/12,2)</f>
        <v>0</v>
      </c>
      <c r="AF187" s="55" t="n">
        <f aca="false">MIN($F$10,AD187+AE187)</f>
        <v>0</v>
      </c>
      <c r="AG187" s="55" t="n">
        <f aca="false">MAX(0,MIN(AD187+AE187-AF187,$D187-(H187+M187+R187+W187+AB187)))</f>
        <v>0</v>
      </c>
      <c r="AH187" s="55" t="n">
        <f aca="false">AF187+AG187</f>
        <v>0</v>
      </c>
      <c r="AI187" s="55" t="n">
        <f aca="false">ROUND(MAX(0,AI186+AJ186-AM186),2)</f>
        <v>0</v>
      </c>
      <c r="AJ187" s="55" t="n">
        <f aca="false">ROUND(AI187*$E$11/12,2)</f>
        <v>0</v>
      </c>
      <c r="AK187" s="55" t="n">
        <f aca="false">MIN($F$11,AI187+AJ187)</f>
        <v>0</v>
      </c>
      <c r="AL187" s="55" t="n">
        <f aca="false">MAX(0,MIN(AI187+AJ187-AK187,$D187-(H187+M187+R187+W187+AB187+AG187)))</f>
        <v>0</v>
      </c>
      <c r="AM187" s="55" t="n">
        <f aca="false">AK187+AL187</f>
        <v>0</v>
      </c>
      <c r="AN187" s="55" t="n">
        <f aca="false">ROUND(MAX(0,AN186+AO186-AR186),2)</f>
        <v>0</v>
      </c>
      <c r="AO187" s="55" t="n">
        <f aca="false">ROUND(AN187*$E$12/12,2)</f>
        <v>0</v>
      </c>
      <c r="AP187" s="55" t="n">
        <f aca="false">MIN($F$12,AN187+AO187)</f>
        <v>0</v>
      </c>
      <c r="AQ187" s="55" t="n">
        <f aca="false">MAX(0,MIN(AN187+AO187-AP187,$D187-(H187+M187+R187+W187+AB187+AG187+AL187)))</f>
        <v>0</v>
      </c>
      <c r="AR187" s="55" t="n">
        <f aca="false">AP187+AQ187</f>
        <v>0</v>
      </c>
      <c r="AS187" s="55" t="n">
        <f aca="false">ROUND(MAX(0,AS186+AT186-AW186),2)</f>
        <v>0</v>
      </c>
      <c r="AT187" s="55" t="n">
        <f aca="false">ROUND(AS187*$E$13/12,2)</f>
        <v>0</v>
      </c>
      <c r="AU187" s="55" t="n">
        <f aca="false">MIN($F$13,AS187+AT187)</f>
        <v>0</v>
      </c>
      <c r="AV187" s="55" t="n">
        <f aca="false">MAX(0,MIN(AS187+AT187-AU187,$D187-(H187+M187+R187+W187+AB187+AG187+AL187+AQ187)))</f>
        <v>0</v>
      </c>
      <c r="AW187" s="55" t="n">
        <f aca="false">AU187+AV187</f>
        <v>0</v>
      </c>
      <c r="AX187" s="55" t="n">
        <f aca="false">ROUND(MAX(0,AX186+AY186-BB186),2)</f>
        <v>0</v>
      </c>
      <c r="AY187" s="55" t="n">
        <f aca="false">ROUND(AX187*$E$14/12,2)</f>
        <v>0</v>
      </c>
      <c r="AZ187" s="55" t="n">
        <f aca="false">MIN($F$14,AX187+AY187)</f>
        <v>0</v>
      </c>
      <c r="BA187" s="55" t="n">
        <f aca="false">MAX(0,MIN(AX187+AY187-AZ187,$D187-(H187+M187+R187+W187+AB187+AG187+AL187+AQ187+AV187)))</f>
        <v>0</v>
      </c>
      <c r="BB187" s="55" t="n">
        <f aca="false">AZ187+BA187</f>
        <v>0</v>
      </c>
      <c r="BC187" s="55" t="n">
        <f aca="false">I187+N187+S187+X187+AC187+AH187+AM187+AR187+AW187+BB187</f>
        <v>0</v>
      </c>
      <c r="BD187" s="55" t="n">
        <f aca="false">ROUND((E187+F187-I187)+(J187+K187-N187)+(O187+P187-S187)+(T187+U187-X187)+(Y187+Z187-AC187)+(AD187+AE187-AH187)+(AI187+AJ187-AM187)+(AN187+AO187-AR187)+(AS187+AT187-AW187)+(AX187+AY187-BB187),2)</f>
        <v>0</v>
      </c>
      <c r="BE187" s="25" t="str">
        <f aca="false">IF(H187&gt;0.005,$C$5,IF(M187&gt;0.005,$C$6,IF(R187&gt;0.005,$C$7,IF(W187&gt;0.005,$C$8,IF(AB187&gt;0.005,$C$9,IF(AG187&gt;0.005,$C$10,IF(AL187&gt;0.005,$C$11,IF(AQ187&gt;0.005,$C$12,IF(AV187&gt;0.005,$C$13,IF(BA187&gt;0.005,$C$14,""))))))))))</f>
        <v/>
      </c>
    </row>
    <row r="188" customFormat="false" ht="15" hidden="false" customHeight="false" outlineLevel="0" collapsed="false">
      <c r="A188" s="24" t="n">
        <v>165</v>
      </c>
      <c r="B188" s="54" t="n">
        <f aca="false">EDATE($C$17,A188-1)</f>
        <v>51318</v>
      </c>
      <c r="C188" s="55" t="n">
        <f aca="false">G188+L188+Q188+V188+AA188+AF188+AK188+AP188+AU188+AZ188</f>
        <v>0</v>
      </c>
      <c r="D188" s="55" t="n">
        <f aca="false">MAX(0,$C$16-C188)</f>
        <v>5822</v>
      </c>
      <c r="E188" s="55" t="n">
        <f aca="false">ROUND(MAX(0,E187+F187-I187),2)</f>
        <v>0</v>
      </c>
      <c r="F188" s="55" t="n">
        <f aca="false">ROUND(E188*$E$5/12,2)</f>
        <v>0</v>
      </c>
      <c r="G188" s="55" t="n">
        <f aca="false">MIN($F$5,E188+F188)</f>
        <v>0</v>
      </c>
      <c r="H188" s="55" t="n">
        <f aca="false">MAX(0,MIN(E188+F188-G188,$D188))</f>
        <v>0</v>
      </c>
      <c r="I188" s="55" t="n">
        <f aca="false">G188+H188</f>
        <v>0</v>
      </c>
      <c r="J188" s="55" t="n">
        <f aca="false">ROUND(MAX(0,J187+K187-N187),2)</f>
        <v>0</v>
      </c>
      <c r="K188" s="55" t="n">
        <f aca="false">ROUND(J188*$E$6/12,2)</f>
        <v>0</v>
      </c>
      <c r="L188" s="55" t="n">
        <f aca="false">MIN($F$6,J188+K188)</f>
        <v>0</v>
      </c>
      <c r="M188" s="55" t="n">
        <f aca="false">MAX(0,MIN(J188+K188-L188,$D188-(H188)))</f>
        <v>0</v>
      </c>
      <c r="N188" s="55" t="n">
        <f aca="false">L188+M188</f>
        <v>0</v>
      </c>
      <c r="O188" s="55" t="n">
        <f aca="false">ROUND(MAX(0,O187+P187-S187),2)</f>
        <v>0</v>
      </c>
      <c r="P188" s="55" t="n">
        <f aca="false">ROUND(O188*$E$7/12,2)</f>
        <v>0</v>
      </c>
      <c r="Q188" s="55" t="n">
        <f aca="false">MIN($F$7,O188+P188)</f>
        <v>0</v>
      </c>
      <c r="R188" s="55" t="n">
        <f aca="false">MAX(0,MIN(O188+P188-Q188,$D188-(H188+M188)))</f>
        <v>0</v>
      </c>
      <c r="S188" s="55" t="n">
        <f aca="false">Q188+R188</f>
        <v>0</v>
      </c>
      <c r="T188" s="55" t="n">
        <f aca="false">ROUND(MAX(0,T187+U187-X187),2)</f>
        <v>0</v>
      </c>
      <c r="U188" s="55" t="n">
        <f aca="false">ROUND(T188*$E$8/12,2)</f>
        <v>0</v>
      </c>
      <c r="V188" s="55" t="n">
        <f aca="false">MIN($F$8,T188+U188)</f>
        <v>0</v>
      </c>
      <c r="W188" s="55" t="n">
        <f aca="false">MAX(0,MIN(T188+U188-V188,$D188-(H188+M188+R188)))</f>
        <v>0</v>
      </c>
      <c r="X188" s="55" t="n">
        <f aca="false">V188+W188</f>
        <v>0</v>
      </c>
      <c r="Y188" s="55" t="n">
        <f aca="false">ROUND(MAX(0,Y187+Z187-AC187),2)</f>
        <v>0</v>
      </c>
      <c r="Z188" s="55" t="n">
        <f aca="false">ROUND(Y188*$E$9/12,2)</f>
        <v>0</v>
      </c>
      <c r="AA188" s="55" t="n">
        <f aca="false">MIN($F$9,Y188+Z188)</f>
        <v>0</v>
      </c>
      <c r="AB188" s="55" t="n">
        <f aca="false">MAX(0,MIN(Y188+Z188-AA188,$D188-(H188+M188+R188+W188)))</f>
        <v>0</v>
      </c>
      <c r="AC188" s="55" t="n">
        <f aca="false">AA188+AB188</f>
        <v>0</v>
      </c>
      <c r="AD188" s="55" t="n">
        <f aca="false">ROUND(MAX(0,AD187+AE187-AH187),2)</f>
        <v>0</v>
      </c>
      <c r="AE188" s="55" t="n">
        <f aca="false">ROUND(AD188*$E$10/12,2)</f>
        <v>0</v>
      </c>
      <c r="AF188" s="55" t="n">
        <f aca="false">MIN($F$10,AD188+AE188)</f>
        <v>0</v>
      </c>
      <c r="AG188" s="55" t="n">
        <f aca="false">MAX(0,MIN(AD188+AE188-AF188,$D188-(H188+M188+R188+W188+AB188)))</f>
        <v>0</v>
      </c>
      <c r="AH188" s="55" t="n">
        <f aca="false">AF188+AG188</f>
        <v>0</v>
      </c>
      <c r="AI188" s="55" t="n">
        <f aca="false">ROUND(MAX(0,AI187+AJ187-AM187),2)</f>
        <v>0</v>
      </c>
      <c r="AJ188" s="55" t="n">
        <f aca="false">ROUND(AI188*$E$11/12,2)</f>
        <v>0</v>
      </c>
      <c r="AK188" s="55" t="n">
        <f aca="false">MIN($F$11,AI188+AJ188)</f>
        <v>0</v>
      </c>
      <c r="AL188" s="55" t="n">
        <f aca="false">MAX(0,MIN(AI188+AJ188-AK188,$D188-(H188+M188+R188+W188+AB188+AG188)))</f>
        <v>0</v>
      </c>
      <c r="AM188" s="55" t="n">
        <f aca="false">AK188+AL188</f>
        <v>0</v>
      </c>
      <c r="AN188" s="55" t="n">
        <f aca="false">ROUND(MAX(0,AN187+AO187-AR187),2)</f>
        <v>0</v>
      </c>
      <c r="AO188" s="55" t="n">
        <f aca="false">ROUND(AN188*$E$12/12,2)</f>
        <v>0</v>
      </c>
      <c r="AP188" s="55" t="n">
        <f aca="false">MIN($F$12,AN188+AO188)</f>
        <v>0</v>
      </c>
      <c r="AQ188" s="55" t="n">
        <f aca="false">MAX(0,MIN(AN188+AO188-AP188,$D188-(H188+M188+R188+W188+AB188+AG188+AL188)))</f>
        <v>0</v>
      </c>
      <c r="AR188" s="55" t="n">
        <f aca="false">AP188+AQ188</f>
        <v>0</v>
      </c>
      <c r="AS188" s="55" t="n">
        <f aca="false">ROUND(MAX(0,AS187+AT187-AW187),2)</f>
        <v>0</v>
      </c>
      <c r="AT188" s="55" t="n">
        <f aca="false">ROUND(AS188*$E$13/12,2)</f>
        <v>0</v>
      </c>
      <c r="AU188" s="55" t="n">
        <f aca="false">MIN($F$13,AS188+AT188)</f>
        <v>0</v>
      </c>
      <c r="AV188" s="55" t="n">
        <f aca="false">MAX(0,MIN(AS188+AT188-AU188,$D188-(H188+M188+R188+W188+AB188+AG188+AL188+AQ188)))</f>
        <v>0</v>
      </c>
      <c r="AW188" s="55" t="n">
        <f aca="false">AU188+AV188</f>
        <v>0</v>
      </c>
      <c r="AX188" s="55" t="n">
        <f aca="false">ROUND(MAX(0,AX187+AY187-BB187),2)</f>
        <v>0</v>
      </c>
      <c r="AY188" s="55" t="n">
        <f aca="false">ROUND(AX188*$E$14/12,2)</f>
        <v>0</v>
      </c>
      <c r="AZ188" s="55" t="n">
        <f aca="false">MIN($F$14,AX188+AY188)</f>
        <v>0</v>
      </c>
      <c r="BA188" s="55" t="n">
        <f aca="false">MAX(0,MIN(AX188+AY188-AZ188,$D188-(H188+M188+R188+W188+AB188+AG188+AL188+AQ188+AV188)))</f>
        <v>0</v>
      </c>
      <c r="BB188" s="55" t="n">
        <f aca="false">AZ188+BA188</f>
        <v>0</v>
      </c>
      <c r="BC188" s="55" t="n">
        <f aca="false">I188+N188+S188+X188+AC188+AH188+AM188+AR188+AW188+BB188</f>
        <v>0</v>
      </c>
      <c r="BD188" s="55" t="n">
        <f aca="false">ROUND((E188+F188-I188)+(J188+K188-N188)+(O188+P188-S188)+(T188+U188-X188)+(Y188+Z188-AC188)+(AD188+AE188-AH188)+(AI188+AJ188-AM188)+(AN188+AO188-AR188)+(AS188+AT188-AW188)+(AX188+AY188-BB188),2)</f>
        <v>0</v>
      </c>
      <c r="BE188" s="25" t="str">
        <f aca="false">IF(H188&gt;0.005,$C$5,IF(M188&gt;0.005,$C$6,IF(R188&gt;0.005,$C$7,IF(W188&gt;0.005,$C$8,IF(AB188&gt;0.005,$C$9,IF(AG188&gt;0.005,$C$10,IF(AL188&gt;0.005,$C$11,IF(AQ188&gt;0.005,$C$12,IF(AV188&gt;0.005,$C$13,IF(BA188&gt;0.005,$C$14,""))))))))))</f>
        <v/>
      </c>
    </row>
    <row r="189" customFormat="false" ht="15" hidden="false" customHeight="false" outlineLevel="0" collapsed="false">
      <c r="A189" s="24" t="n">
        <v>166</v>
      </c>
      <c r="B189" s="54" t="n">
        <f aca="false">EDATE($C$17,A189-1)</f>
        <v>51349</v>
      </c>
      <c r="C189" s="55" t="n">
        <f aca="false">G189+L189+Q189+V189+AA189+AF189+AK189+AP189+AU189+AZ189</f>
        <v>0</v>
      </c>
      <c r="D189" s="55" t="n">
        <f aca="false">MAX(0,$C$16-C189)</f>
        <v>5822</v>
      </c>
      <c r="E189" s="55" t="n">
        <f aca="false">ROUND(MAX(0,E188+F188-I188),2)</f>
        <v>0</v>
      </c>
      <c r="F189" s="55" t="n">
        <f aca="false">ROUND(E189*$E$5/12,2)</f>
        <v>0</v>
      </c>
      <c r="G189" s="55" t="n">
        <f aca="false">MIN($F$5,E189+F189)</f>
        <v>0</v>
      </c>
      <c r="H189" s="55" t="n">
        <f aca="false">MAX(0,MIN(E189+F189-G189,$D189))</f>
        <v>0</v>
      </c>
      <c r="I189" s="55" t="n">
        <f aca="false">G189+H189</f>
        <v>0</v>
      </c>
      <c r="J189" s="55" t="n">
        <f aca="false">ROUND(MAX(0,J188+K188-N188),2)</f>
        <v>0</v>
      </c>
      <c r="K189" s="55" t="n">
        <f aca="false">ROUND(J189*$E$6/12,2)</f>
        <v>0</v>
      </c>
      <c r="L189" s="55" t="n">
        <f aca="false">MIN($F$6,J189+K189)</f>
        <v>0</v>
      </c>
      <c r="M189" s="55" t="n">
        <f aca="false">MAX(0,MIN(J189+K189-L189,$D189-(H189)))</f>
        <v>0</v>
      </c>
      <c r="N189" s="55" t="n">
        <f aca="false">L189+M189</f>
        <v>0</v>
      </c>
      <c r="O189" s="55" t="n">
        <f aca="false">ROUND(MAX(0,O188+P188-S188),2)</f>
        <v>0</v>
      </c>
      <c r="P189" s="55" t="n">
        <f aca="false">ROUND(O189*$E$7/12,2)</f>
        <v>0</v>
      </c>
      <c r="Q189" s="55" t="n">
        <f aca="false">MIN($F$7,O189+P189)</f>
        <v>0</v>
      </c>
      <c r="R189" s="55" t="n">
        <f aca="false">MAX(0,MIN(O189+P189-Q189,$D189-(H189+M189)))</f>
        <v>0</v>
      </c>
      <c r="S189" s="55" t="n">
        <f aca="false">Q189+R189</f>
        <v>0</v>
      </c>
      <c r="T189" s="55" t="n">
        <f aca="false">ROUND(MAX(0,T188+U188-X188),2)</f>
        <v>0</v>
      </c>
      <c r="U189" s="55" t="n">
        <f aca="false">ROUND(T189*$E$8/12,2)</f>
        <v>0</v>
      </c>
      <c r="V189" s="55" t="n">
        <f aca="false">MIN($F$8,T189+U189)</f>
        <v>0</v>
      </c>
      <c r="W189" s="55" t="n">
        <f aca="false">MAX(0,MIN(T189+U189-V189,$D189-(H189+M189+R189)))</f>
        <v>0</v>
      </c>
      <c r="X189" s="55" t="n">
        <f aca="false">V189+W189</f>
        <v>0</v>
      </c>
      <c r="Y189" s="55" t="n">
        <f aca="false">ROUND(MAX(0,Y188+Z188-AC188),2)</f>
        <v>0</v>
      </c>
      <c r="Z189" s="55" t="n">
        <f aca="false">ROUND(Y189*$E$9/12,2)</f>
        <v>0</v>
      </c>
      <c r="AA189" s="55" t="n">
        <f aca="false">MIN($F$9,Y189+Z189)</f>
        <v>0</v>
      </c>
      <c r="AB189" s="55" t="n">
        <f aca="false">MAX(0,MIN(Y189+Z189-AA189,$D189-(H189+M189+R189+W189)))</f>
        <v>0</v>
      </c>
      <c r="AC189" s="55" t="n">
        <f aca="false">AA189+AB189</f>
        <v>0</v>
      </c>
      <c r="AD189" s="55" t="n">
        <f aca="false">ROUND(MAX(0,AD188+AE188-AH188),2)</f>
        <v>0</v>
      </c>
      <c r="AE189" s="55" t="n">
        <f aca="false">ROUND(AD189*$E$10/12,2)</f>
        <v>0</v>
      </c>
      <c r="AF189" s="55" t="n">
        <f aca="false">MIN($F$10,AD189+AE189)</f>
        <v>0</v>
      </c>
      <c r="AG189" s="55" t="n">
        <f aca="false">MAX(0,MIN(AD189+AE189-AF189,$D189-(H189+M189+R189+W189+AB189)))</f>
        <v>0</v>
      </c>
      <c r="AH189" s="55" t="n">
        <f aca="false">AF189+AG189</f>
        <v>0</v>
      </c>
      <c r="AI189" s="55" t="n">
        <f aca="false">ROUND(MAX(0,AI188+AJ188-AM188),2)</f>
        <v>0</v>
      </c>
      <c r="AJ189" s="55" t="n">
        <f aca="false">ROUND(AI189*$E$11/12,2)</f>
        <v>0</v>
      </c>
      <c r="AK189" s="55" t="n">
        <f aca="false">MIN($F$11,AI189+AJ189)</f>
        <v>0</v>
      </c>
      <c r="AL189" s="55" t="n">
        <f aca="false">MAX(0,MIN(AI189+AJ189-AK189,$D189-(H189+M189+R189+W189+AB189+AG189)))</f>
        <v>0</v>
      </c>
      <c r="AM189" s="55" t="n">
        <f aca="false">AK189+AL189</f>
        <v>0</v>
      </c>
      <c r="AN189" s="55" t="n">
        <f aca="false">ROUND(MAX(0,AN188+AO188-AR188),2)</f>
        <v>0</v>
      </c>
      <c r="AO189" s="55" t="n">
        <f aca="false">ROUND(AN189*$E$12/12,2)</f>
        <v>0</v>
      </c>
      <c r="AP189" s="55" t="n">
        <f aca="false">MIN($F$12,AN189+AO189)</f>
        <v>0</v>
      </c>
      <c r="AQ189" s="55" t="n">
        <f aca="false">MAX(0,MIN(AN189+AO189-AP189,$D189-(H189+M189+R189+W189+AB189+AG189+AL189)))</f>
        <v>0</v>
      </c>
      <c r="AR189" s="55" t="n">
        <f aca="false">AP189+AQ189</f>
        <v>0</v>
      </c>
      <c r="AS189" s="55" t="n">
        <f aca="false">ROUND(MAX(0,AS188+AT188-AW188),2)</f>
        <v>0</v>
      </c>
      <c r="AT189" s="55" t="n">
        <f aca="false">ROUND(AS189*$E$13/12,2)</f>
        <v>0</v>
      </c>
      <c r="AU189" s="55" t="n">
        <f aca="false">MIN($F$13,AS189+AT189)</f>
        <v>0</v>
      </c>
      <c r="AV189" s="55" t="n">
        <f aca="false">MAX(0,MIN(AS189+AT189-AU189,$D189-(H189+M189+R189+W189+AB189+AG189+AL189+AQ189)))</f>
        <v>0</v>
      </c>
      <c r="AW189" s="55" t="n">
        <f aca="false">AU189+AV189</f>
        <v>0</v>
      </c>
      <c r="AX189" s="55" t="n">
        <f aca="false">ROUND(MAX(0,AX188+AY188-BB188),2)</f>
        <v>0</v>
      </c>
      <c r="AY189" s="55" t="n">
        <f aca="false">ROUND(AX189*$E$14/12,2)</f>
        <v>0</v>
      </c>
      <c r="AZ189" s="55" t="n">
        <f aca="false">MIN($F$14,AX189+AY189)</f>
        <v>0</v>
      </c>
      <c r="BA189" s="55" t="n">
        <f aca="false">MAX(0,MIN(AX189+AY189-AZ189,$D189-(H189+M189+R189+W189+AB189+AG189+AL189+AQ189+AV189)))</f>
        <v>0</v>
      </c>
      <c r="BB189" s="55" t="n">
        <f aca="false">AZ189+BA189</f>
        <v>0</v>
      </c>
      <c r="BC189" s="55" t="n">
        <f aca="false">I189+N189+S189+X189+AC189+AH189+AM189+AR189+AW189+BB189</f>
        <v>0</v>
      </c>
      <c r="BD189" s="55" t="n">
        <f aca="false">ROUND((E189+F189-I189)+(J189+K189-N189)+(O189+P189-S189)+(T189+U189-X189)+(Y189+Z189-AC189)+(AD189+AE189-AH189)+(AI189+AJ189-AM189)+(AN189+AO189-AR189)+(AS189+AT189-AW189)+(AX189+AY189-BB189),2)</f>
        <v>0</v>
      </c>
      <c r="BE189" s="25" t="str">
        <f aca="false">IF(H189&gt;0.005,$C$5,IF(M189&gt;0.005,$C$6,IF(R189&gt;0.005,$C$7,IF(W189&gt;0.005,$C$8,IF(AB189&gt;0.005,$C$9,IF(AG189&gt;0.005,$C$10,IF(AL189&gt;0.005,$C$11,IF(AQ189&gt;0.005,$C$12,IF(AV189&gt;0.005,$C$13,IF(BA189&gt;0.005,$C$14,""))))))))))</f>
        <v/>
      </c>
    </row>
    <row r="190" customFormat="false" ht="15" hidden="false" customHeight="false" outlineLevel="0" collapsed="false">
      <c r="A190" s="24" t="n">
        <v>167</v>
      </c>
      <c r="B190" s="54" t="n">
        <f aca="false">EDATE($C$17,A190-1)</f>
        <v>51380</v>
      </c>
      <c r="C190" s="55" t="n">
        <f aca="false">G190+L190+Q190+V190+AA190+AF190+AK190+AP190+AU190+AZ190</f>
        <v>0</v>
      </c>
      <c r="D190" s="55" t="n">
        <f aca="false">MAX(0,$C$16-C190)</f>
        <v>5822</v>
      </c>
      <c r="E190" s="55" t="n">
        <f aca="false">ROUND(MAX(0,E189+F189-I189),2)</f>
        <v>0</v>
      </c>
      <c r="F190" s="55" t="n">
        <f aca="false">ROUND(E190*$E$5/12,2)</f>
        <v>0</v>
      </c>
      <c r="G190" s="55" t="n">
        <f aca="false">MIN($F$5,E190+F190)</f>
        <v>0</v>
      </c>
      <c r="H190" s="55" t="n">
        <f aca="false">MAX(0,MIN(E190+F190-G190,$D190))</f>
        <v>0</v>
      </c>
      <c r="I190" s="55" t="n">
        <f aca="false">G190+H190</f>
        <v>0</v>
      </c>
      <c r="J190" s="55" t="n">
        <f aca="false">ROUND(MAX(0,J189+K189-N189),2)</f>
        <v>0</v>
      </c>
      <c r="K190" s="55" t="n">
        <f aca="false">ROUND(J190*$E$6/12,2)</f>
        <v>0</v>
      </c>
      <c r="L190" s="55" t="n">
        <f aca="false">MIN($F$6,J190+K190)</f>
        <v>0</v>
      </c>
      <c r="M190" s="55" t="n">
        <f aca="false">MAX(0,MIN(J190+K190-L190,$D190-(H190)))</f>
        <v>0</v>
      </c>
      <c r="N190" s="55" t="n">
        <f aca="false">L190+M190</f>
        <v>0</v>
      </c>
      <c r="O190" s="55" t="n">
        <f aca="false">ROUND(MAX(0,O189+P189-S189),2)</f>
        <v>0</v>
      </c>
      <c r="P190" s="55" t="n">
        <f aca="false">ROUND(O190*$E$7/12,2)</f>
        <v>0</v>
      </c>
      <c r="Q190" s="55" t="n">
        <f aca="false">MIN($F$7,O190+P190)</f>
        <v>0</v>
      </c>
      <c r="R190" s="55" t="n">
        <f aca="false">MAX(0,MIN(O190+P190-Q190,$D190-(H190+M190)))</f>
        <v>0</v>
      </c>
      <c r="S190" s="55" t="n">
        <f aca="false">Q190+R190</f>
        <v>0</v>
      </c>
      <c r="T190" s="55" t="n">
        <f aca="false">ROUND(MAX(0,T189+U189-X189),2)</f>
        <v>0</v>
      </c>
      <c r="U190" s="55" t="n">
        <f aca="false">ROUND(T190*$E$8/12,2)</f>
        <v>0</v>
      </c>
      <c r="V190" s="55" t="n">
        <f aca="false">MIN($F$8,T190+U190)</f>
        <v>0</v>
      </c>
      <c r="W190" s="55" t="n">
        <f aca="false">MAX(0,MIN(T190+U190-V190,$D190-(H190+M190+R190)))</f>
        <v>0</v>
      </c>
      <c r="X190" s="55" t="n">
        <f aca="false">V190+W190</f>
        <v>0</v>
      </c>
      <c r="Y190" s="55" t="n">
        <f aca="false">ROUND(MAX(0,Y189+Z189-AC189),2)</f>
        <v>0</v>
      </c>
      <c r="Z190" s="55" t="n">
        <f aca="false">ROUND(Y190*$E$9/12,2)</f>
        <v>0</v>
      </c>
      <c r="AA190" s="55" t="n">
        <f aca="false">MIN($F$9,Y190+Z190)</f>
        <v>0</v>
      </c>
      <c r="AB190" s="55" t="n">
        <f aca="false">MAX(0,MIN(Y190+Z190-AA190,$D190-(H190+M190+R190+W190)))</f>
        <v>0</v>
      </c>
      <c r="AC190" s="55" t="n">
        <f aca="false">AA190+AB190</f>
        <v>0</v>
      </c>
      <c r="AD190" s="55" t="n">
        <f aca="false">ROUND(MAX(0,AD189+AE189-AH189),2)</f>
        <v>0</v>
      </c>
      <c r="AE190" s="55" t="n">
        <f aca="false">ROUND(AD190*$E$10/12,2)</f>
        <v>0</v>
      </c>
      <c r="AF190" s="55" t="n">
        <f aca="false">MIN($F$10,AD190+AE190)</f>
        <v>0</v>
      </c>
      <c r="AG190" s="55" t="n">
        <f aca="false">MAX(0,MIN(AD190+AE190-AF190,$D190-(H190+M190+R190+W190+AB190)))</f>
        <v>0</v>
      </c>
      <c r="AH190" s="55" t="n">
        <f aca="false">AF190+AG190</f>
        <v>0</v>
      </c>
      <c r="AI190" s="55" t="n">
        <f aca="false">ROUND(MAX(0,AI189+AJ189-AM189),2)</f>
        <v>0</v>
      </c>
      <c r="AJ190" s="55" t="n">
        <f aca="false">ROUND(AI190*$E$11/12,2)</f>
        <v>0</v>
      </c>
      <c r="AK190" s="55" t="n">
        <f aca="false">MIN($F$11,AI190+AJ190)</f>
        <v>0</v>
      </c>
      <c r="AL190" s="55" t="n">
        <f aca="false">MAX(0,MIN(AI190+AJ190-AK190,$D190-(H190+M190+R190+W190+AB190+AG190)))</f>
        <v>0</v>
      </c>
      <c r="AM190" s="55" t="n">
        <f aca="false">AK190+AL190</f>
        <v>0</v>
      </c>
      <c r="AN190" s="55" t="n">
        <f aca="false">ROUND(MAX(0,AN189+AO189-AR189),2)</f>
        <v>0</v>
      </c>
      <c r="AO190" s="55" t="n">
        <f aca="false">ROUND(AN190*$E$12/12,2)</f>
        <v>0</v>
      </c>
      <c r="AP190" s="55" t="n">
        <f aca="false">MIN($F$12,AN190+AO190)</f>
        <v>0</v>
      </c>
      <c r="AQ190" s="55" t="n">
        <f aca="false">MAX(0,MIN(AN190+AO190-AP190,$D190-(H190+M190+R190+W190+AB190+AG190+AL190)))</f>
        <v>0</v>
      </c>
      <c r="AR190" s="55" t="n">
        <f aca="false">AP190+AQ190</f>
        <v>0</v>
      </c>
      <c r="AS190" s="55" t="n">
        <f aca="false">ROUND(MAX(0,AS189+AT189-AW189),2)</f>
        <v>0</v>
      </c>
      <c r="AT190" s="55" t="n">
        <f aca="false">ROUND(AS190*$E$13/12,2)</f>
        <v>0</v>
      </c>
      <c r="AU190" s="55" t="n">
        <f aca="false">MIN($F$13,AS190+AT190)</f>
        <v>0</v>
      </c>
      <c r="AV190" s="55" t="n">
        <f aca="false">MAX(0,MIN(AS190+AT190-AU190,$D190-(H190+M190+R190+W190+AB190+AG190+AL190+AQ190)))</f>
        <v>0</v>
      </c>
      <c r="AW190" s="55" t="n">
        <f aca="false">AU190+AV190</f>
        <v>0</v>
      </c>
      <c r="AX190" s="55" t="n">
        <f aca="false">ROUND(MAX(0,AX189+AY189-BB189),2)</f>
        <v>0</v>
      </c>
      <c r="AY190" s="55" t="n">
        <f aca="false">ROUND(AX190*$E$14/12,2)</f>
        <v>0</v>
      </c>
      <c r="AZ190" s="55" t="n">
        <f aca="false">MIN($F$14,AX190+AY190)</f>
        <v>0</v>
      </c>
      <c r="BA190" s="55" t="n">
        <f aca="false">MAX(0,MIN(AX190+AY190-AZ190,$D190-(H190+M190+R190+W190+AB190+AG190+AL190+AQ190+AV190)))</f>
        <v>0</v>
      </c>
      <c r="BB190" s="55" t="n">
        <f aca="false">AZ190+BA190</f>
        <v>0</v>
      </c>
      <c r="BC190" s="55" t="n">
        <f aca="false">I190+N190+S190+X190+AC190+AH190+AM190+AR190+AW190+BB190</f>
        <v>0</v>
      </c>
      <c r="BD190" s="55" t="n">
        <f aca="false">ROUND((E190+F190-I190)+(J190+K190-N190)+(O190+P190-S190)+(T190+U190-X190)+(Y190+Z190-AC190)+(AD190+AE190-AH190)+(AI190+AJ190-AM190)+(AN190+AO190-AR190)+(AS190+AT190-AW190)+(AX190+AY190-BB190),2)</f>
        <v>0</v>
      </c>
      <c r="BE190" s="25" t="str">
        <f aca="false">IF(H190&gt;0.005,$C$5,IF(M190&gt;0.005,$C$6,IF(R190&gt;0.005,$C$7,IF(W190&gt;0.005,$C$8,IF(AB190&gt;0.005,$C$9,IF(AG190&gt;0.005,$C$10,IF(AL190&gt;0.005,$C$11,IF(AQ190&gt;0.005,$C$12,IF(AV190&gt;0.005,$C$13,IF(BA190&gt;0.005,$C$14,""))))))))))</f>
        <v/>
      </c>
    </row>
    <row r="191" customFormat="false" ht="15" hidden="false" customHeight="false" outlineLevel="0" collapsed="false">
      <c r="A191" s="24" t="n">
        <v>168</v>
      </c>
      <c r="B191" s="54" t="n">
        <f aca="false">EDATE($C$17,A191-1)</f>
        <v>51410</v>
      </c>
      <c r="C191" s="55" t="n">
        <f aca="false">G191+L191+Q191+V191+AA191+AF191+AK191+AP191+AU191+AZ191</f>
        <v>0</v>
      </c>
      <c r="D191" s="55" t="n">
        <f aca="false">MAX(0,$C$16-C191)</f>
        <v>5822</v>
      </c>
      <c r="E191" s="55" t="n">
        <f aca="false">ROUND(MAX(0,E190+F190-I190),2)</f>
        <v>0</v>
      </c>
      <c r="F191" s="55" t="n">
        <f aca="false">ROUND(E191*$E$5/12,2)</f>
        <v>0</v>
      </c>
      <c r="G191" s="55" t="n">
        <f aca="false">MIN($F$5,E191+F191)</f>
        <v>0</v>
      </c>
      <c r="H191" s="55" t="n">
        <f aca="false">MAX(0,MIN(E191+F191-G191,$D191))</f>
        <v>0</v>
      </c>
      <c r="I191" s="55" t="n">
        <f aca="false">G191+H191</f>
        <v>0</v>
      </c>
      <c r="J191" s="55" t="n">
        <f aca="false">ROUND(MAX(0,J190+K190-N190),2)</f>
        <v>0</v>
      </c>
      <c r="K191" s="55" t="n">
        <f aca="false">ROUND(J191*$E$6/12,2)</f>
        <v>0</v>
      </c>
      <c r="L191" s="55" t="n">
        <f aca="false">MIN($F$6,J191+K191)</f>
        <v>0</v>
      </c>
      <c r="M191" s="55" t="n">
        <f aca="false">MAX(0,MIN(J191+K191-L191,$D191-(H191)))</f>
        <v>0</v>
      </c>
      <c r="N191" s="55" t="n">
        <f aca="false">L191+M191</f>
        <v>0</v>
      </c>
      <c r="O191" s="55" t="n">
        <f aca="false">ROUND(MAX(0,O190+P190-S190),2)</f>
        <v>0</v>
      </c>
      <c r="P191" s="55" t="n">
        <f aca="false">ROUND(O191*$E$7/12,2)</f>
        <v>0</v>
      </c>
      <c r="Q191" s="55" t="n">
        <f aca="false">MIN($F$7,O191+P191)</f>
        <v>0</v>
      </c>
      <c r="R191" s="55" t="n">
        <f aca="false">MAX(0,MIN(O191+P191-Q191,$D191-(H191+M191)))</f>
        <v>0</v>
      </c>
      <c r="S191" s="55" t="n">
        <f aca="false">Q191+R191</f>
        <v>0</v>
      </c>
      <c r="T191" s="55" t="n">
        <f aca="false">ROUND(MAX(0,T190+U190-X190),2)</f>
        <v>0</v>
      </c>
      <c r="U191" s="55" t="n">
        <f aca="false">ROUND(T191*$E$8/12,2)</f>
        <v>0</v>
      </c>
      <c r="V191" s="55" t="n">
        <f aca="false">MIN($F$8,T191+U191)</f>
        <v>0</v>
      </c>
      <c r="W191" s="55" t="n">
        <f aca="false">MAX(0,MIN(T191+U191-V191,$D191-(H191+M191+R191)))</f>
        <v>0</v>
      </c>
      <c r="X191" s="55" t="n">
        <f aca="false">V191+W191</f>
        <v>0</v>
      </c>
      <c r="Y191" s="55" t="n">
        <f aca="false">ROUND(MAX(0,Y190+Z190-AC190),2)</f>
        <v>0</v>
      </c>
      <c r="Z191" s="55" t="n">
        <f aca="false">ROUND(Y191*$E$9/12,2)</f>
        <v>0</v>
      </c>
      <c r="AA191" s="55" t="n">
        <f aca="false">MIN($F$9,Y191+Z191)</f>
        <v>0</v>
      </c>
      <c r="AB191" s="55" t="n">
        <f aca="false">MAX(0,MIN(Y191+Z191-AA191,$D191-(H191+M191+R191+W191)))</f>
        <v>0</v>
      </c>
      <c r="AC191" s="55" t="n">
        <f aca="false">AA191+AB191</f>
        <v>0</v>
      </c>
      <c r="AD191" s="55" t="n">
        <f aca="false">ROUND(MAX(0,AD190+AE190-AH190),2)</f>
        <v>0</v>
      </c>
      <c r="AE191" s="55" t="n">
        <f aca="false">ROUND(AD191*$E$10/12,2)</f>
        <v>0</v>
      </c>
      <c r="AF191" s="55" t="n">
        <f aca="false">MIN($F$10,AD191+AE191)</f>
        <v>0</v>
      </c>
      <c r="AG191" s="55" t="n">
        <f aca="false">MAX(0,MIN(AD191+AE191-AF191,$D191-(H191+M191+R191+W191+AB191)))</f>
        <v>0</v>
      </c>
      <c r="AH191" s="55" t="n">
        <f aca="false">AF191+AG191</f>
        <v>0</v>
      </c>
      <c r="AI191" s="55" t="n">
        <f aca="false">ROUND(MAX(0,AI190+AJ190-AM190),2)</f>
        <v>0</v>
      </c>
      <c r="AJ191" s="55" t="n">
        <f aca="false">ROUND(AI191*$E$11/12,2)</f>
        <v>0</v>
      </c>
      <c r="AK191" s="55" t="n">
        <f aca="false">MIN($F$11,AI191+AJ191)</f>
        <v>0</v>
      </c>
      <c r="AL191" s="55" t="n">
        <f aca="false">MAX(0,MIN(AI191+AJ191-AK191,$D191-(H191+M191+R191+W191+AB191+AG191)))</f>
        <v>0</v>
      </c>
      <c r="AM191" s="55" t="n">
        <f aca="false">AK191+AL191</f>
        <v>0</v>
      </c>
      <c r="AN191" s="55" t="n">
        <f aca="false">ROUND(MAX(0,AN190+AO190-AR190),2)</f>
        <v>0</v>
      </c>
      <c r="AO191" s="55" t="n">
        <f aca="false">ROUND(AN191*$E$12/12,2)</f>
        <v>0</v>
      </c>
      <c r="AP191" s="55" t="n">
        <f aca="false">MIN($F$12,AN191+AO191)</f>
        <v>0</v>
      </c>
      <c r="AQ191" s="55" t="n">
        <f aca="false">MAX(0,MIN(AN191+AO191-AP191,$D191-(H191+M191+R191+W191+AB191+AG191+AL191)))</f>
        <v>0</v>
      </c>
      <c r="AR191" s="55" t="n">
        <f aca="false">AP191+AQ191</f>
        <v>0</v>
      </c>
      <c r="AS191" s="55" t="n">
        <f aca="false">ROUND(MAX(0,AS190+AT190-AW190),2)</f>
        <v>0</v>
      </c>
      <c r="AT191" s="55" t="n">
        <f aca="false">ROUND(AS191*$E$13/12,2)</f>
        <v>0</v>
      </c>
      <c r="AU191" s="55" t="n">
        <f aca="false">MIN($F$13,AS191+AT191)</f>
        <v>0</v>
      </c>
      <c r="AV191" s="55" t="n">
        <f aca="false">MAX(0,MIN(AS191+AT191-AU191,$D191-(H191+M191+R191+W191+AB191+AG191+AL191+AQ191)))</f>
        <v>0</v>
      </c>
      <c r="AW191" s="55" t="n">
        <f aca="false">AU191+AV191</f>
        <v>0</v>
      </c>
      <c r="AX191" s="55" t="n">
        <f aca="false">ROUND(MAX(0,AX190+AY190-BB190),2)</f>
        <v>0</v>
      </c>
      <c r="AY191" s="55" t="n">
        <f aca="false">ROUND(AX191*$E$14/12,2)</f>
        <v>0</v>
      </c>
      <c r="AZ191" s="55" t="n">
        <f aca="false">MIN($F$14,AX191+AY191)</f>
        <v>0</v>
      </c>
      <c r="BA191" s="55" t="n">
        <f aca="false">MAX(0,MIN(AX191+AY191-AZ191,$D191-(H191+M191+R191+W191+AB191+AG191+AL191+AQ191+AV191)))</f>
        <v>0</v>
      </c>
      <c r="BB191" s="55" t="n">
        <f aca="false">AZ191+BA191</f>
        <v>0</v>
      </c>
      <c r="BC191" s="55" t="n">
        <f aca="false">I191+N191+S191+X191+AC191+AH191+AM191+AR191+AW191+BB191</f>
        <v>0</v>
      </c>
      <c r="BD191" s="55" t="n">
        <f aca="false">ROUND((E191+F191-I191)+(J191+K191-N191)+(O191+P191-S191)+(T191+U191-X191)+(Y191+Z191-AC191)+(AD191+AE191-AH191)+(AI191+AJ191-AM191)+(AN191+AO191-AR191)+(AS191+AT191-AW191)+(AX191+AY191-BB191),2)</f>
        <v>0</v>
      </c>
      <c r="BE191" s="25" t="str">
        <f aca="false">IF(H191&gt;0.005,$C$5,IF(M191&gt;0.005,$C$6,IF(R191&gt;0.005,$C$7,IF(W191&gt;0.005,$C$8,IF(AB191&gt;0.005,$C$9,IF(AG191&gt;0.005,$C$10,IF(AL191&gt;0.005,$C$11,IF(AQ191&gt;0.005,$C$12,IF(AV191&gt;0.005,$C$13,IF(BA191&gt;0.005,$C$14,""))))))))))</f>
        <v/>
      </c>
    </row>
    <row r="192" customFormat="false" ht="15" hidden="false" customHeight="false" outlineLevel="0" collapsed="false">
      <c r="A192" s="24" t="n">
        <v>169</v>
      </c>
      <c r="B192" s="54" t="n">
        <f aca="false">EDATE($C$17,A192-1)</f>
        <v>51441</v>
      </c>
      <c r="C192" s="55" t="n">
        <f aca="false">G192+L192+Q192+V192+AA192+AF192+AK192+AP192+AU192+AZ192</f>
        <v>0</v>
      </c>
      <c r="D192" s="55" t="n">
        <f aca="false">MAX(0,$C$16-C192)</f>
        <v>5822</v>
      </c>
      <c r="E192" s="55" t="n">
        <f aca="false">ROUND(MAX(0,E191+F191-I191),2)</f>
        <v>0</v>
      </c>
      <c r="F192" s="55" t="n">
        <f aca="false">ROUND(E192*$E$5/12,2)</f>
        <v>0</v>
      </c>
      <c r="G192" s="55" t="n">
        <f aca="false">MIN($F$5,E192+F192)</f>
        <v>0</v>
      </c>
      <c r="H192" s="55" t="n">
        <f aca="false">MAX(0,MIN(E192+F192-G192,$D192))</f>
        <v>0</v>
      </c>
      <c r="I192" s="55" t="n">
        <f aca="false">G192+H192</f>
        <v>0</v>
      </c>
      <c r="J192" s="55" t="n">
        <f aca="false">ROUND(MAX(0,J191+K191-N191),2)</f>
        <v>0</v>
      </c>
      <c r="K192" s="55" t="n">
        <f aca="false">ROUND(J192*$E$6/12,2)</f>
        <v>0</v>
      </c>
      <c r="L192" s="55" t="n">
        <f aca="false">MIN($F$6,J192+K192)</f>
        <v>0</v>
      </c>
      <c r="M192" s="55" t="n">
        <f aca="false">MAX(0,MIN(J192+K192-L192,$D192-(H192)))</f>
        <v>0</v>
      </c>
      <c r="N192" s="55" t="n">
        <f aca="false">L192+M192</f>
        <v>0</v>
      </c>
      <c r="O192" s="55" t="n">
        <f aca="false">ROUND(MAX(0,O191+P191-S191),2)</f>
        <v>0</v>
      </c>
      <c r="P192" s="55" t="n">
        <f aca="false">ROUND(O192*$E$7/12,2)</f>
        <v>0</v>
      </c>
      <c r="Q192" s="55" t="n">
        <f aca="false">MIN($F$7,O192+P192)</f>
        <v>0</v>
      </c>
      <c r="R192" s="55" t="n">
        <f aca="false">MAX(0,MIN(O192+P192-Q192,$D192-(H192+M192)))</f>
        <v>0</v>
      </c>
      <c r="S192" s="55" t="n">
        <f aca="false">Q192+R192</f>
        <v>0</v>
      </c>
      <c r="T192" s="55" t="n">
        <f aca="false">ROUND(MAX(0,T191+U191-X191),2)</f>
        <v>0</v>
      </c>
      <c r="U192" s="55" t="n">
        <f aca="false">ROUND(T192*$E$8/12,2)</f>
        <v>0</v>
      </c>
      <c r="V192" s="55" t="n">
        <f aca="false">MIN($F$8,T192+U192)</f>
        <v>0</v>
      </c>
      <c r="W192" s="55" t="n">
        <f aca="false">MAX(0,MIN(T192+U192-V192,$D192-(H192+M192+R192)))</f>
        <v>0</v>
      </c>
      <c r="X192" s="55" t="n">
        <f aca="false">V192+W192</f>
        <v>0</v>
      </c>
      <c r="Y192" s="55" t="n">
        <f aca="false">ROUND(MAX(0,Y191+Z191-AC191),2)</f>
        <v>0</v>
      </c>
      <c r="Z192" s="55" t="n">
        <f aca="false">ROUND(Y192*$E$9/12,2)</f>
        <v>0</v>
      </c>
      <c r="AA192" s="55" t="n">
        <f aca="false">MIN($F$9,Y192+Z192)</f>
        <v>0</v>
      </c>
      <c r="AB192" s="55" t="n">
        <f aca="false">MAX(0,MIN(Y192+Z192-AA192,$D192-(H192+M192+R192+W192)))</f>
        <v>0</v>
      </c>
      <c r="AC192" s="55" t="n">
        <f aca="false">AA192+AB192</f>
        <v>0</v>
      </c>
      <c r="AD192" s="55" t="n">
        <f aca="false">ROUND(MAX(0,AD191+AE191-AH191),2)</f>
        <v>0</v>
      </c>
      <c r="AE192" s="55" t="n">
        <f aca="false">ROUND(AD192*$E$10/12,2)</f>
        <v>0</v>
      </c>
      <c r="AF192" s="55" t="n">
        <f aca="false">MIN($F$10,AD192+AE192)</f>
        <v>0</v>
      </c>
      <c r="AG192" s="55" t="n">
        <f aca="false">MAX(0,MIN(AD192+AE192-AF192,$D192-(H192+M192+R192+W192+AB192)))</f>
        <v>0</v>
      </c>
      <c r="AH192" s="55" t="n">
        <f aca="false">AF192+AG192</f>
        <v>0</v>
      </c>
      <c r="AI192" s="55" t="n">
        <f aca="false">ROUND(MAX(0,AI191+AJ191-AM191),2)</f>
        <v>0</v>
      </c>
      <c r="AJ192" s="55" t="n">
        <f aca="false">ROUND(AI192*$E$11/12,2)</f>
        <v>0</v>
      </c>
      <c r="AK192" s="55" t="n">
        <f aca="false">MIN($F$11,AI192+AJ192)</f>
        <v>0</v>
      </c>
      <c r="AL192" s="55" t="n">
        <f aca="false">MAX(0,MIN(AI192+AJ192-AK192,$D192-(H192+M192+R192+W192+AB192+AG192)))</f>
        <v>0</v>
      </c>
      <c r="AM192" s="55" t="n">
        <f aca="false">AK192+AL192</f>
        <v>0</v>
      </c>
      <c r="AN192" s="55" t="n">
        <f aca="false">ROUND(MAX(0,AN191+AO191-AR191),2)</f>
        <v>0</v>
      </c>
      <c r="AO192" s="55" t="n">
        <f aca="false">ROUND(AN192*$E$12/12,2)</f>
        <v>0</v>
      </c>
      <c r="AP192" s="55" t="n">
        <f aca="false">MIN($F$12,AN192+AO192)</f>
        <v>0</v>
      </c>
      <c r="AQ192" s="55" t="n">
        <f aca="false">MAX(0,MIN(AN192+AO192-AP192,$D192-(H192+M192+R192+W192+AB192+AG192+AL192)))</f>
        <v>0</v>
      </c>
      <c r="AR192" s="55" t="n">
        <f aca="false">AP192+AQ192</f>
        <v>0</v>
      </c>
      <c r="AS192" s="55" t="n">
        <f aca="false">ROUND(MAX(0,AS191+AT191-AW191),2)</f>
        <v>0</v>
      </c>
      <c r="AT192" s="55" t="n">
        <f aca="false">ROUND(AS192*$E$13/12,2)</f>
        <v>0</v>
      </c>
      <c r="AU192" s="55" t="n">
        <f aca="false">MIN($F$13,AS192+AT192)</f>
        <v>0</v>
      </c>
      <c r="AV192" s="55" t="n">
        <f aca="false">MAX(0,MIN(AS192+AT192-AU192,$D192-(H192+M192+R192+W192+AB192+AG192+AL192+AQ192)))</f>
        <v>0</v>
      </c>
      <c r="AW192" s="55" t="n">
        <f aca="false">AU192+AV192</f>
        <v>0</v>
      </c>
      <c r="AX192" s="55" t="n">
        <f aca="false">ROUND(MAX(0,AX191+AY191-BB191),2)</f>
        <v>0</v>
      </c>
      <c r="AY192" s="55" t="n">
        <f aca="false">ROUND(AX192*$E$14/12,2)</f>
        <v>0</v>
      </c>
      <c r="AZ192" s="55" t="n">
        <f aca="false">MIN($F$14,AX192+AY192)</f>
        <v>0</v>
      </c>
      <c r="BA192" s="55" t="n">
        <f aca="false">MAX(0,MIN(AX192+AY192-AZ192,$D192-(H192+M192+R192+W192+AB192+AG192+AL192+AQ192+AV192)))</f>
        <v>0</v>
      </c>
      <c r="BB192" s="55" t="n">
        <f aca="false">AZ192+BA192</f>
        <v>0</v>
      </c>
      <c r="BC192" s="55" t="n">
        <f aca="false">I192+N192+S192+X192+AC192+AH192+AM192+AR192+AW192+BB192</f>
        <v>0</v>
      </c>
      <c r="BD192" s="55" t="n">
        <f aca="false">ROUND((E192+F192-I192)+(J192+K192-N192)+(O192+P192-S192)+(T192+U192-X192)+(Y192+Z192-AC192)+(AD192+AE192-AH192)+(AI192+AJ192-AM192)+(AN192+AO192-AR192)+(AS192+AT192-AW192)+(AX192+AY192-BB192),2)</f>
        <v>0</v>
      </c>
      <c r="BE192" s="25" t="str">
        <f aca="false">IF(H192&gt;0.005,$C$5,IF(M192&gt;0.005,$C$6,IF(R192&gt;0.005,$C$7,IF(W192&gt;0.005,$C$8,IF(AB192&gt;0.005,$C$9,IF(AG192&gt;0.005,$C$10,IF(AL192&gt;0.005,$C$11,IF(AQ192&gt;0.005,$C$12,IF(AV192&gt;0.005,$C$13,IF(BA192&gt;0.005,$C$14,""))))))))))</f>
        <v/>
      </c>
    </row>
    <row r="193" customFormat="false" ht="15" hidden="false" customHeight="false" outlineLevel="0" collapsed="false">
      <c r="A193" s="24" t="n">
        <v>170</v>
      </c>
      <c r="B193" s="54" t="n">
        <f aca="false">EDATE($C$17,A193-1)</f>
        <v>51471</v>
      </c>
      <c r="C193" s="55" t="n">
        <f aca="false">G193+L193+Q193+V193+AA193+AF193+AK193+AP193+AU193+AZ193</f>
        <v>0</v>
      </c>
      <c r="D193" s="55" t="n">
        <f aca="false">MAX(0,$C$16-C193)</f>
        <v>5822</v>
      </c>
      <c r="E193" s="55" t="n">
        <f aca="false">ROUND(MAX(0,E192+F192-I192),2)</f>
        <v>0</v>
      </c>
      <c r="F193" s="55" t="n">
        <f aca="false">ROUND(E193*$E$5/12,2)</f>
        <v>0</v>
      </c>
      <c r="G193" s="55" t="n">
        <f aca="false">MIN($F$5,E193+F193)</f>
        <v>0</v>
      </c>
      <c r="H193" s="55" t="n">
        <f aca="false">MAX(0,MIN(E193+F193-G193,$D193))</f>
        <v>0</v>
      </c>
      <c r="I193" s="55" t="n">
        <f aca="false">G193+H193</f>
        <v>0</v>
      </c>
      <c r="J193" s="55" t="n">
        <f aca="false">ROUND(MAX(0,J192+K192-N192),2)</f>
        <v>0</v>
      </c>
      <c r="K193" s="55" t="n">
        <f aca="false">ROUND(J193*$E$6/12,2)</f>
        <v>0</v>
      </c>
      <c r="L193" s="55" t="n">
        <f aca="false">MIN($F$6,J193+K193)</f>
        <v>0</v>
      </c>
      <c r="M193" s="55" t="n">
        <f aca="false">MAX(0,MIN(J193+K193-L193,$D193-(H193)))</f>
        <v>0</v>
      </c>
      <c r="N193" s="55" t="n">
        <f aca="false">L193+M193</f>
        <v>0</v>
      </c>
      <c r="O193" s="55" t="n">
        <f aca="false">ROUND(MAX(0,O192+P192-S192),2)</f>
        <v>0</v>
      </c>
      <c r="P193" s="55" t="n">
        <f aca="false">ROUND(O193*$E$7/12,2)</f>
        <v>0</v>
      </c>
      <c r="Q193" s="55" t="n">
        <f aca="false">MIN($F$7,O193+P193)</f>
        <v>0</v>
      </c>
      <c r="R193" s="55" t="n">
        <f aca="false">MAX(0,MIN(O193+P193-Q193,$D193-(H193+M193)))</f>
        <v>0</v>
      </c>
      <c r="S193" s="55" t="n">
        <f aca="false">Q193+R193</f>
        <v>0</v>
      </c>
      <c r="T193" s="55" t="n">
        <f aca="false">ROUND(MAX(0,T192+U192-X192),2)</f>
        <v>0</v>
      </c>
      <c r="U193" s="55" t="n">
        <f aca="false">ROUND(T193*$E$8/12,2)</f>
        <v>0</v>
      </c>
      <c r="V193" s="55" t="n">
        <f aca="false">MIN($F$8,T193+U193)</f>
        <v>0</v>
      </c>
      <c r="W193" s="55" t="n">
        <f aca="false">MAX(0,MIN(T193+U193-V193,$D193-(H193+M193+R193)))</f>
        <v>0</v>
      </c>
      <c r="X193" s="55" t="n">
        <f aca="false">V193+W193</f>
        <v>0</v>
      </c>
      <c r="Y193" s="55" t="n">
        <f aca="false">ROUND(MAX(0,Y192+Z192-AC192),2)</f>
        <v>0</v>
      </c>
      <c r="Z193" s="55" t="n">
        <f aca="false">ROUND(Y193*$E$9/12,2)</f>
        <v>0</v>
      </c>
      <c r="AA193" s="55" t="n">
        <f aca="false">MIN($F$9,Y193+Z193)</f>
        <v>0</v>
      </c>
      <c r="AB193" s="55" t="n">
        <f aca="false">MAX(0,MIN(Y193+Z193-AA193,$D193-(H193+M193+R193+W193)))</f>
        <v>0</v>
      </c>
      <c r="AC193" s="55" t="n">
        <f aca="false">AA193+AB193</f>
        <v>0</v>
      </c>
      <c r="AD193" s="55" t="n">
        <f aca="false">ROUND(MAX(0,AD192+AE192-AH192),2)</f>
        <v>0</v>
      </c>
      <c r="AE193" s="55" t="n">
        <f aca="false">ROUND(AD193*$E$10/12,2)</f>
        <v>0</v>
      </c>
      <c r="AF193" s="55" t="n">
        <f aca="false">MIN($F$10,AD193+AE193)</f>
        <v>0</v>
      </c>
      <c r="AG193" s="55" t="n">
        <f aca="false">MAX(0,MIN(AD193+AE193-AF193,$D193-(H193+M193+R193+W193+AB193)))</f>
        <v>0</v>
      </c>
      <c r="AH193" s="55" t="n">
        <f aca="false">AF193+AG193</f>
        <v>0</v>
      </c>
      <c r="AI193" s="55" t="n">
        <f aca="false">ROUND(MAX(0,AI192+AJ192-AM192),2)</f>
        <v>0</v>
      </c>
      <c r="AJ193" s="55" t="n">
        <f aca="false">ROUND(AI193*$E$11/12,2)</f>
        <v>0</v>
      </c>
      <c r="AK193" s="55" t="n">
        <f aca="false">MIN($F$11,AI193+AJ193)</f>
        <v>0</v>
      </c>
      <c r="AL193" s="55" t="n">
        <f aca="false">MAX(0,MIN(AI193+AJ193-AK193,$D193-(H193+M193+R193+W193+AB193+AG193)))</f>
        <v>0</v>
      </c>
      <c r="AM193" s="55" t="n">
        <f aca="false">AK193+AL193</f>
        <v>0</v>
      </c>
      <c r="AN193" s="55" t="n">
        <f aca="false">ROUND(MAX(0,AN192+AO192-AR192),2)</f>
        <v>0</v>
      </c>
      <c r="AO193" s="55" t="n">
        <f aca="false">ROUND(AN193*$E$12/12,2)</f>
        <v>0</v>
      </c>
      <c r="AP193" s="55" t="n">
        <f aca="false">MIN($F$12,AN193+AO193)</f>
        <v>0</v>
      </c>
      <c r="AQ193" s="55" t="n">
        <f aca="false">MAX(0,MIN(AN193+AO193-AP193,$D193-(H193+M193+R193+W193+AB193+AG193+AL193)))</f>
        <v>0</v>
      </c>
      <c r="AR193" s="55" t="n">
        <f aca="false">AP193+AQ193</f>
        <v>0</v>
      </c>
      <c r="AS193" s="55" t="n">
        <f aca="false">ROUND(MAX(0,AS192+AT192-AW192),2)</f>
        <v>0</v>
      </c>
      <c r="AT193" s="55" t="n">
        <f aca="false">ROUND(AS193*$E$13/12,2)</f>
        <v>0</v>
      </c>
      <c r="AU193" s="55" t="n">
        <f aca="false">MIN($F$13,AS193+AT193)</f>
        <v>0</v>
      </c>
      <c r="AV193" s="55" t="n">
        <f aca="false">MAX(0,MIN(AS193+AT193-AU193,$D193-(H193+M193+R193+W193+AB193+AG193+AL193+AQ193)))</f>
        <v>0</v>
      </c>
      <c r="AW193" s="55" t="n">
        <f aca="false">AU193+AV193</f>
        <v>0</v>
      </c>
      <c r="AX193" s="55" t="n">
        <f aca="false">ROUND(MAX(0,AX192+AY192-BB192),2)</f>
        <v>0</v>
      </c>
      <c r="AY193" s="55" t="n">
        <f aca="false">ROUND(AX193*$E$14/12,2)</f>
        <v>0</v>
      </c>
      <c r="AZ193" s="55" t="n">
        <f aca="false">MIN($F$14,AX193+AY193)</f>
        <v>0</v>
      </c>
      <c r="BA193" s="55" t="n">
        <f aca="false">MAX(0,MIN(AX193+AY193-AZ193,$D193-(H193+M193+R193+W193+AB193+AG193+AL193+AQ193+AV193)))</f>
        <v>0</v>
      </c>
      <c r="BB193" s="55" t="n">
        <f aca="false">AZ193+BA193</f>
        <v>0</v>
      </c>
      <c r="BC193" s="55" t="n">
        <f aca="false">I193+N193+S193+X193+AC193+AH193+AM193+AR193+AW193+BB193</f>
        <v>0</v>
      </c>
      <c r="BD193" s="55" t="n">
        <f aca="false">ROUND((E193+F193-I193)+(J193+K193-N193)+(O193+P193-S193)+(T193+U193-X193)+(Y193+Z193-AC193)+(AD193+AE193-AH193)+(AI193+AJ193-AM193)+(AN193+AO193-AR193)+(AS193+AT193-AW193)+(AX193+AY193-BB193),2)</f>
        <v>0</v>
      </c>
      <c r="BE193" s="25" t="str">
        <f aca="false">IF(H193&gt;0.005,$C$5,IF(M193&gt;0.005,$C$6,IF(R193&gt;0.005,$C$7,IF(W193&gt;0.005,$C$8,IF(AB193&gt;0.005,$C$9,IF(AG193&gt;0.005,$C$10,IF(AL193&gt;0.005,$C$11,IF(AQ193&gt;0.005,$C$12,IF(AV193&gt;0.005,$C$13,IF(BA193&gt;0.005,$C$14,""))))))))))</f>
        <v/>
      </c>
    </row>
    <row r="194" customFormat="false" ht="15" hidden="false" customHeight="false" outlineLevel="0" collapsed="false">
      <c r="A194" s="24" t="n">
        <v>171</v>
      </c>
      <c r="B194" s="54" t="n">
        <f aca="false">EDATE($C$17,A194-1)</f>
        <v>51502</v>
      </c>
      <c r="C194" s="55" t="n">
        <f aca="false">G194+L194+Q194+V194+AA194+AF194+AK194+AP194+AU194+AZ194</f>
        <v>0</v>
      </c>
      <c r="D194" s="55" t="n">
        <f aca="false">MAX(0,$C$16-C194)</f>
        <v>5822</v>
      </c>
      <c r="E194" s="55" t="n">
        <f aca="false">ROUND(MAX(0,E193+F193-I193),2)</f>
        <v>0</v>
      </c>
      <c r="F194" s="55" t="n">
        <f aca="false">ROUND(E194*$E$5/12,2)</f>
        <v>0</v>
      </c>
      <c r="G194" s="55" t="n">
        <f aca="false">MIN($F$5,E194+F194)</f>
        <v>0</v>
      </c>
      <c r="H194" s="55" t="n">
        <f aca="false">MAX(0,MIN(E194+F194-G194,$D194))</f>
        <v>0</v>
      </c>
      <c r="I194" s="55" t="n">
        <f aca="false">G194+H194</f>
        <v>0</v>
      </c>
      <c r="J194" s="55" t="n">
        <f aca="false">ROUND(MAX(0,J193+K193-N193),2)</f>
        <v>0</v>
      </c>
      <c r="K194" s="55" t="n">
        <f aca="false">ROUND(J194*$E$6/12,2)</f>
        <v>0</v>
      </c>
      <c r="L194" s="55" t="n">
        <f aca="false">MIN($F$6,J194+K194)</f>
        <v>0</v>
      </c>
      <c r="M194" s="55" t="n">
        <f aca="false">MAX(0,MIN(J194+K194-L194,$D194-(H194)))</f>
        <v>0</v>
      </c>
      <c r="N194" s="55" t="n">
        <f aca="false">L194+M194</f>
        <v>0</v>
      </c>
      <c r="O194" s="55" t="n">
        <f aca="false">ROUND(MAX(0,O193+P193-S193),2)</f>
        <v>0</v>
      </c>
      <c r="P194" s="55" t="n">
        <f aca="false">ROUND(O194*$E$7/12,2)</f>
        <v>0</v>
      </c>
      <c r="Q194" s="55" t="n">
        <f aca="false">MIN($F$7,O194+P194)</f>
        <v>0</v>
      </c>
      <c r="R194" s="55" t="n">
        <f aca="false">MAX(0,MIN(O194+P194-Q194,$D194-(H194+M194)))</f>
        <v>0</v>
      </c>
      <c r="S194" s="55" t="n">
        <f aca="false">Q194+R194</f>
        <v>0</v>
      </c>
      <c r="T194" s="55" t="n">
        <f aca="false">ROUND(MAX(0,T193+U193-X193),2)</f>
        <v>0</v>
      </c>
      <c r="U194" s="55" t="n">
        <f aca="false">ROUND(T194*$E$8/12,2)</f>
        <v>0</v>
      </c>
      <c r="V194" s="55" t="n">
        <f aca="false">MIN($F$8,T194+U194)</f>
        <v>0</v>
      </c>
      <c r="W194" s="55" t="n">
        <f aca="false">MAX(0,MIN(T194+U194-V194,$D194-(H194+M194+R194)))</f>
        <v>0</v>
      </c>
      <c r="X194" s="55" t="n">
        <f aca="false">V194+W194</f>
        <v>0</v>
      </c>
      <c r="Y194" s="55" t="n">
        <f aca="false">ROUND(MAX(0,Y193+Z193-AC193),2)</f>
        <v>0</v>
      </c>
      <c r="Z194" s="55" t="n">
        <f aca="false">ROUND(Y194*$E$9/12,2)</f>
        <v>0</v>
      </c>
      <c r="AA194" s="55" t="n">
        <f aca="false">MIN($F$9,Y194+Z194)</f>
        <v>0</v>
      </c>
      <c r="AB194" s="55" t="n">
        <f aca="false">MAX(0,MIN(Y194+Z194-AA194,$D194-(H194+M194+R194+W194)))</f>
        <v>0</v>
      </c>
      <c r="AC194" s="55" t="n">
        <f aca="false">AA194+AB194</f>
        <v>0</v>
      </c>
      <c r="AD194" s="55" t="n">
        <f aca="false">ROUND(MAX(0,AD193+AE193-AH193),2)</f>
        <v>0</v>
      </c>
      <c r="AE194" s="55" t="n">
        <f aca="false">ROUND(AD194*$E$10/12,2)</f>
        <v>0</v>
      </c>
      <c r="AF194" s="55" t="n">
        <f aca="false">MIN($F$10,AD194+AE194)</f>
        <v>0</v>
      </c>
      <c r="AG194" s="55" t="n">
        <f aca="false">MAX(0,MIN(AD194+AE194-AF194,$D194-(H194+M194+R194+W194+AB194)))</f>
        <v>0</v>
      </c>
      <c r="AH194" s="55" t="n">
        <f aca="false">AF194+AG194</f>
        <v>0</v>
      </c>
      <c r="AI194" s="55" t="n">
        <f aca="false">ROUND(MAX(0,AI193+AJ193-AM193),2)</f>
        <v>0</v>
      </c>
      <c r="AJ194" s="55" t="n">
        <f aca="false">ROUND(AI194*$E$11/12,2)</f>
        <v>0</v>
      </c>
      <c r="AK194" s="55" t="n">
        <f aca="false">MIN($F$11,AI194+AJ194)</f>
        <v>0</v>
      </c>
      <c r="AL194" s="55" t="n">
        <f aca="false">MAX(0,MIN(AI194+AJ194-AK194,$D194-(H194+M194+R194+W194+AB194+AG194)))</f>
        <v>0</v>
      </c>
      <c r="AM194" s="55" t="n">
        <f aca="false">AK194+AL194</f>
        <v>0</v>
      </c>
      <c r="AN194" s="55" t="n">
        <f aca="false">ROUND(MAX(0,AN193+AO193-AR193),2)</f>
        <v>0</v>
      </c>
      <c r="AO194" s="55" t="n">
        <f aca="false">ROUND(AN194*$E$12/12,2)</f>
        <v>0</v>
      </c>
      <c r="AP194" s="55" t="n">
        <f aca="false">MIN($F$12,AN194+AO194)</f>
        <v>0</v>
      </c>
      <c r="AQ194" s="55" t="n">
        <f aca="false">MAX(0,MIN(AN194+AO194-AP194,$D194-(H194+M194+R194+W194+AB194+AG194+AL194)))</f>
        <v>0</v>
      </c>
      <c r="AR194" s="55" t="n">
        <f aca="false">AP194+AQ194</f>
        <v>0</v>
      </c>
      <c r="AS194" s="55" t="n">
        <f aca="false">ROUND(MAX(0,AS193+AT193-AW193),2)</f>
        <v>0</v>
      </c>
      <c r="AT194" s="55" t="n">
        <f aca="false">ROUND(AS194*$E$13/12,2)</f>
        <v>0</v>
      </c>
      <c r="AU194" s="55" t="n">
        <f aca="false">MIN($F$13,AS194+AT194)</f>
        <v>0</v>
      </c>
      <c r="AV194" s="55" t="n">
        <f aca="false">MAX(0,MIN(AS194+AT194-AU194,$D194-(H194+M194+R194+W194+AB194+AG194+AL194+AQ194)))</f>
        <v>0</v>
      </c>
      <c r="AW194" s="55" t="n">
        <f aca="false">AU194+AV194</f>
        <v>0</v>
      </c>
      <c r="AX194" s="55" t="n">
        <f aca="false">ROUND(MAX(0,AX193+AY193-BB193),2)</f>
        <v>0</v>
      </c>
      <c r="AY194" s="55" t="n">
        <f aca="false">ROUND(AX194*$E$14/12,2)</f>
        <v>0</v>
      </c>
      <c r="AZ194" s="55" t="n">
        <f aca="false">MIN($F$14,AX194+AY194)</f>
        <v>0</v>
      </c>
      <c r="BA194" s="55" t="n">
        <f aca="false">MAX(0,MIN(AX194+AY194-AZ194,$D194-(H194+M194+R194+W194+AB194+AG194+AL194+AQ194+AV194)))</f>
        <v>0</v>
      </c>
      <c r="BB194" s="55" t="n">
        <f aca="false">AZ194+BA194</f>
        <v>0</v>
      </c>
      <c r="BC194" s="55" t="n">
        <f aca="false">I194+N194+S194+X194+AC194+AH194+AM194+AR194+AW194+BB194</f>
        <v>0</v>
      </c>
      <c r="BD194" s="55" t="n">
        <f aca="false">ROUND((E194+F194-I194)+(J194+K194-N194)+(O194+P194-S194)+(T194+U194-X194)+(Y194+Z194-AC194)+(AD194+AE194-AH194)+(AI194+AJ194-AM194)+(AN194+AO194-AR194)+(AS194+AT194-AW194)+(AX194+AY194-BB194),2)</f>
        <v>0</v>
      </c>
      <c r="BE194" s="25" t="str">
        <f aca="false">IF(H194&gt;0.005,$C$5,IF(M194&gt;0.005,$C$6,IF(R194&gt;0.005,$C$7,IF(W194&gt;0.005,$C$8,IF(AB194&gt;0.005,$C$9,IF(AG194&gt;0.005,$C$10,IF(AL194&gt;0.005,$C$11,IF(AQ194&gt;0.005,$C$12,IF(AV194&gt;0.005,$C$13,IF(BA194&gt;0.005,$C$14,""))))))))))</f>
        <v/>
      </c>
    </row>
    <row r="195" customFormat="false" ht="15" hidden="false" customHeight="false" outlineLevel="0" collapsed="false">
      <c r="A195" s="24" t="n">
        <v>172</v>
      </c>
      <c r="B195" s="54" t="n">
        <f aca="false">EDATE($C$17,A195-1)</f>
        <v>51533</v>
      </c>
      <c r="C195" s="55" t="n">
        <f aca="false">G195+L195+Q195+V195+AA195+AF195+AK195+AP195+AU195+AZ195</f>
        <v>0</v>
      </c>
      <c r="D195" s="55" t="n">
        <f aca="false">MAX(0,$C$16-C195)</f>
        <v>5822</v>
      </c>
      <c r="E195" s="55" t="n">
        <f aca="false">ROUND(MAX(0,E194+F194-I194),2)</f>
        <v>0</v>
      </c>
      <c r="F195" s="55" t="n">
        <f aca="false">ROUND(E195*$E$5/12,2)</f>
        <v>0</v>
      </c>
      <c r="G195" s="55" t="n">
        <f aca="false">MIN($F$5,E195+F195)</f>
        <v>0</v>
      </c>
      <c r="H195" s="55" t="n">
        <f aca="false">MAX(0,MIN(E195+F195-G195,$D195))</f>
        <v>0</v>
      </c>
      <c r="I195" s="55" t="n">
        <f aca="false">G195+H195</f>
        <v>0</v>
      </c>
      <c r="J195" s="55" t="n">
        <f aca="false">ROUND(MAX(0,J194+K194-N194),2)</f>
        <v>0</v>
      </c>
      <c r="K195" s="55" t="n">
        <f aca="false">ROUND(J195*$E$6/12,2)</f>
        <v>0</v>
      </c>
      <c r="L195" s="55" t="n">
        <f aca="false">MIN($F$6,J195+K195)</f>
        <v>0</v>
      </c>
      <c r="M195" s="55" t="n">
        <f aca="false">MAX(0,MIN(J195+K195-L195,$D195-(H195)))</f>
        <v>0</v>
      </c>
      <c r="N195" s="55" t="n">
        <f aca="false">L195+M195</f>
        <v>0</v>
      </c>
      <c r="O195" s="55" t="n">
        <f aca="false">ROUND(MAX(0,O194+P194-S194),2)</f>
        <v>0</v>
      </c>
      <c r="P195" s="55" t="n">
        <f aca="false">ROUND(O195*$E$7/12,2)</f>
        <v>0</v>
      </c>
      <c r="Q195" s="55" t="n">
        <f aca="false">MIN($F$7,O195+P195)</f>
        <v>0</v>
      </c>
      <c r="R195" s="55" t="n">
        <f aca="false">MAX(0,MIN(O195+P195-Q195,$D195-(H195+M195)))</f>
        <v>0</v>
      </c>
      <c r="S195" s="55" t="n">
        <f aca="false">Q195+R195</f>
        <v>0</v>
      </c>
      <c r="T195" s="55" t="n">
        <f aca="false">ROUND(MAX(0,T194+U194-X194),2)</f>
        <v>0</v>
      </c>
      <c r="U195" s="55" t="n">
        <f aca="false">ROUND(T195*$E$8/12,2)</f>
        <v>0</v>
      </c>
      <c r="V195" s="55" t="n">
        <f aca="false">MIN($F$8,T195+U195)</f>
        <v>0</v>
      </c>
      <c r="W195" s="55" t="n">
        <f aca="false">MAX(0,MIN(T195+U195-V195,$D195-(H195+M195+R195)))</f>
        <v>0</v>
      </c>
      <c r="X195" s="55" t="n">
        <f aca="false">V195+W195</f>
        <v>0</v>
      </c>
      <c r="Y195" s="55" t="n">
        <f aca="false">ROUND(MAX(0,Y194+Z194-AC194),2)</f>
        <v>0</v>
      </c>
      <c r="Z195" s="55" t="n">
        <f aca="false">ROUND(Y195*$E$9/12,2)</f>
        <v>0</v>
      </c>
      <c r="AA195" s="55" t="n">
        <f aca="false">MIN($F$9,Y195+Z195)</f>
        <v>0</v>
      </c>
      <c r="AB195" s="55" t="n">
        <f aca="false">MAX(0,MIN(Y195+Z195-AA195,$D195-(H195+M195+R195+W195)))</f>
        <v>0</v>
      </c>
      <c r="AC195" s="55" t="n">
        <f aca="false">AA195+AB195</f>
        <v>0</v>
      </c>
      <c r="AD195" s="55" t="n">
        <f aca="false">ROUND(MAX(0,AD194+AE194-AH194),2)</f>
        <v>0</v>
      </c>
      <c r="AE195" s="55" t="n">
        <f aca="false">ROUND(AD195*$E$10/12,2)</f>
        <v>0</v>
      </c>
      <c r="AF195" s="55" t="n">
        <f aca="false">MIN($F$10,AD195+AE195)</f>
        <v>0</v>
      </c>
      <c r="AG195" s="55" t="n">
        <f aca="false">MAX(0,MIN(AD195+AE195-AF195,$D195-(H195+M195+R195+W195+AB195)))</f>
        <v>0</v>
      </c>
      <c r="AH195" s="55" t="n">
        <f aca="false">AF195+AG195</f>
        <v>0</v>
      </c>
      <c r="AI195" s="55" t="n">
        <f aca="false">ROUND(MAX(0,AI194+AJ194-AM194),2)</f>
        <v>0</v>
      </c>
      <c r="AJ195" s="55" t="n">
        <f aca="false">ROUND(AI195*$E$11/12,2)</f>
        <v>0</v>
      </c>
      <c r="AK195" s="55" t="n">
        <f aca="false">MIN($F$11,AI195+AJ195)</f>
        <v>0</v>
      </c>
      <c r="AL195" s="55" t="n">
        <f aca="false">MAX(0,MIN(AI195+AJ195-AK195,$D195-(H195+M195+R195+W195+AB195+AG195)))</f>
        <v>0</v>
      </c>
      <c r="AM195" s="55" t="n">
        <f aca="false">AK195+AL195</f>
        <v>0</v>
      </c>
      <c r="AN195" s="55" t="n">
        <f aca="false">ROUND(MAX(0,AN194+AO194-AR194),2)</f>
        <v>0</v>
      </c>
      <c r="AO195" s="55" t="n">
        <f aca="false">ROUND(AN195*$E$12/12,2)</f>
        <v>0</v>
      </c>
      <c r="AP195" s="55" t="n">
        <f aca="false">MIN($F$12,AN195+AO195)</f>
        <v>0</v>
      </c>
      <c r="AQ195" s="55" t="n">
        <f aca="false">MAX(0,MIN(AN195+AO195-AP195,$D195-(H195+M195+R195+W195+AB195+AG195+AL195)))</f>
        <v>0</v>
      </c>
      <c r="AR195" s="55" t="n">
        <f aca="false">AP195+AQ195</f>
        <v>0</v>
      </c>
      <c r="AS195" s="55" t="n">
        <f aca="false">ROUND(MAX(0,AS194+AT194-AW194),2)</f>
        <v>0</v>
      </c>
      <c r="AT195" s="55" t="n">
        <f aca="false">ROUND(AS195*$E$13/12,2)</f>
        <v>0</v>
      </c>
      <c r="AU195" s="55" t="n">
        <f aca="false">MIN($F$13,AS195+AT195)</f>
        <v>0</v>
      </c>
      <c r="AV195" s="55" t="n">
        <f aca="false">MAX(0,MIN(AS195+AT195-AU195,$D195-(H195+M195+R195+W195+AB195+AG195+AL195+AQ195)))</f>
        <v>0</v>
      </c>
      <c r="AW195" s="55" t="n">
        <f aca="false">AU195+AV195</f>
        <v>0</v>
      </c>
      <c r="AX195" s="55" t="n">
        <f aca="false">ROUND(MAX(0,AX194+AY194-BB194),2)</f>
        <v>0</v>
      </c>
      <c r="AY195" s="55" t="n">
        <f aca="false">ROUND(AX195*$E$14/12,2)</f>
        <v>0</v>
      </c>
      <c r="AZ195" s="55" t="n">
        <f aca="false">MIN($F$14,AX195+AY195)</f>
        <v>0</v>
      </c>
      <c r="BA195" s="55" t="n">
        <f aca="false">MAX(0,MIN(AX195+AY195-AZ195,$D195-(H195+M195+R195+W195+AB195+AG195+AL195+AQ195+AV195)))</f>
        <v>0</v>
      </c>
      <c r="BB195" s="55" t="n">
        <f aca="false">AZ195+BA195</f>
        <v>0</v>
      </c>
      <c r="BC195" s="55" t="n">
        <f aca="false">I195+N195+S195+X195+AC195+AH195+AM195+AR195+AW195+BB195</f>
        <v>0</v>
      </c>
      <c r="BD195" s="55" t="n">
        <f aca="false">ROUND((E195+F195-I195)+(J195+K195-N195)+(O195+P195-S195)+(T195+U195-X195)+(Y195+Z195-AC195)+(AD195+AE195-AH195)+(AI195+AJ195-AM195)+(AN195+AO195-AR195)+(AS195+AT195-AW195)+(AX195+AY195-BB195),2)</f>
        <v>0</v>
      </c>
      <c r="BE195" s="25" t="str">
        <f aca="false">IF(H195&gt;0.005,$C$5,IF(M195&gt;0.005,$C$6,IF(R195&gt;0.005,$C$7,IF(W195&gt;0.005,$C$8,IF(AB195&gt;0.005,$C$9,IF(AG195&gt;0.005,$C$10,IF(AL195&gt;0.005,$C$11,IF(AQ195&gt;0.005,$C$12,IF(AV195&gt;0.005,$C$13,IF(BA195&gt;0.005,$C$14,""))))))))))</f>
        <v/>
      </c>
    </row>
    <row r="196" customFormat="false" ht="15" hidden="false" customHeight="false" outlineLevel="0" collapsed="false">
      <c r="A196" s="24" t="n">
        <v>173</v>
      </c>
      <c r="B196" s="54" t="n">
        <f aca="false">EDATE($C$17,A196-1)</f>
        <v>51561</v>
      </c>
      <c r="C196" s="55" t="n">
        <f aca="false">G196+L196+Q196+V196+AA196+AF196+AK196+AP196+AU196+AZ196</f>
        <v>0</v>
      </c>
      <c r="D196" s="55" t="n">
        <f aca="false">MAX(0,$C$16-C196)</f>
        <v>5822</v>
      </c>
      <c r="E196" s="55" t="n">
        <f aca="false">ROUND(MAX(0,E195+F195-I195),2)</f>
        <v>0</v>
      </c>
      <c r="F196" s="55" t="n">
        <f aca="false">ROUND(E196*$E$5/12,2)</f>
        <v>0</v>
      </c>
      <c r="G196" s="55" t="n">
        <f aca="false">MIN($F$5,E196+F196)</f>
        <v>0</v>
      </c>
      <c r="H196" s="55" t="n">
        <f aca="false">MAX(0,MIN(E196+F196-G196,$D196))</f>
        <v>0</v>
      </c>
      <c r="I196" s="55" t="n">
        <f aca="false">G196+H196</f>
        <v>0</v>
      </c>
      <c r="J196" s="55" t="n">
        <f aca="false">ROUND(MAX(0,J195+K195-N195),2)</f>
        <v>0</v>
      </c>
      <c r="K196" s="55" t="n">
        <f aca="false">ROUND(J196*$E$6/12,2)</f>
        <v>0</v>
      </c>
      <c r="L196" s="55" t="n">
        <f aca="false">MIN($F$6,J196+K196)</f>
        <v>0</v>
      </c>
      <c r="M196" s="55" t="n">
        <f aca="false">MAX(0,MIN(J196+K196-L196,$D196-(H196)))</f>
        <v>0</v>
      </c>
      <c r="N196" s="55" t="n">
        <f aca="false">L196+M196</f>
        <v>0</v>
      </c>
      <c r="O196" s="55" t="n">
        <f aca="false">ROUND(MAX(0,O195+P195-S195),2)</f>
        <v>0</v>
      </c>
      <c r="P196" s="55" t="n">
        <f aca="false">ROUND(O196*$E$7/12,2)</f>
        <v>0</v>
      </c>
      <c r="Q196" s="55" t="n">
        <f aca="false">MIN($F$7,O196+P196)</f>
        <v>0</v>
      </c>
      <c r="R196" s="55" t="n">
        <f aca="false">MAX(0,MIN(O196+P196-Q196,$D196-(H196+M196)))</f>
        <v>0</v>
      </c>
      <c r="S196" s="55" t="n">
        <f aca="false">Q196+R196</f>
        <v>0</v>
      </c>
      <c r="T196" s="55" t="n">
        <f aca="false">ROUND(MAX(0,T195+U195-X195),2)</f>
        <v>0</v>
      </c>
      <c r="U196" s="55" t="n">
        <f aca="false">ROUND(T196*$E$8/12,2)</f>
        <v>0</v>
      </c>
      <c r="V196" s="55" t="n">
        <f aca="false">MIN($F$8,T196+U196)</f>
        <v>0</v>
      </c>
      <c r="W196" s="55" t="n">
        <f aca="false">MAX(0,MIN(T196+U196-V196,$D196-(H196+M196+R196)))</f>
        <v>0</v>
      </c>
      <c r="X196" s="55" t="n">
        <f aca="false">V196+W196</f>
        <v>0</v>
      </c>
      <c r="Y196" s="55" t="n">
        <f aca="false">ROUND(MAX(0,Y195+Z195-AC195),2)</f>
        <v>0</v>
      </c>
      <c r="Z196" s="55" t="n">
        <f aca="false">ROUND(Y196*$E$9/12,2)</f>
        <v>0</v>
      </c>
      <c r="AA196" s="55" t="n">
        <f aca="false">MIN($F$9,Y196+Z196)</f>
        <v>0</v>
      </c>
      <c r="AB196" s="55" t="n">
        <f aca="false">MAX(0,MIN(Y196+Z196-AA196,$D196-(H196+M196+R196+W196)))</f>
        <v>0</v>
      </c>
      <c r="AC196" s="55" t="n">
        <f aca="false">AA196+AB196</f>
        <v>0</v>
      </c>
      <c r="AD196" s="55" t="n">
        <f aca="false">ROUND(MAX(0,AD195+AE195-AH195),2)</f>
        <v>0</v>
      </c>
      <c r="AE196" s="55" t="n">
        <f aca="false">ROUND(AD196*$E$10/12,2)</f>
        <v>0</v>
      </c>
      <c r="AF196" s="55" t="n">
        <f aca="false">MIN($F$10,AD196+AE196)</f>
        <v>0</v>
      </c>
      <c r="AG196" s="55" t="n">
        <f aca="false">MAX(0,MIN(AD196+AE196-AF196,$D196-(H196+M196+R196+W196+AB196)))</f>
        <v>0</v>
      </c>
      <c r="AH196" s="55" t="n">
        <f aca="false">AF196+AG196</f>
        <v>0</v>
      </c>
      <c r="AI196" s="55" t="n">
        <f aca="false">ROUND(MAX(0,AI195+AJ195-AM195),2)</f>
        <v>0</v>
      </c>
      <c r="AJ196" s="55" t="n">
        <f aca="false">ROUND(AI196*$E$11/12,2)</f>
        <v>0</v>
      </c>
      <c r="AK196" s="55" t="n">
        <f aca="false">MIN($F$11,AI196+AJ196)</f>
        <v>0</v>
      </c>
      <c r="AL196" s="55" t="n">
        <f aca="false">MAX(0,MIN(AI196+AJ196-AK196,$D196-(H196+M196+R196+W196+AB196+AG196)))</f>
        <v>0</v>
      </c>
      <c r="AM196" s="55" t="n">
        <f aca="false">AK196+AL196</f>
        <v>0</v>
      </c>
      <c r="AN196" s="55" t="n">
        <f aca="false">ROUND(MAX(0,AN195+AO195-AR195),2)</f>
        <v>0</v>
      </c>
      <c r="AO196" s="55" t="n">
        <f aca="false">ROUND(AN196*$E$12/12,2)</f>
        <v>0</v>
      </c>
      <c r="AP196" s="55" t="n">
        <f aca="false">MIN($F$12,AN196+AO196)</f>
        <v>0</v>
      </c>
      <c r="AQ196" s="55" t="n">
        <f aca="false">MAX(0,MIN(AN196+AO196-AP196,$D196-(H196+M196+R196+W196+AB196+AG196+AL196)))</f>
        <v>0</v>
      </c>
      <c r="AR196" s="55" t="n">
        <f aca="false">AP196+AQ196</f>
        <v>0</v>
      </c>
      <c r="AS196" s="55" t="n">
        <f aca="false">ROUND(MAX(0,AS195+AT195-AW195),2)</f>
        <v>0</v>
      </c>
      <c r="AT196" s="55" t="n">
        <f aca="false">ROUND(AS196*$E$13/12,2)</f>
        <v>0</v>
      </c>
      <c r="AU196" s="55" t="n">
        <f aca="false">MIN($F$13,AS196+AT196)</f>
        <v>0</v>
      </c>
      <c r="AV196" s="55" t="n">
        <f aca="false">MAX(0,MIN(AS196+AT196-AU196,$D196-(H196+M196+R196+W196+AB196+AG196+AL196+AQ196)))</f>
        <v>0</v>
      </c>
      <c r="AW196" s="55" t="n">
        <f aca="false">AU196+AV196</f>
        <v>0</v>
      </c>
      <c r="AX196" s="55" t="n">
        <f aca="false">ROUND(MAX(0,AX195+AY195-BB195),2)</f>
        <v>0</v>
      </c>
      <c r="AY196" s="55" t="n">
        <f aca="false">ROUND(AX196*$E$14/12,2)</f>
        <v>0</v>
      </c>
      <c r="AZ196" s="55" t="n">
        <f aca="false">MIN($F$14,AX196+AY196)</f>
        <v>0</v>
      </c>
      <c r="BA196" s="55" t="n">
        <f aca="false">MAX(0,MIN(AX196+AY196-AZ196,$D196-(H196+M196+R196+W196+AB196+AG196+AL196+AQ196+AV196)))</f>
        <v>0</v>
      </c>
      <c r="BB196" s="55" t="n">
        <f aca="false">AZ196+BA196</f>
        <v>0</v>
      </c>
      <c r="BC196" s="55" t="n">
        <f aca="false">I196+N196+S196+X196+AC196+AH196+AM196+AR196+AW196+BB196</f>
        <v>0</v>
      </c>
      <c r="BD196" s="55" t="n">
        <f aca="false">ROUND((E196+F196-I196)+(J196+K196-N196)+(O196+P196-S196)+(T196+U196-X196)+(Y196+Z196-AC196)+(AD196+AE196-AH196)+(AI196+AJ196-AM196)+(AN196+AO196-AR196)+(AS196+AT196-AW196)+(AX196+AY196-BB196),2)</f>
        <v>0</v>
      </c>
      <c r="BE196" s="25" t="str">
        <f aca="false">IF(H196&gt;0.005,$C$5,IF(M196&gt;0.005,$C$6,IF(R196&gt;0.005,$C$7,IF(W196&gt;0.005,$C$8,IF(AB196&gt;0.005,$C$9,IF(AG196&gt;0.005,$C$10,IF(AL196&gt;0.005,$C$11,IF(AQ196&gt;0.005,$C$12,IF(AV196&gt;0.005,$C$13,IF(BA196&gt;0.005,$C$14,""))))))))))</f>
        <v/>
      </c>
    </row>
    <row r="197" customFormat="false" ht="15" hidden="false" customHeight="false" outlineLevel="0" collapsed="false">
      <c r="A197" s="24" t="n">
        <v>174</v>
      </c>
      <c r="B197" s="54" t="n">
        <f aca="false">EDATE($C$17,A197-1)</f>
        <v>51592</v>
      </c>
      <c r="C197" s="55" t="n">
        <f aca="false">G197+L197+Q197+V197+AA197+AF197+AK197+AP197+AU197+AZ197</f>
        <v>0</v>
      </c>
      <c r="D197" s="55" t="n">
        <f aca="false">MAX(0,$C$16-C197)</f>
        <v>5822</v>
      </c>
      <c r="E197" s="55" t="n">
        <f aca="false">ROUND(MAX(0,E196+F196-I196),2)</f>
        <v>0</v>
      </c>
      <c r="F197" s="55" t="n">
        <f aca="false">ROUND(E197*$E$5/12,2)</f>
        <v>0</v>
      </c>
      <c r="G197" s="55" t="n">
        <f aca="false">MIN($F$5,E197+F197)</f>
        <v>0</v>
      </c>
      <c r="H197" s="55" t="n">
        <f aca="false">MAX(0,MIN(E197+F197-G197,$D197))</f>
        <v>0</v>
      </c>
      <c r="I197" s="55" t="n">
        <f aca="false">G197+H197</f>
        <v>0</v>
      </c>
      <c r="J197" s="55" t="n">
        <f aca="false">ROUND(MAX(0,J196+K196-N196),2)</f>
        <v>0</v>
      </c>
      <c r="K197" s="55" t="n">
        <f aca="false">ROUND(J197*$E$6/12,2)</f>
        <v>0</v>
      </c>
      <c r="L197" s="55" t="n">
        <f aca="false">MIN($F$6,J197+K197)</f>
        <v>0</v>
      </c>
      <c r="M197" s="55" t="n">
        <f aca="false">MAX(0,MIN(J197+K197-L197,$D197-(H197)))</f>
        <v>0</v>
      </c>
      <c r="N197" s="55" t="n">
        <f aca="false">L197+M197</f>
        <v>0</v>
      </c>
      <c r="O197" s="55" t="n">
        <f aca="false">ROUND(MAX(0,O196+P196-S196),2)</f>
        <v>0</v>
      </c>
      <c r="P197" s="55" t="n">
        <f aca="false">ROUND(O197*$E$7/12,2)</f>
        <v>0</v>
      </c>
      <c r="Q197" s="55" t="n">
        <f aca="false">MIN($F$7,O197+P197)</f>
        <v>0</v>
      </c>
      <c r="R197" s="55" t="n">
        <f aca="false">MAX(0,MIN(O197+P197-Q197,$D197-(H197+M197)))</f>
        <v>0</v>
      </c>
      <c r="S197" s="55" t="n">
        <f aca="false">Q197+R197</f>
        <v>0</v>
      </c>
      <c r="T197" s="55" t="n">
        <f aca="false">ROUND(MAX(0,T196+U196-X196),2)</f>
        <v>0</v>
      </c>
      <c r="U197" s="55" t="n">
        <f aca="false">ROUND(T197*$E$8/12,2)</f>
        <v>0</v>
      </c>
      <c r="V197" s="55" t="n">
        <f aca="false">MIN($F$8,T197+U197)</f>
        <v>0</v>
      </c>
      <c r="W197" s="55" t="n">
        <f aca="false">MAX(0,MIN(T197+U197-V197,$D197-(H197+M197+R197)))</f>
        <v>0</v>
      </c>
      <c r="X197" s="55" t="n">
        <f aca="false">V197+W197</f>
        <v>0</v>
      </c>
      <c r="Y197" s="55" t="n">
        <f aca="false">ROUND(MAX(0,Y196+Z196-AC196),2)</f>
        <v>0</v>
      </c>
      <c r="Z197" s="55" t="n">
        <f aca="false">ROUND(Y197*$E$9/12,2)</f>
        <v>0</v>
      </c>
      <c r="AA197" s="55" t="n">
        <f aca="false">MIN($F$9,Y197+Z197)</f>
        <v>0</v>
      </c>
      <c r="AB197" s="55" t="n">
        <f aca="false">MAX(0,MIN(Y197+Z197-AA197,$D197-(H197+M197+R197+W197)))</f>
        <v>0</v>
      </c>
      <c r="AC197" s="55" t="n">
        <f aca="false">AA197+AB197</f>
        <v>0</v>
      </c>
      <c r="AD197" s="55" t="n">
        <f aca="false">ROUND(MAX(0,AD196+AE196-AH196),2)</f>
        <v>0</v>
      </c>
      <c r="AE197" s="55" t="n">
        <f aca="false">ROUND(AD197*$E$10/12,2)</f>
        <v>0</v>
      </c>
      <c r="AF197" s="55" t="n">
        <f aca="false">MIN($F$10,AD197+AE197)</f>
        <v>0</v>
      </c>
      <c r="AG197" s="55" t="n">
        <f aca="false">MAX(0,MIN(AD197+AE197-AF197,$D197-(H197+M197+R197+W197+AB197)))</f>
        <v>0</v>
      </c>
      <c r="AH197" s="55" t="n">
        <f aca="false">AF197+AG197</f>
        <v>0</v>
      </c>
      <c r="AI197" s="55" t="n">
        <f aca="false">ROUND(MAX(0,AI196+AJ196-AM196),2)</f>
        <v>0</v>
      </c>
      <c r="AJ197" s="55" t="n">
        <f aca="false">ROUND(AI197*$E$11/12,2)</f>
        <v>0</v>
      </c>
      <c r="AK197" s="55" t="n">
        <f aca="false">MIN($F$11,AI197+AJ197)</f>
        <v>0</v>
      </c>
      <c r="AL197" s="55" t="n">
        <f aca="false">MAX(0,MIN(AI197+AJ197-AK197,$D197-(H197+M197+R197+W197+AB197+AG197)))</f>
        <v>0</v>
      </c>
      <c r="AM197" s="55" t="n">
        <f aca="false">AK197+AL197</f>
        <v>0</v>
      </c>
      <c r="AN197" s="55" t="n">
        <f aca="false">ROUND(MAX(0,AN196+AO196-AR196),2)</f>
        <v>0</v>
      </c>
      <c r="AO197" s="55" t="n">
        <f aca="false">ROUND(AN197*$E$12/12,2)</f>
        <v>0</v>
      </c>
      <c r="AP197" s="55" t="n">
        <f aca="false">MIN($F$12,AN197+AO197)</f>
        <v>0</v>
      </c>
      <c r="AQ197" s="55" t="n">
        <f aca="false">MAX(0,MIN(AN197+AO197-AP197,$D197-(H197+M197+R197+W197+AB197+AG197+AL197)))</f>
        <v>0</v>
      </c>
      <c r="AR197" s="55" t="n">
        <f aca="false">AP197+AQ197</f>
        <v>0</v>
      </c>
      <c r="AS197" s="55" t="n">
        <f aca="false">ROUND(MAX(0,AS196+AT196-AW196),2)</f>
        <v>0</v>
      </c>
      <c r="AT197" s="55" t="n">
        <f aca="false">ROUND(AS197*$E$13/12,2)</f>
        <v>0</v>
      </c>
      <c r="AU197" s="55" t="n">
        <f aca="false">MIN($F$13,AS197+AT197)</f>
        <v>0</v>
      </c>
      <c r="AV197" s="55" t="n">
        <f aca="false">MAX(0,MIN(AS197+AT197-AU197,$D197-(H197+M197+R197+W197+AB197+AG197+AL197+AQ197)))</f>
        <v>0</v>
      </c>
      <c r="AW197" s="55" t="n">
        <f aca="false">AU197+AV197</f>
        <v>0</v>
      </c>
      <c r="AX197" s="55" t="n">
        <f aca="false">ROUND(MAX(0,AX196+AY196-BB196),2)</f>
        <v>0</v>
      </c>
      <c r="AY197" s="55" t="n">
        <f aca="false">ROUND(AX197*$E$14/12,2)</f>
        <v>0</v>
      </c>
      <c r="AZ197" s="55" t="n">
        <f aca="false">MIN($F$14,AX197+AY197)</f>
        <v>0</v>
      </c>
      <c r="BA197" s="55" t="n">
        <f aca="false">MAX(0,MIN(AX197+AY197-AZ197,$D197-(H197+M197+R197+W197+AB197+AG197+AL197+AQ197+AV197)))</f>
        <v>0</v>
      </c>
      <c r="BB197" s="55" t="n">
        <f aca="false">AZ197+BA197</f>
        <v>0</v>
      </c>
      <c r="BC197" s="55" t="n">
        <f aca="false">I197+N197+S197+X197+AC197+AH197+AM197+AR197+AW197+BB197</f>
        <v>0</v>
      </c>
      <c r="BD197" s="55" t="n">
        <f aca="false">ROUND((E197+F197-I197)+(J197+K197-N197)+(O197+P197-S197)+(T197+U197-X197)+(Y197+Z197-AC197)+(AD197+AE197-AH197)+(AI197+AJ197-AM197)+(AN197+AO197-AR197)+(AS197+AT197-AW197)+(AX197+AY197-BB197),2)</f>
        <v>0</v>
      </c>
      <c r="BE197" s="25" t="str">
        <f aca="false">IF(H197&gt;0.005,$C$5,IF(M197&gt;0.005,$C$6,IF(R197&gt;0.005,$C$7,IF(W197&gt;0.005,$C$8,IF(AB197&gt;0.005,$C$9,IF(AG197&gt;0.005,$C$10,IF(AL197&gt;0.005,$C$11,IF(AQ197&gt;0.005,$C$12,IF(AV197&gt;0.005,$C$13,IF(BA197&gt;0.005,$C$14,""))))))))))</f>
        <v/>
      </c>
    </row>
    <row r="198" customFormat="false" ht="15" hidden="false" customHeight="false" outlineLevel="0" collapsed="false">
      <c r="A198" s="24" t="n">
        <v>175</v>
      </c>
      <c r="B198" s="54" t="n">
        <f aca="false">EDATE($C$17,A198-1)</f>
        <v>51622</v>
      </c>
      <c r="C198" s="55" t="n">
        <f aca="false">G198+L198+Q198+V198+AA198+AF198+AK198+AP198+AU198+AZ198</f>
        <v>0</v>
      </c>
      <c r="D198" s="55" t="n">
        <f aca="false">MAX(0,$C$16-C198)</f>
        <v>5822</v>
      </c>
      <c r="E198" s="55" t="n">
        <f aca="false">ROUND(MAX(0,E197+F197-I197),2)</f>
        <v>0</v>
      </c>
      <c r="F198" s="55" t="n">
        <f aca="false">ROUND(E198*$E$5/12,2)</f>
        <v>0</v>
      </c>
      <c r="G198" s="55" t="n">
        <f aca="false">MIN($F$5,E198+F198)</f>
        <v>0</v>
      </c>
      <c r="H198" s="55" t="n">
        <f aca="false">MAX(0,MIN(E198+F198-G198,$D198))</f>
        <v>0</v>
      </c>
      <c r="I198" s="55" t="n">
        <f aca="false">G198+H198</f>
        <v>0</v>
      </c>
      <c r="J198" s="55" t="n">
        <f aca="false">ROUND(MAX(0,J197+K197-N197),2)</f>
        <v>0</v>
      </c>
      <c r="K198" s="55" t="n">
        <f aca="false">ROUND(J198*$E$6/12,2)</f>
        <v>0</v>
      </c>
      <c r="L198" s="55" t="n">
        <f aca="false">MIN($F$6,J198+K198)</f>
        <v>0</v>
      </c>
      <c r="M198" s="55" t="n">
        <f aca="false">MAX(0,MIN(J198+K198-L198,$D198-(H198)))</f>
        <v>0</v>
      </c>
      <c r="N198" s="55" t="n">
        <f aca="false">L198+M198</f>
        <v>0</v>
      </c>
      <c r="O198" s="55" t="n">
        <f aca="false">ROUND(MAX(0,O197+P197-S197),2)</f>
        <v>0</v>
      </c>
      <c r="P198" s="55" t="n">
        <f aca="false">ROUND(O198*$E$7/12,2)</f>
        <v>0</v>
      </c>
      <c r="Q198" s="55" t="n">
        <f aca="false">MIN($F$7,O198+P198)</f>
        <v>0</v>
      </c>
      <c r="R198" s="55" t="n">
        <f aca="false">MAX(0,MIN(O198+P198-Q198,$D198-(H198+M198)))</f>
        <v>0</v>
      </c>
      <c r="S198" s="55" t="n">
        <f aca="false">Q198+R198</f>
        <v>0</v>
      </c>
      <c r="T198" s="55" t="n">
        <f aca="false">ROUND(MAX(0,T197+U197-X197),2)</f>
        <v>0</v>
      </c>
      <c r="U198" s="55" t="n">
        <f aca="false">ROUND(T198*$E$8/12,2)</f>
        <v>0</v>
      </c>
      <c r="V198" s="55" t="n">
        <f aca="false">MIN($F$8,T198+U198)</f>
        <v>0</v>
      </c>
      <c r="W198" s="55" t="n">
        <f aca="false">MAX(0,MIN(T198+U198-V198,$D198-(H198+M198+R198)))</f>
        <v>0</v>
      </c>
      <c r="X198" s="55" t="n">
        <f aca="false">V198+W198</f>
        <v>0</v>
      </c>
      <c r="Y198" s="55" t="n">
        <f aca="false">ROUND(MAX(0,Y197+Z197-AC197),2)</f>
        <v>0</v>
      </c>
      <c r="Z198" s="55" t="n">
        <f aca="false">ROUND(Y198*$E$9/12,2)</f>
        <v>0</v>
      </c>
      <c r="AA198" s="55" t="n">
        <f aca="false">MIN($F$9,Y198+Z198)</f>
        <v>0</v>
      </c>
      <c r="AB198" s="55" t="n">
        <f aca="false">MAX(0,MIN(Y198+Z198-AA198,$D198-(H198+M198+R198+W198)))</f>
        <v>0</v>
      </c>
      <c r="AC198" s="55" t="n">
        <f aca="false">AA198+AB198</f>
        <v>0</v>
      </c>
      <c r="AD198" s="55" t="n">
        <f aca="false">ROUND(MAX(0,AD197+AE197-AH197),2)</f>
        <v>0</v>
      </c>
      <c r="AE198" s="55" t="n">
        <f aca="false">ROUND(AD198*$E$10/12,2)</f>
        <v>0</v>
      </c>
      <c r="AF198" s="55" t="n">
        <f aca="false">MIN($F$10,AD198+AE198)</f>
        <v>0</v>
      </c>
      <c r="AG198" s="55" t="n">
        <f aca="false">MAX(0,MIN(AD198+AE198-AF198,$D198-(H198+M198+R198+W198+AB198)))</f>
        <v>0</v>
      </c>
      <c r="AH198" s="55" t="n">
        <f aca="false">AF198+AG198</f>
        <v>0</v>
      </c>
      <c r="AI198" s="55" t="n">
        <f aca="false">ROUND(MAX(0,AI197+AJ197-AM197),2)</f>
        <v>0</v>
      </c>
      <c r="AJ198" s="55" t="n">
        <f aca="false">ROUND(AI198*$E$11/12,2)</f>
        <v>0</v>
      </c>
      <c r="AK198" s="55" t="n">
        <f aca="false">MIN($F$11,AI198+AJ198)</f>
        <v>0</v>
      </c>
      <c r="AL198" s="55" t="n">
        <f aca="false">MAX(0,MIN(AI198+AJ198-AK198,$D198-(H198+M198+R198+W198+AB198+AG198)))</f>
        <v>0</v>
      </c>
      <c r="AM198" s="55" t="n">
        <f aca="false">AK198+AL198</f>
        <v>0</v>
      </c>
      <c r="AN198" s="55" t="n">
        <f aca="false">ROUND(MAX(0,AN197+AO197-AR197),2)</f>
        <v>0</v>
      </c>
      <c r="AO198" s="55" t="n">
        <f aca="false">ROUND(AN198*$E$12/12,2)</f>
        <v>0</v>
      </c>
      <c r="AP198" s="55" t="n">
        <f aca="false">MIN($F$12,AN198+AO198)</f>
        <v>0</v>
      </c>
      <c r="AQ198" s="55" t="n">
        <f aca="false">MAX(0,MIN(AN198+AO198-AP198,$D198-(H198+M198+R198+W198+AB198+AG198+AL198)))</f>
        <v>0</v>
      </c>
      <c r="AR198" s="55" t="n">
        <f aca="false">AP198+AQ198</f>
        <v>0</v>
      </c>
      <c r="AS198" s="55" t="n">
        <f aca="false">ROUND(MAX(0,AS197+AT197-AW197),2)</f>
        <v>0</v>
      </c>
      <c r="AT198" s="55" t="n">
        <f aca="false">ROUND(AS198*$E$13/12,2)</f>
        <v>0</v>
      </c>
      <c r="AU198" s="55" t="n">
        <f aca="false">MIN($F$13,AS198+AT198)</f>
        <v>0</v>
      </c>
      <c r="AV198" s="55" t="n">
        <f aca="false">MAX(0,MIN(AS198+AT198-AU198,$D198-(H198+M198+R198+W198+AB198+AG198+AL198+AQ198)))</f>
        <v>0</v>
      </c>
      <c r="AW198" s="55" t="n">
        <f aca="false">AU198+AV198</f>
        <v>0</v>
      </c>
      <c r="AX198" s="55" t="n">
        <f aca="false">ROUND(MAX(0,AX197+AY197-BB197),2)</f>
        <v>0</v>
      </c>
      <c r="AY198" s="55" t="n">
        <f aca="false">ROUND(AX198*$E$14/12,2)</f>
        <v>0</v>
      </c>
      <c r="AZ198" s="55" t="n">
        <f aca="false">MIN($F$14,AX198+AY198)</f>
        <v>0</v>
      </c>
      <c r="BA198" s="55" t="n">
        <f aca="false">MAX(0,MIN(AX198+AY198-AZ198,$D198-(H198+M198+R198+W198+AB198+AG198+AL198+AQ198+AV198)))</f>
        <v>0</v>
      </c>
      <c r="BB198" s="55" t="n">
        <f aca="false">AZ198+BA198</f>
        <v>0</v>
      </c>
      <c r="BC198" s="55" t="n">
        <f aca="false">I198+N198+S198+X198+AC198+AH198+AM198+AR198+AW198+BB198</f>
        <v>0</v>
      </c>
      <c r="BD198" s="55" t="n">
        <f aca="false">ROUND((E198+F198-I198)+(J198+K198-N198)+(O198+P198-S198)+(T198+U198-X198)+(Y198+Z198-AC198)+(AD198+AE198-AH198)+(AI198+AJ198-AM198)+(AN198+AO198-AR198)+(AS198+AT198-AW198)+(AX198+AY198-BB198),2)</f>
        <v>0</v>
      </c>
      <c r="BE198" s="25" t="str">
        <f aca="false">IF(H198&gt;0.005,$C$5,IF(M198&gt;0.005,$C$6,IF(R198&gt;0.005,$C$7,IF(W198&gt;0.005,$C$8,IF(AB198&gt;0.005,$C$9,IF(AG198&gt;0.005,$C$10,IF(AL198&gt;0.005,$C$11,IF(AQ198&gt;0.005,$C$12,IF(AV198&gt;0.005,$C$13,IF(BA198&gt;0.005,$C$14,""))))))))))</f>
        <v/>
      </c>
    </row>
    <row r="199" customFormat="false" ht="15" hidden="false" customHeight="false" outlineLevel="0" collapsed="false">
      <c r="A199" s="24" t="n">
        <v>176</v>
      </c>
      <c r="B199" s="54" t="n">
        <f aca="false">EDATE($C$17,A199-1)</f>
        <v>51653</v>
      </c>
      <c r="C199" s="55" t="n">
        <f aca="false">G199+L199+Q199+V199+AA199+AF199+AK199+AP199+AU199+AZ199</f>
        <v>0</v>
      </c>
      <c r="D199" s="55" t="n">
        <f aca="false">MAX(0,$C$16-C199)</f>
        <v>5822</v>
      </c>
      <c r="E199" s="55" t="n">
        <f aca="false">ROUND(MAX(0,E198+F198-I198),2)</f>
        <v>0</v>
      </c>
      <c r="F199" s="55" t="n">
        <f aca="false">ROUND(E199*$E$5/12,2)</f>
        <v>0</v>
      </c>
      <c r="G199" s="55" t="n">
        <f aca="false">MIN($F$5,E199+F199)</f>
        <v>0</v>
      </c>
      <c r="H199" s="55" t="n">
        <f aca="false">MAX(0,MIN(E199+F199-G199,$D199))</f>
        <v>0</v>
      </c>
      <c r="I199" s="55" t="n">
        <f aca="false">G199+H199</f>
        <v>0</v>
      </c>
      <c r="J199" s="55" t="n">
        <f aca="false">ROUND(MAX(0,J198+K198-N198),2)</f>
        <v>0</v>
      </c>
      <c r="K199" s="55" t="n">
        <f aca="false">ROUND(J199*$E$6/12,2)</f>
        <v>0</v>
      </c>
      <c r="L199" s="55" t="n">
        <f aca="false">MIN($F$6,J199+K199)</f>
        <v>0</v>
      </c>
      <c r="M199" s="55" t="n">
        <f aca="false">MAX(0,MIN(J199+K199-L199,$D199-(H199)))</f>
        <v>0</v>
      </c>
      <c r="N199" s="55" t="n">
        <f aca="false">L199+M199</f>
        <v>0</v>
      </c>
      <c r="O199" s="55" t="n">
        <f aca="false">ROUND(MAX(0,O198+P198-S198),2)</f>
        <v>0</v>
      </c>
      <c r="P199" s="55" t="n">
        <f aca="false">ROUND(O199*$E$7/12,2)</f>
        <v>0</v>
      </c>
      <c r="Q199" s="55" t="n">
        <f aca="false">MIN($F$7,O199+P199)</f>
        <v>0</v>
      </c>
      <c r="R199" s="55" t="n">
        <f aca="false">MAX(0,MIN(O199+P199-Q199,$D199-(H199+M199)))</f>
        <v>0</v>
      </c>
      <c r="S199" s="55" t="n">
        <f aca="false">Q199+R199</f>
        <v>0</v>
      </c>
      <c r="T199" s="55" t="n">
        <f aca="false">ROUND(MAX(0,T198+U198-X198),2)</f>
        <v>0</v>
      </c>
      <c r="U199" s="55" t="n">
        <f aca="false">ROUND(T199*$E$8/12,2)</f>
        <v>0</v>
      </c>
      <c r="V199" s="55" t="n">
        <f aca="false">MIN($F$8,T199+U199)</f>
        <v>0</v>
      </c>
      <c r="W199" s="55" t="n">
        <f aca="false">MAX(0,MIN(T199+U199-V199,$D199-(H199+M199+R199)))</f>
        <v>0</v>
      </c>
      <c r="X199" s="55" t="n">
        <f aca="false">V199+W199</f>
        <v>0</v>
      </c>
      <c r="Y199" s="55" t="n">
        <f aca="false">ROUND(MAX(0,Y198+Z198-AC198),2)</f>
        <v>0</v>
      </c>
      <c r="Z199" s="55" t="n">
        <f aca="false">ROUND(Y199*$E$9/12,2)</f>
        <v>0</v>
      </c>
      <c r="AA199" s="55" t="n">
        <f aca="false">MIN($F$9,Y199+Z199)</f>
        <v>0</v>
      </c>
      <c r="AB199" s="55" t="n">
        <f aca="false">MAX(0,MIN(Y199+Z199-AA199,$D199-(H199+M199+R199+W199)))</f>
        <v>0</v>
      </c>
      <c r="AC199" s="55" t="n">
        <f aca="false">AA199+AB199</f>
        <v>0</v>
      </c>
      <c r="AD199" s="55" t="n">
        <f aca="false">ROUND(MAX(0,AD198+AE198-AH198),2)</f>
        <v>0</v>
      </c>
      <c r="AE199" s="55" t="n">
        <f aca="false">ROUND(AD199*$E$10/12,2)</f>
        <v>0</v>
      </c>
      <c r="AF199" s="55" t="n">
        <f aca="false">MIN($F$10,AD199+AE199)</f>
        <v>0</v>
      </c>
      <c r="AG199" s="55" t="n">
        <f aca="false">MAX(0,MIN(AD199+AE199-AF199,$D199-(H199+M199+R199+W199+AB199)))</f>
        <v>0</v>
      </c>
      <c r="AH199" s="55" t="n">
        <f aca="false">AF199+AG199</f>
        <v>0</v>
      </c>
      <c r="AI199" s="55" t="n">
        <f aca="false">ROUND(MAX(0,AI198+AJ198-AM198),2)</f>
        <v>0</v>
      </c>
      <c r="AJ199" s="55" t="n">
        <f aca="false">ROUND(AI199*$E$11/12,2)</f>
        <v>0</v>
      </c>
      <c r="AK199" s="55" t="n">
        <f aca="false">MIN($F$11,AI199+AJ199)</f>
        <v>0</v>
      </c>
      <c r="AL199" s="55" t="n">
        <f aca="false">MAX(0,MIN(AI199+AJ199-AK199,$D199-(H199+M199+R199+W199+AB199+AG199)))</f>
        <v>0</v>
      </c>
      <c r="AM199" s="55" t="n">
        <f aca="false">AK199+AL199</f>
        <v>0</v>
      </c>
      <c r="AN199" s="55" t="n">
        <f aca="false">ROUND(MAX(0,AN198+AO198-AR198),2)</f>
        <v>0</v>
      </c>
      <c r="AO199" s="55" t="n">
        <f aca="false">ROUND(AN199*$E$12/12,2)</f>
        <v>0</v>
      </c>
      <c r="AP199" s="55" t="n">
        <f aca="false">MIN($F$12,AN199+AO199)</f>
        <v>0</v>
      </c>
      <c r="AQ199" s="55" t="n">
        <f aca="false">MAX(0,MIN(AN199+AO199-AP199,$D199-(H199+M199+R199+W199+AB199+AG199+AL199)))</f>
        <v>0</v>
      </c>
      <c r="AR199" s="55" t="n">
        <f aca="false">AP199+AQ199</f>
        <v>0</v>
      </c>
      <c r="AS199" s="55" t="n">
        <f aca="false">ROUND(MAX(0,AS198+AT198-AW198),2)</f>
        <v>0</v>
      </c>
      <c r="AT199" s="55" t="n">
        <f aca="false">ROUND(AS199*$E$13/12,2)</f>
        <v>0</v>
      </c>
      <c r="AU199" s="55" t="n">
        <f aca="false">MIN($F$13,AS199+AT199)</f>
        <v>0</v>
      </c>
      <c r="AV199" s="55" t="n">
        <f aca="false">MAX(0,MIN(AS199+AT199-AU199,$D199-(H199+M199+R199+W199+AB199+AG199+AL199+AQ199)))</f>
        <v>0</v>
      </c>
      <c r="AW199" s="55" t="n">
        <f aca="false">AU199+AV199</f>
        <v>0</v>
      </c>
      <c r="AX199" s="55" t="n">
        <f aca="false">ROUND(MAX(0,AX198+AY198-BB198),2)</f>
        <v>0</v>
      </c>
      <c r="AY199" s="55" t="n">
        <f aca="false">ROUND(AX199*$E$14/12,2)</f>
        <v>0</v>
      </c>
      <c r="AZ199" s="55" t="n">
        <f aca="false">MIN($F$14,AX199+AY199)</f>
        <v>0</v>
      </c>
      <c r="BA199" s="55" t="n">
        <f aca="false">MAX(0,MIN(AX199+AY199-AZ199,$D199-(H199+M199+R199+W199+AB199+AG199+AL199+AQ199+AV199)))</f>
        <v>0</v>
      </c>
      <c r="BB199" s="55" t="n">
        <f aca="false">AZ199+BA199</f>
        <v>0</v>
      </c>
      <c r="BC199" s="55" t="n">
        <f aca="false">I199+N199+S199+X199+AC199+AH199+AM199+AR199+AW199+BB199</f>
        <v>0</v>
      </c>
      <c r="BD199" s="55" t="n">
        <f aca="false">ROUND((E199+F199-I199)+(J199+K199-N199)+(O199+P199-S199)+(T199+U199-X199)+(Y199+Z199-AC199)+(AD199+AE199-AH199)+(AI199+AJ199-AM199)+(AN199+AO199-AR199)+(AS199+AT199-AW199)+(AX199+AY199-BB199),2)</f>
        <v>0</v>
      </c>
      <c r="BE199" s="25" t="str">
        <f aca="false">IF(H199&gt;0.005,$C$5,IF(M199&gt;0.005,$C$6,IF(R199&gt;0.005,$C$7,IF(W199&gt;0.005,$C$8,IF(AB199&gt;0.005,$C$9,IF(AG199&gt;0.005,$C$10,IF(AL199&gt;0.005,$C$11,IF(AQ199&gt;0.005,$C$12,IF(AV199&gt;0.005,$C$13,IF(BA199&gt;0.005,$C$14,""))))))))))</f>
        <v/>
      </c>
    </row>
    <row r="200" customFormat="false" ht="15" hidden="false" customHeight="false" outlineLevel="0" collapsed="false">
      <c r="A200" s="24" t="n">
        <v>177</v>
      </c>
      <c r="B200" s="54" t="n">
        <f aca="false">EDATE($C$17,A200-1)</f>
        <v>51683</v>
      </c>
      <c r="C200" s="55" t="n">
        <f aca="false">G200+L200+Q200+V200+AA200+AF200+AK200+AP200+AU200+AZ200</f>
        <v>0</v>
      </c>
      <c r="D200" s="55" t="n">
        <f aca="false">MAX(0,$C$16-C200)</f>
        <v>5822</v>
      </c>
      <c r="E200" s="55" t="n">
        <f aca="false">ROUND(MAX(0,E199+F199-I199),2)</f>
        <v>0</v>
      </c>
      <c r="F200" s="55" t="n">
        <f aca="false">ROUND(E200*$E$5/12,2)</f>
        <v>0</v>
      </c>
      <c r="G200" s="55" t="n">
        <f aca="false">MIN($F$5,E200+F200)</f>
        <v>0</v>
      </c>
      <c r="H200" s="55" t="n">
        <f aca="false">MAX(0,MIN(E200+F200-G200,$D200))</f>
        <v>0</v>
      </c>
      <c r="I200" s="55" t="n">
        <f aca="false">G200+H200</f>
        <v>0</v>
      </c>
      <c r="J200" s="55" t="n">
        <f aca="false">ROUND(MAX(0,J199+K199-N199),2)</f>
        <v>0</v>
      </c>
      <c r="K200" s="55" t="n">
        <f aca="false">ROUND(J200*$E$6/12,2)</f>
        <v>0</v>
      </c>
      <c r="L200" s="55" t="n">
        <f aca="false">MIN($F$6,J200+K200)</f>
        <v>0</v>
      </c>
      <c r="M200" s="55" t="n">
        <f aca="false">MAX(0,MIN(J200+K200-L200,$D200-(H200)))</f>
        <v>0</v>
      </c>
      <c r="N200" s="55" t="n">
        <f aca="false">L200+M200</f>
        <v>0</v>
      </c>
      <c r="O200" s="55" t="n">
        <f aca="false">ROUND(MAX(0,O199+P199-S199),2)</f>
        <v>0</v>
      </c>
      <c r="P200" s="55" t="n">
        <f aca="false">ROUND(O200*$E$7/12,2)</f>
        <v>0</v>
      </c>
      <c r="Q200" s="55" t="n">
        <f aca="false">MIN($F$7,O200+P200)</f>
        <v>0</v>
      </c>
      <c r="R200" s="55" t="n">
        <f aca="false">MAX(0,MIN(O200+P200-Q200,$D200-(H200+M200)))</f>
        <v>0</v>
      </c>
      <c r="S200" s="55" t="n">
        <f aca="false">Q200+R200</f>
        <v>0</v>
      </c>
      <c r="T200" s="55" t="n">
        <f aca="false">ROUND(MAX(0,T199+U199-X199),2)</f>
        <v>0</v>
      </c>
      <c r="U200" s="55" t="n">
        <f aca="false">ROUND(T200*$E$8/12,2)</f>
        <v>0</v>
      </c>
      <c r="V200" s="55" t="n">
        <f aca="false">MIN($F$8,T200+U200)</f>
        <v>0</v>
      </c>
      <c r="W200" s="55" t="n">
        <f aca="false">MAX(0,MIN(T200+U200-V200,$D200-(H200+M200+R200)))</f>
        <v>0</v>
      </c>
      <c r="X200" s="55" t="n">
        <f aca="false">V200+W200</f>
        <v>0</v>
      </c>
      <c r="Y200" s="55" t="n">
        <f aca="false">ROUND(MAX(0,Y199+Z199-AC199),2)</f>
        <v>0</v>
      </c>
      <c r="Z200" s="55" t="n">
        <f aca="false">ROUND(Y200*$E$9/12,2)</f>
        <v>0</v>
      </c>
      <c r="AA200" s="55" t="n">
        <f aca="false">MIN($F$9,Y200+Z200)</f>
        <v>0</v>
      </c>
      <c r="AB200" s="55" t="n">
        <f aca="false">MAX(0,MIN(Y200+Z200-AA200,$D200-(H200+M200+R200+W200)))</f>
        <v>0</v>
      </c>
      <c r="AC200" s="55" t="n">
        <f aca="false">AA200+AB200</f>
        <v>0</v>
      </c>
      <c r="AD200" s="55" t="n">
        <f aca="false">ROUND(MAX(0,AD199+AE199-AH199),2)</f>
        <v>0</v>
      </c>
      <c r="AE200" s="55" t="n">
        <f aca="false">ROUND(AD200*$E$10/12,2)</f>
        <v>0</v>
      </c>
      <c r="AF200" s="55" t="n">
        <f aca="false">MIN($F$10,AD200+AE200)</f>
        <v>0</v>
      </c>
      <c r="AG200" s="55" t="n">
        <f aca="false">MAX(0,MIN(AD200+AE200-AF200,$D200-(H200+M200+R200+W200+AB200)))</f>
        <v>0</v>
      </c>
      <c r="AH200" s="55" t="n">
        <f aca="false">AF200+AG200</f>
        <v>0</v>
      </c>
      <c r="AI200" s="55" t="n">
        <f aca="false">ROUND(MAX(0,AI199+AJ199-AM199),2)</f>
        <v>0</v>
      </c>
      <c r="AJ200" s="55" t="n">
        <f aca="false">ROUND(AI200*$E$11/12,2)</f>
        <v>0</v>
      </c>
      <c r="AK200" s="55" t="n">
        <f aca="false">MIN($F$11,AI200+AJ200)</f>
        <v>0</v>
      </c>
      <c r="AL200" s="55" t="n">
        <f aca="false">MAX(0,MIN(AI200+AJ200-AK200,$D200-(H200+M200+R200+W200+AB200+AG200)))</f>
        <v>0</v>
      </c>
      <c r="AM200" s="55" t="n">
        <f aca="false">AK200+AL200</f>
        <v>0</v>
      </c>
      <c r="AN200" s="55" t="n">
        <f aca="false">ROUND(MAX(0,AN199+AO199-AR199),2)</f>
        <v>0</v>
      </c>
      <c r="AO200" s="55" t="n">
        <f aca="false">ROUND(AN200*$E$12/12,2)</f>
        <v>0</v>
      </c>
      <c r="AP200" s="55" t="n">
        <f aca="false">MIN($F$12,AN200+AO200)</f>
        <v>0</v>
      </c>
      <c r="AQ200" s="55" t="n">
        <f aca="false">MAX(0,MIN(AN200+AO200-AP200,$D200-(H200+M200+R200+W200+AB200+AG200+AL200)))</f>
        <v>0</v>
      </c>
      <c r="AR200" s="55" t="n">
        <f aca="false">AP200+AQ200</f>
        <v>0</v>
      </c>
      <c r="AS200" s="55" t="n">
        <f aca="false">ROUND(MAX(0,AS199+AT199-AW199),2)</f>
        <v>0</v>
      </c>
      <c r="AT200" s="55" t="n">
        <f aca="false">ROUND(AS200*$E$13/12,2)</f>
        <v>0</v>
      </c>
      <c r="AU200" s="55" t="n">
        <f aca="false">MIN($F$13,AS200+AT200)</f>
        <v>0</v>
      </c>
      <c r="AV200" s="55" t="n">
        <f aca="false">MAX(0,MIN(AS200+AT200-AU200,$D200-(H200+M200+R200+W200+AB200+AG200+AL200+AQ200)))</f>
        <v>0</v>
      </c>
      <c r="AW200" s="55" t="n">
        <f aca="false">AU200+AV200</f>
        <v>0</v>
      </c>
      <c r="AX200" s="55" t="n">
        <f aca="false">ROUND(MAX(0,AX199+AY199-BB199),2)</f>
        <v>0</v>
      </c>
      <c r="AY200" s="55" t="n">
        <f aca="false">ROUND(AX200*$E$14/12,2)</f>
        <v>0</v>
      </c>
      <c r="AZ200" s="55" t="n">
        <f aca="false">MIN($F$14,AX200+AY200)</f>
        <v>0</v>
      </c>
      <c r="BA200" s="55" t="n">
        <f aca="false">MAX(0,MIN(AX200+AY200-AZ200,$D200-(H200+M200+R200+W200+AB200+AG200+AL200+AQ200+AV200)))</f>
        <v>0</v>
      </c>
      <c r="BB200" s="55" t="n">
        <f aca="false">AZ200+BA200</f>
        <v>0</v>
      </c>
      <c r="BC200" s="55" t="n">
        <f aca="false">I200+N200+S200+X200+AC200+AH200+AM200+AR200+AW200+BB200</f>
        <v>0</v>
      </c>
      <c r="BD200" s="55" t="n">
        <f aca="false">ROUND((E200+F200-I200)+(J200+K200-N200)+(O200+P200-S200)+(T200+U200-X200)+(Y200+Z200-AC200)+(AD200+AE200-AH200)+(AI200+AJ200-AM200)+(AN200+AO200-AR200)+(AS200+AT200-AW200)+(AX200+AY200-BB200),2)</f>
        <v>0</v>
      </c>
      <c r="BE200" s="25" t="str">
        <f aca="false">IF(H200&gt;0.005,$C$5,IF(M200&gt;0.005,$C$6,IF(R200&gt;0.005,$C$7,IF(W200&gt;0.005,$C$8,IF(AB200&gt;0.005,$C$9,IF(AG200&gt;0.005,$C$10,IF(AL200&gt;0.005,$C$11,IF(AQ200&gt;0.005,$C$12,IF(AV200&gt;0.005,$C$13,IF(BA200&gt;0.005,$C$14,""))))))))))</f>
        <v/>
      </c>
    </row>
    <row r="201" customFormat="false" ht="15" hidden="false" customHeight="false" outlineLevel="0" collapsed="false">
      <c r="A201" s="24" t="n">
        <v>178</v>
      </c>
      <c r="B201" s="54" t="n">
        <f aca="false">EDATE($C$17,A201-1)</f>
        <v>51714</v>
      </c>
      <c r="C201" s="55" t="n">
        <f aca="false">G201+L201+Q201+V201+AA201+AF201+AK201+AP201+AU201+AZ201</f>
        <v>0</v>
      </c>
      <c r="D201" s="55" t="n">
        <f aca="false">MAX(0,$C$16-C201)</f>
        <v>5822</v>
      </c>
      <c r="E201" s="55" t="n">
        <f aca="false">ROUND(MAX(0,E200+F200-I200),2)</f>
        <v>0</v>
      </c>
      <c r="F201" s="55" t="n">
        <f aca="false">ROUND(E201*$E$5/12,2)</f>
        <v>0</v>
      </c>
      <c r="G201" s="55" t="n">
        <f aca="false">MIN($F$5,E201+F201)</f>
        <v>0</v>
      </c>
      <c r="H201" s="55" t="n">
        <f aca="false">MAX(0,MIN(E201+F201-G201,$D201))</f>
        <v>0</v>
      </c>
      <c r="I201" s="55" t="n">
        <f aca="false">G201+H201</f>
        <v>0</v>
      </c>
      <c r="J201" s="55" t="n">
        <f aca="false">ROUND(MAX(0,J200+K200-N200),2)</f>
        <v>0</v>
      </c>
      <c r="K201" s="55" t="n">
        <f aca="false">ROUND(J201*$E$6/12,2)</f>
        <v>0</v>
      </c>
      <c r="L201" s="55" t="n">
        <f aca="false">MIN($F$6,J201+K201)</f>
        <v>0</v>
      </c>
      <c r="M201" s="55" t="n">
        <f aca="false">MAX(0,MIN(J201+K201-L201,$D201-(H201)))</f>
        <v>0</v>
      </c>
      <c r="N201" s="55" t="n">
        <f aca="false">L201+M201</f>
        <v>0</v>
      </c>
      <c r="O201" s="55" t="n">
        <f aca="false">ROUND(MAX(0,O200+P200-S200),2)</f>
        <v>0</v>
      </c>
      <c r="P201" s="55" t="n">
        <f aca="false">ROUND(O201*$E$7/12,2)</f>
        <v>0</v>
      </c>
      <c r="Q201" s="55" t="n">
        <f aca="false">MIN($F$7,O201+P201)</f>
        <v>0</v>
      </c>
      <c r="R201" s="55" t="n">
        <f aca="false">MAX(0,MIN(O201+P201-Q201,$D201-(H201+M201)))</f>
        <v>0</v>
      </c>
      <c r="S201" s="55" t="n">
        <f aca="false">Q201+R201</f>
        <v>0</v>
      </c>
      <c r="T201" s="55" t="n">
        <f aca="false">ROUND(MAX(0,T200+U200-X200),2)</f>
        <v>0</v>
      </c>
      <c r="U201" s="55" t="n">
        <f aca="false">ROUND(T201*$E$8/12,2)</f>
        <v>0</v>
      </c>
      <c r="V201" s="55" t="n">
        <f aca="false">MIN($F$8,T201+U201)</f>
        <v>0</v>
      </c>
      <c r="W201" s="55" t="n">
        <f aca="false">MAX(0,MIN(T201+U201-V201,$D201-(H201+M201+R201)))</f>
        <v>0</v>
      </c>
      <c r="X201" s="55" t="n">
        <f aca="false">V201+W201</f>
        <v>0</v>
      </c>
      <c r="Y201" s="55" t="n">
        <f aca="false">ROUND(MAX(0,Y200+Z200-AC200),2)</f>
        <v>0</v>
      </c>
      <c r="Z201" s="55" t="n">
        <f aca="false">ROUND(Y201*$E$9/12,2)</f>
        <v>0</v>
      </c>
      <c r="AA201" s="55" t="n">
        <f aca="false">MIN($F$9,Y201+Z201)</f>
        <v>0</v>
      </c>
      <c r="AB201" s="55" t="n">
        <f aca="false">MAX(0,MIN(Y201+Z201-AA201,$D201-(H201+M201+R201+W201)))</f>
        <v>0</v>
      </c>
      <c r="AC201" s="55" t="n">
        <f aca="false">AA201+AB201</f>
        <v>0</v>
      </c>
      <c r="AD201" s="55" t="n">
        <f aca="false">ROUND(MAX(0,AD200+AE200-AH200),2)</f>
        <v>0</v>
      </c>
      <c r="AE201" s="55" t="n">
        <f aca="false">ROUND(AD201*$E$10/12,2)</f>
        <v>0</v>
      </c>
      <c r="AF201" s="55" t="n">
        <f aca="false">MIN($F$10,AD201+AE201)</f>
        <v>0</v>
      </c>
      <c r="AG201" s="55" t="n">
        <f aca="false">MAX(0,MIN(AD201+AE201-AF201,$D201-(H201+M201+R201+W201+AB201)))</f>
        <v>0</v>
      </c>
      <c r="AH201" s="55" t="n">
        <f aca="false">AF201+AG201</f>
        <v>0</v>
      </c>
      <c r="AI201" s="55" t="n">
        <f aca="false">ROUND(MAX(0,AI200+AJ200-AM200),2)</f>
        <v>0</v>
      </c>
      <c r="AJ201" s="55" t="n">
        <f aca="false">ROUND(AI201*$E$11/12,2)</f>
        <v>0</v>
      </c>
      <c r="AK201" s="55" t="n">
        <f aca="false">MIN($F$11,AI201+AJ201)</f>
        <v>0</v>
      </c>
      <c r="AL201" s="55" t="n">
        <f aca="false">MAX(0,MIN(AI201+AJ201-AK201,$D201-(H201+M201+R201+W201+AB201+AG201)))</f>
        <v>0</v>
      </c>
      <c r="AM201" s="55" t="n">
        <f aca="false">AK201+AL201</f>
        <v>0</v>
      </c>
      <c r="AN201" s="55" t="n">
        <f aca="false">ROUND(MAX(0,AN200+AO200-AR200),2)</f>
        <v>0</v>
      </c>
      <c r="AO201" s="55" t="n">
        <f aca="false">ROUND(AN201*$E$12/12,2)</f>
        <v>0</v>
      </c>
      <c r="AP201" s="55" t="n">
        <f aca="false">MIN($F$12,AN201+AO201)</f>
        <v>0</v>
      </c>
      <c r="AQ201" s="55" t="n">
        <f aca="false">MAX(0,MIN(AN201+AO201-AP201,$D201-(H201+M201+R201+W201+AB201+AG201+AL201)))</f>
        <v>0</v>
      </c>
      <c r="AR201" s="55" t="n">
        <f aca="false">AP201+AQ201</f>
        <v>0</v>
      </c>
      <c r="AS201" s="55" t="n">
        <f aca="false">ROUND(MAX(0,AS200+AT200-AW200),2)</f>
        <v>0</v>
      </c>
      <c r="AT201" s="55" t="n">
        <f aca="false">ROUND(AS201*$E$13/12,2)</f>
        <v>0</v>
      </c>
      <c r="AU201" s="55" t="n">
        <f aca="false">MIN($F$13,AS201+AT201)</f>
        <v>0</v>
      </c>
      <c r="AV201" s="55" t="n">
        <f aca="false">MAX(0,MIN(AS201+AT201-AU201,$D201-(H201+M201+R201+W201+AB201+AG201+AL201+AQ201)))</f>
        <v>0</v>
      </c>
      <c r="AW201" s="55" t="n">
        <f aca="false">AU201+AV201</f>
        <v>0</v>
      </c>
      <c r="AX201" s="55" t="n">
        <f aca="false">ROUND(MAX(0,AX200+AY200-BB200),2)</f>
        <v>0</v>
      </c>
      <c r="AY201" s="55" t="n">
        <f aca="false">ROUND(AX201*$E$14/12,2)</f>
        <v>0</v>
      </c>
      <c r="AZ201" s="55" t="n">
        <f aca="false">MIN($F$14,AX201+AY201)</f>
        <v>0</v>
      </c>
      <c r="BA201" s="55" t="n">
        <f aca="false">MAX(0,MIN(AX201+AY201-AZ201,$D201-(H201+M201+R201+W201+AB201+AG201+AL201+AQ201+AV201)))</f>
        <v>0</v>
      </c>
      <c r="BB201" s="55" t="n">
        <f aca="false">AZ201+BA201</f>
        <v>0</v>
      </c>
      <c r="BC201" s="55" t="n">
        <f aca="false">I201+N201+S201+X201+AC201+AH201+AM201+AR201+AW201+BB201</f>
        <v>0</v>
      </c>
      <c r="BD201" s="55" t="n">
        <f aca="false">ROUND((E201+F201-I201)+(J201+K201-N201)+(O201+P201-S201)+(T201+U201-X201)+(Y201+Z201-AC201)+(AD201+AE201-AH201)+(AI201+AJ201-AM201)+(AN201+AO201-AR201)+(AS201+AT201-AW201)+(AX201+AY201-BB201),2)</f>
        <v>0</v>
      </c>
      <c r="BE201" s="25" t="str">
        <f aca="false">IF(H201&gt;0.005,$C$5,IF(M201&gt;0.005,$C$6,IF(R201&gt;0.005,$C$7,IF(W201&gt;0.005,$C$8,IF(AB201&gt;0.005,$C$9,IF(AG201&gt;0.005,$C$10,IF(AL201&gt;0.005,$C$11,IF(AQ201&gt;0.005,$C$12,IF(AV201&gt;0.005,$C$13,IF(BA201&gt;0.005,$C$14,""))))))))))</f>
        <v/>
      </c>
    </row>
    <row r="202" customFormat="false" ht="15" hidden="false" customHeight="false" outlineLevel="0" collapsed="false">
      <c r="A202" s="24" t="n">
        <v>179</v>
      </c>
      <c r="B202" s="54" t="n">
        <f aca="false">EDATE($C$17,A202-1)</f>
        <v>51745</v>
      </c>
      <c r="C202" s="55" t="n">
        <f aca="false">G202+L202+Q202+V202+AA202+AF202+AK202+AP202+AU202+AZ202</f>
        <v>0</v>
      </c>
      <c r="D202" s="55" t="n">
        <f aca="false">MAX(0,$C$16-C202)</f>
        <v>5822</v>
      </c>
      <c r="E202" s="55" t="n">
        <f aca="false">ROUND(MAX(0,E201+F201-I201),2)</f>
        <v>0</v>
      </c>
      <c r="F202" s="55" t="n">
        <f aca="false">ROUND(E202*$E$5/12,2)</f>
        <v>0</v>
      </c>
      <c r="G202" s="55" t="n">
        <f aca="false">MIN($F$5,E202+F202)</f>
        <v>0</v>
      </c>
      <c r="H202" s="55" t="n">
        <f aca="false">MAX(0,MIN(E202+F202-G202,$D202))</f>
        <v>0</v>
      </c>
      <c r="I202" s="55" t="n">
        <f aca="false">G202+H202</f>
        <v>0</v>
      </c>
      <c r="J202" s="55" t="n">
        <f aca="false">ROUND(MAX(0,J201+K201-N201),2)</f>
        <v>0</v>
      </c>
      <c r="K202" s="55" t="n">
        <f aca="false">ROUND(J202*$E$6/12,2)</f>
        <v>0</v>
      </c>
      <c r="L202" s="55" t="n">
        <f aca="false">MIN($F$6,J202+K202)</f>
        <v>0</v>
      </c>
      <c r="M202" s="55" t="n">
        <f aca="false">MAX(0,MIN(J202+K202-L202,$D202-(H202)))</f>
        <v>0</v>
      </c>
      <c r="N202" s="55" t="n">
        <f aca="false">L202+M202</f>
        <v>0</v>
      </c>
      <c r="O202" s="55" t="n">
        <f aca="false">ROUND(MAX(0,O201+P201-S201),2)</f>
        <v>0</v>
      </c>
      <c r="P202" s="55" t="n">
        <f aca="false">ROUND(O202*$E$7/12,2)</f>
        <v>0</v>
      </c>
      <c r="Q202" s="55" t="n">
        <f aca="false">MIN($F$7,O202+P202)</f>
        <v>0</v>
      </c>
      <c r="R202" s="55" t="n">
        <f aca="false">MAX(0,MIN(O202+P202-Q202,$D202-(H202+M202)))</f>
        <v>0</v>
      </c>
      <c r="S202" s="55" t="n">
        <f aca="false">Q202+R202</f>
        <v>0</v>
      </c>
      <c r="T202" s="55" t="n">
        <f aca="false">ROUND(MAX(0,T201+U201-X201),2)</f>
        <v>0</v>
      </c>
      <c r="U202" s="55" t="n">
        <f aca="false">ROUND(T202*$E$8/12,2)</f>
        <v>0</v>
      </c>
      <c r="V202" s="55" t="n">
        <f aca="false">MIN($F$8,T202+U202)</f>
        <v>0</v>
      </c>
      <c r="W202" s="55" t="n">
        <f aca="false">MAX(0,MIN(T202+U202-V202,$D202-(H202+M202+R202)))</f>
        <v>0</v>
      </c>
      <c r="X202" s="55" t="n">
        <f aca="false">V202+W202</f>
        <v>0</v>
      </c>
      <c r="Y202" s="55" t="n">
        <f aca="false">ROUND(MAX(0,Y201+Z201-AC201),2)</f>
        <v>0</v>
      </c>
      <c r="Z202" s="55" t="n">
        <f aca="false">ROUND(Y202*$E$9/12,2)</f>
        <v>0</v>
      </c>
      <c r="AA202" s="55" t="n">
        <f aca="false">MIN($F$9,Y202+Z202)</f>
        <v>0</v>
      </c>
      <c r="AB202" s="55" t="n">
        <f aca="false">MAX(0,MIN(Y202+Z202-AA202,$D202-(H202+M202+R202+W202)))</f>
        <v>0</v>
      </c>
      <c r="AC202" s="55" t="n">
        <f aca="false">AA202+AB202</f>
        <v>0</v>
      </c>
      <c r="AD202" s="55" t="n">
        <f aca="false">ROUND(MAX(0,AD201+AE201-AH201),2)</f>
        <v>0</v>
      </c>
      <c r="AE202" s="55" t="n">
        <f aca="false">ROUND(AD202*$E$10/12,2)</f>
        <v>0</v>
      </c>
      <c r="AF202" s="55" t="n">
        <f aca="false">MIN($F$10,AD202+AE202)</f>
        <v>0</v>
      </c>
      <c r="AG202" s="55" t="n">
        <f aca="false">MAX(0,MIN(AD202+AE202-AF202,$D202-(H202+M202+R202+W202+AB202)))</f>
        <v>0</v>
      </c>
      <c r="AH202" s="55" t="n">
        <f aca="false">AF202+AG202</f>
        <v>0</v>
      </c>
      <c r="AI202" s="55" t="n">
        <f aca="false">ROUND(MAX(0,AI201+AJ201-AM201),2)</f>
        <v>0</v>
      </c>
      <c r="AJ202" s="55" t="n">
        <f aca="false">ROUND(AI202*$E$11/12,2)</f>
        <v>0</v>
      </c>
      <c r="AK202" s="55" t="n">
        <f aca="false">MIN($F$11,AI202+AJ202)</f>
        <v>0</v>
      </c>
      <c r="AL202" s="55" t="n">
        <f aca="false">MAX(0,MIN(AI202+AJ202-AK202,$D202-(H202+M202+R202+W202+AB202+AG202)))</f>
        <v>0</v>
      </c>
      <c r="AM202" s="55" t="n">
        <f aca="false">AK202+AL202</f>
        <v>0</v>
      </c>
      <c r="AN202" s="55" t="n">
        <f aca="false">ROUND(MAX(0,AN201+AO201-AR201),2)</f>
        <v>0</v>
      </c>
      <c r="AO202" s="55" t="n">
        <f aca="false">ROUND(AN202*$E$12/12,2)</f>
        <v>0</v>
      </c>
      <c r="AP202" s="55" t="n">
        <f aca="false">MIN($F$12,AN202+AO202)</f>
        <v>0</v>
      </c>
      <c r="AQ202" s="55" t="n">
        <f aca="false">MAX(0,MIN(AN202+AO202-AP202,$D202-(H202+M202+R202+W202+AB202+AG202+AL202)))</f>
        <v>0</v>
      </c>
      <c r="AR202" s="55" t="n">
        <f aca="false">AP202+AQ202</f>
        <v>0</v>
      </c>
      <c r="AS202" s="55" t="n">
        <f aca="false">ROUND(MAX(0,AS201+AT201-AW201),2)</f>
        <v>0</v>
      </c>
      <c r="AT202" s="55" t="n">
        <f aca="false">ROUND(AS202*$E$13/12,2)</f>
        <v>0</v>
      </c>
      <c r="AU202" s="55" t="n">
        <f aca="false">MIN($F$13,AS202+AT202)</f>
        <v>0</v>
      </c>
      <c r="AV202" s="55" t="n">
        <f aca="false">MAX(0,MIN(AS202+AT202-AU202,$D202-(H202+M202+R202+W202+AB202+AG202+AL202+AQ202)))</f>
        <v>0</v>
      </c>
      <c r="AW202" s="55" t="n">
        <f aca="false">AU202+AV202</f>
        <v>0</v>
      </c>
      <c r="AX202" s="55" t="n">
        <f aca="false">ROUND(MAX(0,AX201+AY201-BB201),2)</f>
        <v>0</v>
      </c>
      <c r="AY202" s="55" t="n">
        <f aca="false">ROUND(AX202*$E$14/12,2)</f>
        <v>0</v>
      </c>
      <c r="AZ202" s="55" t="n">
        <f aca="false">MIN($F$14,AX202+AY202)</f>
        <v>0</v>
      </c>
      <c r="BA202" s="55" t="n">
        <f aca="false">MAX(0,MIN(AX202+AY202-AZ202,$D202-(H202+M202+R202+W202+AB202+AG202+AL202+AQ202+AV202)))</f>
        <v>0</v>
      </c>
      <c r="BB202" s="55" t="n">
        <f aca="false">AZ202+BA202</f>
        <v>0</v>
      </c>
      <c r="BC202" s="55" t="n">
        <f aca="false">I202+N202+S202+X202+AC202+AH202+AM202+AR202+AW202+BB202</f>
        <v>0</v>
      </c>
      <c r="BD202" s="55" t="n">
        <f aca="false">ROUND((E202+F202-I202)+(J202+K202-N202)+(O202+P202-S202)+(T202+U202-X202)+(Y202+Z202-AC202)+(AD202+AE202-AH202)+(AI202+AJ202-AM202)+(AN202+AO202-AR202)+(AS202+AT202-AW202)+(AX202+AY202-BB202),2)</f>
        <v>0</v>
      </c>
      <c r="BE202" s="25" t="str">
        <f aca="false">IF(H202&gt;0.005,$C$5,IF(M202&gt;0.005,$C$6,IF(R202&gt;0.005,$C$7,IF(W202&gt;0.005,$C$8,IF(AB202&gt;0.005,$C$9,IF(AG202&gt;0.005,$C$10,IF(AL202&gt;0.005,$C$11,IF(AQ202&gt;0.005,$C$12,IF(AV202&gt;0.005,$C$13,IF(BA202&gt;0.005,$C$14,""))))))))))</f>
        <v/>
      </c>
    </row>
    <row r="203" customFormat="false" ht="15" hidden="false" customHeight="false" outlineLevel="0" collapsed="false">
      <c r="A203" s="24" t="n">
        <v>180</v>
      </c>
      <c r="B203" s="54" t="n">
        <f aca="false">EDATE($C$17,A203-1)</f>
        <v>51775</v>
      </c>
      <c r="C203" s="55" t="n">
        <f aca="false">G203+L203+Q203+V203+AA203+AF203+AK203+AP203+AU203+AZ203</f>
        <v>0</v>
      </c>
      <c r="D203" s="55" t="n">
        <f aca="false">MAX(0,$C$16-C203)</f>
        <v>5822</v>
      </c>
      <c r="E203" s="55" t="n">
        <f aca="false">ROUND(MAX(0,E202+F202-I202),2)</f>
        <v>0</v>
      </c>
      <c r="F203" s="55" t="n">
        <f aca="false">ROUND(E203*$E$5/12,2)</f>
        <v>0</v>
      </c>
      <c r="G203" s="55" t="n">
        <f aca="false">MIN($F$5,E203+F203)</f>
        <v>0</v>
      </c>
      <c r="H203" s="55" t="n">
        <f aca="false">MAX(0,MIN(E203+F203-G203,$D203))</f>
        <v>0</v>
      </c>
      <c r="I203" s="55" t="n">
        <f aca="false">G203+H203</f>
        <v>0</v>
      </c>
      <c r="J203" s="55" t="n">
        <f aca="false">ROUND(MAX(0,J202+K202-N202),2)</f>
        <v>0</v>
      </c>
      <c r="K203" s="55" t="n">
        <f aca="false">ROUND(J203*$E$6/12,2)</f>
        <v>0</v>
      </c>
      <c r="L203" s="55" t="n">
        <f aca="false">MIN($F$6,J203+K203)</f>
        <v>0</v>
      </c>
      <c r="M203" s="55" t="n">
        <f aca="false">MAX(0,MIN(J203+K203-L203,$D203-(H203)))</f>
        <v>0</v>
      </c>
      <c r="N203" s="55" t="n">
        <f aca="false">L203+M203</f>
        <v>0</v>
      </c>
      <c r="O203" s="55" t="n">
        <f aca="false">ROUND(MAX(0,O202+P202-S202),2)</f>
        <v>0</v>
      </c>
      <c r="P203" s="55" t="n">
        <f aca="false">ROUND(O203*$E$7/12,2)</f>
        <v>0</v>
      </c>
      <c r="Q203" s="55" t="n">
        <f aca="false">MIN($F$7,O203+P203)</f>
        <v>0</v>
      </c>
      <c r="R203" s="55" t="n">
        <f aca="false">MAX(0,MIN(O203+P203-Q203,$D203-(H203+M203)))</f>
        <v>0</v>
      </c>
      <c r="S203" s="55" t="n">
        <f aca="false">Q203+R203</f>
        <v>0</v>
      </c>
      <c r="T203" s="55" t="n">
        <f aca="false">ROUND(MAX(0,T202+U202-X202),2)</f>
        <v>0</v>
      </c>
      <c r="U203" s="55" t="n">
        <f aca="false">ROUND(T203*$E$8/12,2)</f>
        <v>0</v>
      </c>
      <c r="V203" s="55" t="n">
        <f aca="false">MIN($F$8,T203+U203)</f>
        <v>0</v>
      </c>
      <c r="W203" s="55" t="n">
        <f aca="false">MAX(0,MIN(T203+U203-V203,$D203-(H203+M203+R203)))</f>
        <v>0</v>
      </c>
      <c r="X203" s="55" t="n">
        <f aca="false">V203+W203</f>
        <v>0</v>
      </c>
      <c r="Y203" s="55" t="n">
        <f aca="false">ROUND(MAX(0,Y202+Z202-AC202),2)</f>
        <v>0</v>
      </c>
      <c r="Z203" s="55" t="n">
        <f aca="false">ROUND(Y203*$E$9/12,2)</f>
        <v>0</v>
      </c>
      <c r="AA203" s="55" t="n">
        <f aca="false">MIN($F$9,Y203+Z203)</f>
        <v>0</v>
      </c>
      <c r="AB203" s="55" t="n">
        <f aca="false">MAX(0,MIN(Y203+Z203-AA203,$D203-(H203+M203+R203+W203)))</f>
        <v>0</v>
      </c>
      <c r="AC203" s="55" t="n">
        <f aca="false">AA203+AB203</f>
        <v>0</v>
      </c>
      <c r="AD203" s="55" t="n">
        <f aca="false">ROUND(MAX(0,AD202+AE202-AH202),2)</f>
        <v>0</v>
      </c>
      <c r="AE203" s="55" t="n">
        <f aca="false">ROUND(AD203*$E$10/12,2)</f>
        <v>0</v>
      </c>
      <c r="AF203" s="55" t="n">
        <f aca="false">MIN($F$10,AD203+AE203)</f>
        <v>0</v>
      </c>
      <c r="AG203" s="55" t="n">
        <f aca="false">MAX(0,MIN(AD203+AE203-AF203,$D203-(H203+M203+R203+W203+AB203)))</f>
        <v>0</v>
      </c>
      <c r="AH203" s="55" t="n">
        <f aca="false">AF203+AG203</f>
        <v>0</v>
      </c>
      <c r="AI203" s="55" t="n">
        <f aca="false">ROUND(MAX(0,AI202+AJ202-AM202),2)</f>
        <v>0</v>
      </c>
      <c r="AJ203" s="55" t="n">
        <f aca="false">ROUND(AI203*$E$11/12,2)</f>
        <v>0</v>
      </c>
      <c r="AK203" s="55" t="n">
        <f aca="false">MIN($F$11,AI203+AJ203)</f>
        <v>0</v>
      </c>
      <c r="AL203" s="55" t="n">
        <f aca="false">MAX(0,MIN(AI203+AJ203-AK203,$D203-(H203+M203+R203+W203+AB203+AG203)))</f>
        <v>0</v>
      </c>
      <c r="AM203" s="55" t="n">
        <f aca="false">AK203+AL203</f>
        <v>0</v>
      </c>
      <c r="AN203" s="55" t="n">
        <f aca="false">ROUND(MAX(0,AN202+AO202-AR202),2)</f>
        <v>0</v>
      </c>
      <c r="AO203" s="55" t="n">
        <f aca="false">ROUND(AN203*$E$12/12,2)</f>
        <v>0</v>
      </c>
      <c r="AP203" s="55" t="n">
        <f aca="false">MIN($F$12,AN203+AO203)</f>
        <v>0</v>
      </c>
      <c r="AQ203" s="55" t="n">
        <f aca="false">MAX(0,MIN(AN203+AO203-AP203,$D203-(H203+M203+R203+W203+AB203+AG203+AL203)))</f>
        <v>0</v>
      </c>
      <c r="AR203" s="55" t="n">
        <f aca="false">AP203+AQ203</f>
        <v>0</v>
      </c>
      <c r="AS203" s="55" t="n">
        <f aca="false">ROUND(MAX(0,AS202+AT202-AW202),2)</f>
        <v>0</v>
      </c>
      <c r="AT203" s="55" t="n">
        <f aca="false">ROUND(AS203*$E$13/12,2)</f>
        <v>0</v>
      </c>
      <c r="AU203" s="55" t="n">
        <f aca="false">MIN($F$13,AS203+AT203)</f>
        <v>0</v>
      </c>
      <c r="AV203" s="55" t="n">
        <f aca="false">MAX(0,MIN(AS203+AT203-AU203,$D203-(H203+M203+R203+W203+AB203+AG203+AL203+AQ203)))</f>
        <v>0</v>
      </c>
      <c r="AW203" s="55" t="n">
        <f aca="false">AU203+AV203</f>
        <v>0</v>
      </c>
      <c r="AX203" s="55" t="n">
        <f aca="false">ROUND(MAX(0,AX202+AY202-BB202),2)</f>
        <v>0</v>
      </c>
      <c r="AY203" s="55" t="n">
        <f aca="false">ROUND(AX203*$E$14/12,2)</f>
        <v>0</v>
      </c>
      <c r="AZ203" s="55" t="n">
        <f aca="false">MIN($F$14,AX203+AY203)</f>
        <v>0</v>
      </c>
      <c r="BA203" s="55" t="n">
        <f aca="false">MAX(0,MIN(AX203+AY203-AZ203,$D203-(H203+M203+R203+W203+AB203+AG203+AL203+AQ203+AV203)))</f>
        <v>0</v>
      </c>
      <c r="BB203" s="55" t="n">
        <f aca="false">AZ203+BA203</f>
        <v>0</v>
      </c>
      <c r="BC203" s="55" t="n">
        <f aca="false">I203+N203+S203+X203+AC203+AH203+AM203+AR203+AW203+BB203</f>
        <v>0</v>
      </c>
      <c r="BD203" s="55" t="n">
        <f aca="false">ROUND((E203+F203-I203)+(J203+K203-N203)+(O203+P203-S203)+(T203+U203-X203)+(Y203+Z203-AC203)+(AD203+AE203-AH203)+(AI203+AJ203-AM203)+(AN203+AO203-AR203)+(AS203+AT203-AW203)+(AX203+AY203-BB203),2)</f>
        <v>0</v>
      </c>
      <c r="BE203" s="25" t="str">
        <f aca="false">IF(H203&gt;0.005,$C$5,IF(M203&gt;0.005,$C$6,IF(R203&gt;0.005,$C$7,IF(W203&gt;0.005,$C$8,IF(AB203&gt;0.005,$C$9,IF(AG203&gt;0.005,$C$10,IF(AL203&gt;0.005,$C$11,IF(AQ203&gt;0.005,$C$12,IF(AV203&gt;0.005,$C$13,IF(BA203&gt;0.005,$C$14,""))))))))))</f>
        <v/>
      </c>
    </row>
    <row r="204" customFormat="false" ht="15" hidden="false" customHeight="false" outlineLevel="0" collapsed="false">
      <c r="A204" s="24" t="n">
        <v>181</v>
      </c>
      <c r="B204" s="54" t="n">
        <f aca="false">EDATE($C$17,A204-1)</f>
        <v>51806</v>
      </c>
      <c r="C204" s="55" t="n">
        <f aca="false">G204+L204+Q204+V204+AA204+AF204+AK204+AP204+AU204+AZ204</f>
        <v>0</v>
      </c>
      <c r="D204" s="55" t="n">
        <f aca="false">MAX(0,$C$16-C204)</f>
        <v>5822</v>
      </c>
      <c r="E204" s="55" t="n">
        <f aca="false">ROUND(MAX(0,E203+F203-I203),2)</f>
        <v>0</v>
      </c>
      <c r="F204" s="55" t="n">
        <f aca="false">ROUND(E204*$E$5/12,2)</f>
        <v>0</v>
      </c>
      <c r="G204" s="55" t="n">
        <f aca="false">MIN($F$5,E204+F204)</f>
        <v>0</v>
      </c>
      <c r="H204" s="55" t="n">
        <f aca="false">MAX(0,MIN(E204+F204-G204,$D204))</f>
        <v>0</v>
      </c>
      <c r="I204" s="55" t="n">
        <f aca="false">G204+H204</f>
        <v>0</v>
      </c>
      <c r="J204" s="55" t="n">
        <f aca="false">ROUND(MAX(0,J203+K203-N203),2)</f>
        <v>0</v>
      </c>
      <c r="K204" s="55" t="n">
        <f aca="false">ROUND(J204*$E$6/12,2)</f>
        <v>0</v>
      </c>
      <c r="L204" s="55" t="n">
        <f aca="false">MIN($F$6,J204+K204)</f>
        <v>0</v>
      </c>
      <c r="M204" s="55" t="n">
        <f aca="false">MAX(0,MIN(J204+K204-L204,$D204-(H204)))</f>
        <v>0</v>
      </c>
      <c r="N204" s="55" t="n">
        <f aca="false">L204+M204</f>
        <v>0</v>
      </c>
      <c r="O204" s="55" t="n">
        <f aca="false">ROUND(MAX(0,O203+P203-S203),2)</f>
        <v>0</v>
      </c>
      <c r="P204" s="55" t="n">
        <f aca="false">ROUND(O204*$E$7/12,2)</f>
        <v>0</v>
      </c>
      <c r="Q204" s="55" t="n">
        <f aca="false">MIN($F$7,O204+P204)</f>
        <v>0</v>
      </c>
      <c r="R204" s="55" t="n">
        <f aca="false">MAX(0,MIN(O204+P204-Q204,$D204-(H204+M204)))</f>
        <v>0</v>
      </c>
      <c r="S204" s="55" t="n">
        <f aca="false">Q204+R204</f>
        <v>0</v>
      </c>
      <c r="T204" s="55" t="n">
        <f aca="false">ROUND(MAX(0,T203+U203-X203),2)</f>
        <v>0</v>
      </c>
      <c r="U204" s="55" t="n">
        <f aca="false">ROUND(T204*$E$8/12,2)</f>
        <v>0</v>
      </c>
      <c r="V204" s="55" t="n">
        <f aca="false">MIN($F$8,T204+U204)</f>
        <v>0</v>
      </c>
      <c r="W204" s="55" t="n">
        <f aca="false">MAX(0,MIN(T204+U204-V204,$D204-(H204+M204+R204)))</f>
        <v>0</v>
      </c>
      <c r="X204" s="55" t="n">
        <f aca="false">V204+W204</f>
        <v>0</v>
      </c>
      <c r="Y204" s="55" t="n">
        <f aca="false">ROUND(MAX(0,Y203+Z203-AC203),2)</f>
        <v>0</v>
      </c>
      <c r="Z204" s="55" t="n">
        <f aca="false">ROUND(Y204*$E$9/12,2)</f>
        <v>0</v>
      </c>
      <c r="AA204" s="55" t="n">
        <f aca="false">MIN($F$9,Y204+Z204)</f>
        <v>0</v>
      </c>
      <c r="AB204" s="55" t="n">
        <f aca="false">MAX(0,MIN(Y204+Z204-AA204,$D204-(H204+M204+R204+W204)))</f>
        <v>0</v>
      </c>
      <c r="AC204" s="55" t="n">
        <f aca="false">AA204+AB204</f>
        <v>0</v>
      </c>
      <c r="AD204" s="55" t="n">
        <f aca="false">ROUND(MAX(0,AD203+AE203-AH203),2)</f>
        <v>0</v>
      </c>
      <c r="AE204" s="55" t="n">
        <f aca="false">ROUND(AD204*$E$10/12,2)</f>
        <v>0</v>
      </c>
      <c r="AF204" s="55" t="n">
        <f aca="false">MIN($F$10,AD204+AE204)</f>
        <v>0</v>
      </c>
      <c r="AG204" s="55" t="n">
        <f aca="false">MAX(0,MIN(AD204+AE204-AF204,$D204-(H204+M204+R204+W204+AB204)))</f>
        <v>0</v>
      </c>
      <c r="AH204" s="55" t="n">
        <f aca="false">AF204+AG204</f>
        <v>0</v>
      </c>
      <c r="AI204" s="55" t="n">
        <f aca="false">ROUND(MAX(0,AI203+AJ203-AM203),2)</f>
        <v>0</v>
      </c>
      <c r="AJ204" s="55" t="n">
        <f aca="false">ROUND(AI204*$E$11/12,2)</f>
        <v>0</v>
      </c>
      <c r="AK204" s="55" t="n">
        <f aca="false">MIN($F$11,AI204+AJ204)</f>
        <v>0</v>
      </c>
      <c r="AL204" s="55" t="n">
        <f aca="false">MAX(0,MIN(AI204+AJ204-AK204,$D204-(H204+M204+R204+W204+AB204+AG204)))</f>
        <v>0</v>
      </c>
      <c r="AM204" s="55" t="n">
        <f aca="false">AK204+AL204</f>
        <v>0</v>
      </c>
      <c r="AN204" s="55" t="n">
        <f aca="false">ROUND(MAX(0,AN203+AO203-AR203),2)</f>
        <v>0</v>
      </c>
      <c r="AO204" s="55" t="n">
        <f aca="false">ROUND(AN204*$E$12/12,2)</f>
        <v>0</v>
      </c>
      <c r="AP204" s="55" t="n">
        <f aca="false">MIN($F$12,AN204+AO204)</f>
        <v>0</v>
      </c>
      <c r="AQ204" s="55" t="n">
        <f aca="false">MAX(0,MIN(AN204+AO204-AP204,$D204-(H204+M204+R204+W204+AB204+AG204+AL204)))</f>
        <v>0</v>
      </c>
      <c r="AR204" s="55" t="n">
        <f aca="false">AP204+AQ204</f>
        <v>0</v>
      </c>
      <c r="AS204" s="55" t="n">
        <f aca="false">ROUND(MAX(0,AS203+AT203-AW203),2)</f>
        <v>0</v>
      </c>
      <c r="AT204" s="55" t="n">
        <f aca="false">ROUND(AS204*$E$13/12,2)</f>
        <v>0</v>
      </c>
      <c r="AU204" s="55" t="n">
        <f aca="false">MIN($F$13,AS204+AT204)</f>
        <v>0</v>
      </c>
      <c r="AV204" s="55" t="n">
        <f aca="false">MAX(0,MIN(AS204+AT204-AU204,$D204-(H204+M204+R204+W204+AB204+AG204+AL204+AQ204)))</f>
        <v>0</v>
      </c>
      <c r="AW204" s="55" t="n">
        <f aca="false">AU204+AV204</f>
        <v>0</v>
      </c>
      <c r="AX204" s="55" t="n">
        <f aca="false">ROUND(MAX(0,AX203+AY203-BB203),2)</f>
        <v>0</v>
      </c>
      <c r="AY204" s="55" t="n">
        <f aca="false">ROUND(AX204*$E$14/12,2)</f>
        <v>0</v>
      </c>
      <c r="AZ204" s="55" t="n">
        <f aca="false">MIN($F$14,AX204+AY204)</f>
        <v>0</v>
      </c>
      <c r="BA204" s="55" t="n">
        <f aca="false">MAX(0,MIN(AX204+AY204-AZ204,$D204-(H204+M204+R204+W204+AB204+AG204+AL204+AQ204+AV204)))</f>
        <v>0</v>
      </c>
      <c r="BB204" s="55" t="n">
        <f aca="false">AZ204+BA204</f>
        <v>0</v>
      </c>
      <c r="BC204" s="55" t="n">
        <f aca="false">I204+N204+S204+X204+AC204+AH204+AM204+AR204+AW204+BB204</f>
        <v>0</v>
      </c>
      <c r="BD204" s="55" t="n">
        <f aca="false">ROUND((E204+F204-I204)+(J204+K204-N204)+(O204+P204-S204)+(T204+U204-X204)+(Y204+Z204-AC204)+(AD204+AE204-AH204)+(AI204+AJ204-AM204)+(AN204+AO204-AR204)+(AS204+AT204-AW204)+(AX204+AY204-BB204),2)</f>
        <v>0</v>
      </c>
      <c r="BE204" s="25" t="str">
        <f aca="false">IF(H204&gt;0.005,$C$5,IF(M204&gt;0.005,$C$6,IF(R204&gt;0.005,$C$7,IF(W204&gt;0.005,$C$8,IF(AB204&gt;0.005,$C$9,IF(AG204&gt;0.005,$C$10,IF(AL204&gt;0.005,$C$11,IF(AQ204&gt;0.005,$C$12,IF(AV204&gt;0.005,$C$13,IF(BA204&gt;0.005,$C$14,""))))))))))</f>
        <v/>
      </c>
    </row>
    <row r="205" customFormat="false" ht="15" hidden="false" customHeight="false" outlineLevel="0" collapsed="false">
      <c r="A205" s="24" t="n">
        <v>182</v>
      </c>
      <c r="B205" s="54" t="n">
        <f aca="false">EDATE($C$17,A205-1)</f>
        <v>51836</v>
      </c>
      <c r="C205" s="55" t="n">
        <f aca="false">G205+L205+Q205+V205+AA205+AF205+AK205+AP205+AU205+AZ205</f>
        <v>0</v>
      </c>
      <c r="D205" s="55" t="n">
        <f aca="false">MAX(0,$C$16-C205)</f>
        <v>5822</v>
      </c>
      <c r="E205" s="55" t="n">
        <f aca="false">ROUND(MAX(0,E204+F204-I204),2)</f>
        <v>0</v>
      </c>
      <c r="F205" s="55" t="n">
        <f aca="false">ROUND(E205*$E$5/12,2)</f>
        <v>0</v>
      </c>
      <c r="G205" s="55" t="n">
        <f aca="false">MIN($F$5,E205+F205)</f>
        <v>0</v>
      </c>
      <c r="H205" s="55" t="n">
        <f aca="false">MAX(0,MIN(E205+F205-G205,$D205))</f>
        <v>0</v>
      </c>
      <c r="I205" s="55" t="n">
        <f aca="false">G205+H205</f>
        <v>0</v>
      </c>
      <c r="J205" s="55" t="n">
        <f aca="false">ROUND(MAX(0,J204+K204-N204),2)</f>
        <v>0</v>
      </c>
      <c r="K205" s="55" t="n">
        <f aca="false">ROUND(J205*$E$6/12,2)</f>
        <v>0</v>
      </c>
      <c r="L205" s="55" t="n">
        <f aca="false">MIN($F$6,J205+K205)</f>
        <v>0</v>
      </c>
      <c r="M205" s="55" t="n">
        <f aca="false">MAX(0,MIN(J205+K205-L205,$D205-(H205)))</f>
        <v>0</v>
      </c>
      <c r="N205" s="55" t="n">
        <f aca="false">L205+M205</f>
        <v>0</v>
      </c>
      <c r="O205" s="55" t="n">
        <f aca="false">ROUND(MAX(0,O204+P204-S204),2)</f>
        <v>0</v>
      </c>
      <c r="P205" s="55" t="n">
        <f aca="false">ROUND(O205*$E$7/12,2)</f>
        <v>0</v>
      </c>
      <c r="Q205" s="55" t="n">
        <f aca="false">MIN($F$7,O205+P205)</f>
        <v>0</v>
      </c>
      <c r="R205" s="55" t="n">
        <f aca="false">MAX(0,MIN(O205+P205-Q205,$D205-(H205+M205)))</f>
        <v>0</v>
      </c>
      <c r="S205" s="55" t="n">
        <f aca="false">Q205+R205</f>
        <v>0</v>
      </c>
      <c r="T205" s="55" t="n">
        <f aca="false">ROUND(MAX(0,T204+U204-X204),2)</f>
        <v>0</v>
      </c>
      <c r="U205" s="55" t="n">
        <f aca="false">ROUND(T205*$E$8/12,2)</f>
        <v>0</v>
      </c>
      <c r="V205" s="55" t="n">
        <f aca="false">MIN($F$8,T205+U205)</f>
        <v>0</v>
      </c>
      <c r="W205" s="55" t="n">
        <f aca="false">MAX(0,MIN(T205+U205-V205,$D205-(H205+M205+R205)))</f>
        <v>0</v>
      </c>
      <c r="X205" s="55" t="n">
        <f aca="false">V205+W205</f>
        <v>0</v>
      </c>
      <c r="Y205" s="55" t="n">
        <f aca="false">ROUND(MAX(0,Y204+Z204-AC204),2)</f>
        <v>0</v>
      </c>
      <c r="Z205" s="55" t="n">
        <f aca="false">ROUND(Y205*$E$9/12,2)</f>
        <v>0</v>
      </c>
      <c r="AA205" s="55" t="n">
        <f aca="false">MIN($F$9,Y205+Z205)</f>
        <v>0</v>
      </c>
      <c r="AB205" s="55" t="n">
        <f aca="false">MAX(0,MIN(Y205+Z205-AA205,$D205-(H205+M205+R205+W205)))</f>
        <v>0</v>
      </c>
      <c r="AC205" s="55" t="n">
        <f aca="false">AA205+AB205</f>
        <v>0</v>
      </c>
      <c r="AD205" s="55" t="n">
        <f aca="false">ROUND(MAX(0,AD204+AE204-AH204),2)</f>
        <v>0</v>
      </c>
      <c r="AE205" s="55" t="n">
        <f aca="false">ROUND(AD205*$E$10/12,2)</f>
        <v>0</v>
      </c>
      <c r="AF205" s="55" t="n">
        <f aca="false">MIN($F$10,AD205+AE205)</f>
        <v>0</v>
      </c>
      <c r="AG205" s="55" t="n">
        <f aca="false">MAX(0,MIN(AD205+AE205-AF205,$D205-(H205+M205+R205+W205+AB205)))</f>
        <v>0</v>
      </c>
      <c r="AH205" s="55" t="n">
        <f aca="false">AF205+AG205</f>
        <v>0</v>
      </c>
      <c r="AI205" s="55" t="n">
        <f aca="false">ROUND(MAX(0,AI204+AJ204-AM204),2)</f>
        <v>0</v>
      </c>
      <c r="AJ205" s="55" t="n">
        <f aca="false">ROUND(AI205*$E$11/12,2)</f>
        <v>0</v>
      </c>
      <c r="AK205" s="55" t="n">
        <f aca="false">MIN($F$11,AI205+AJ205)</f>
        <v>0</v>
      </c>
      <c r="AL205" s="55" t="n">
        <f aca="false">MAX(0,MIN(AI205+AJ205-AK205,$D205-(H205+M205+R205+W205+AB205+AG205)))</f>
        <v>0</v>
      </c>
      <c r="AM205" s="55" t="n">
        <f aca="false">AK205+AL205</f>
        <v>0</v>
      </c>
      <c r="AN205" s="55" t="n">
        <f aca="false">ROUND(MAX(0,AN204+AO204-AR204),2)</f>
        <v>0</v>
      </c>
      <c r="AO205" s="55" t="n">
        <f aca="false">ROUND(AN205*$E$12/12,2)</f>
        <v>0</v>
      </c>
      <c r="AP205" s="55" t="n">
        <f aca="false">MIN($F$12,AN205+AO205)</f>
        <v>0</v>
      </c>
      <c r="AQ205" s="55" t="n">
        <f aca="false">MAX(0,MIN(AN205+AO205-AP205,$D205-(H205+M205+R205+W205+AB205+AG205+AL205)))</f>
        <v>0</v>
      </c>
      <c r="AR205" s="55" t="n">
        <f aca="false">AP205+AQ205</f>
        <v>0</v>
      </c>
      <c r="AS205" s="55" t="n">
        <f aca="false">ROUND(MAX(0,AS204+AT204-AW204),2)</f>
        <v>0</v>
      </c>
      <c r="AT205" s="55" t="n">
        <f aca="false">ROUND(AS205*$E$13/12,2)</f>
        <v>0</v>
      </c>
      <c r="AU205" s="55" t="n">
        <f aca="false">MIN($F$13,AS205+AT205)</f>
        <v>0</v>
      </c>
      <c r="AV205" s="55" t="n">
        <f aca="false">MAX(0,MIN(AS205+AT205-AU205,$D205-(H205+M205+R205+W205+AB205+AG205+AL205+AQ205)))</f>
        <v>0</v>
      </c>
      <c r="AW205" s="55" t="n">
        <f aca="false">AU205+AV205</f>
        <v>0</v>
      </c>
      <c r="AX205" s="55" t="n">
        <f aca="false">ROUND(MAX(0,AX204+AY204-BB204),2)</f>
        <v>0</v>
      </c>
      <c r="AY205" s="55" t="n">
        <f aca="false">ROUND(AX205*$E$14/12,2)</f>
        <v>0</v>
      </c>
      <c r="AZ205" s="55" t="n">
        <f aca="false">MIN($F$14,AX205+AY205)</f>
        <v>0</v>
      </c>
      <c r="BA205" s="55" t="n">
        <f aca="false">MAX(0,MIN(AX205+AY205-AZ205,$D205-(H205+M205+R205+W205+AB205+AG205+AL205+AQ205+AV205)))</f>
        <v>0</v>
      </c>
      <c r="BB205" s="55" t="n">
        <f aca="false">AZ205+BA205</f>
        <v>0</v>
      </c>
      <c r="BC205" s="55" t="n">
        <f aca="false">I205+N205+S205+X205+AC205+AH205+AM205+AR205+AW205+BB205</f>
        <v>0</v>
      </c>
      <c r="BD205" s="55" t="n">
        <f aca="false">ROUND((E205+F205-I205)+(J205+K205-N205)+(O205+P205-S205)+(T205+U205-X205)+(Y205+Z205-AC205)+(AD205+AE205-AH205)+(AI205+AJ205-AM205)+(AN205+AO205-AR205)+(AS205+AT205-AW205)+(AX205+AY205-BB205),2)</f>
        <v>0</v>
      </c>
      <c r="BE205" s="25" t="str">
        <f aca="false">IF(H205&gt;0.005,$C$5,IF(M205&gt;0.005,$C$6,IF(R205&gt;0.005,$C$7,IF(W205&gt;0.005,$C$8,IF(AB205&gt;0.005,$C$9,IF(AG205&gt;0.005,$C$10,IF(AL205&gt;0.005,$C$11,IF(AQ205&gt;0.005,$C$12,IF(AV205&gt;0.005,$C$13,IF(BA205&gt;0.005,$C$14,""))))))))))</f>
        <v/>
      </c>
    </row>
    <row r="206" customFormat="false" ht="15" hidden="false" customHeight="false" outlineLevel="0" collapsed="false">
      <c r="A206" s="24" t="n">
        <v>183</v>
      </c>
      <c r="B206" s="54" t="n">
        <f aca="false">EDATE($C$17,A206-1)</f>
        <v>51867</v>
      </c>
      <c r="C206" s="55" t="n">
        <f aca="false">G206+L206+Q206+V206+AA206+AF206+AK206+AP206+AU206+AZ206</f>
        <v>0</v>
      </c>
      <c r="D206" s="55" t="n">
        <f aca="false">MAX(0,$C$16-C206)</f>
        <v>5822</v>
      </c>
      <c r="E206" s="55" t="n">
        <f aca="false">ROUND(MAX(0,E205+F205-I205),2)</f>
        <v>0</v>
      </c>
      <c r="F206" s="55" t="n">
        <f aca="false">ROUND(E206*$E$5/12,2)</f>
        <v>0</v>
      </c>
      <c r="G206" s="55" t="n">
        <f aca="false">MIN($F$5,E206+F206)</f>
        <v>0</v>
      </c>
      <c r="H206" s="55" t="n">
        <f aca="false">MAX(0,MIN(E206+F206-G206,$D206))</f>
        <v>0</v>
      </c>
      <c r="I206" s="55" t="n">
        <f aca="false">G206+H206</f>
        <v>0</v>
      </c>
      <c r="J206" s="55" t="n">
        <f aca="false">ROUND(MAX(0,J205+K205-N205),2)</f>
        <v>0</v>
      </c>
      <c r="K206" s="55" t="n">
        <f aca="false">ROUND(J206*$E$6/12,2)</f>
        <v>0</v>
      </c>
      <c r="L206" s="55" t="n">
        <f aca="false">MIN($F$6,J206+K206)</f>
        <v>0</v>
      </c>
      <c r="M206" s="55" t="n">
        <f aca="false">MAX(0,MIN(J206+K206-L206,$D206-(H206)))</f>
        <v>0</v>
      </c>
      <c r="N206" s="55" t="n">
        <f aca="false">L206+M206</f>
        <v>0</v>
      </c>
      <c r="O206" s="55" t="n">
        <f aca="false">ROUND(MAX(0,O205+P205-S205),2)</f>
        <v>0</v>
      </c>
      <c r="P206" s="55" t="n">
        <f aca="false">ROUND(O206*$E$7/12,2)</f>
        <v>0</v>
      </c>
      <c r="Q206" s="55" t="n">
        <f aca="false">MIN($F$7,O206+P206)</f>
        <v>0</v>
      </c>
      <c r="R206" s="55" t="n">
        <f aca="false">MAX(0,MIN(O206+P206-Q206,$D206-(H206+M206)))</f>
        <v>0</v>
      </c>
      <c r="S206" s="55" t="n">
        <f aca="false">Q206+R206</f>
        <v>0</v>
      </c>
      <c r="T206" s="55" t="n">
        <f aca="false">ROUND(MAX(0,T205+U205-X205),2)</f>
        <v>0</v>
      </c>
      <c r="U206" s="55" t="n">
        <f aca="false">ROUND(T206*$E$8/12,2)</f>
        <v>0</v>
      </c>
      <c r="V206" s="55" t="n">
        <f aca="false">MIN($F$8,T206+U206)</f>
        <v>0</v>
      </c>
      <c r="W206" s="55" t="n">
        <f aca="false">MAX(0,MIN(T206+U206-V206,$D206-(H206+M206+R206)))</f>
        <v>0</v>
      </c>
      <c r="X206" s="55" t="n">
        <f aca="false">V206+W206</f>
        <v>0</v>
      </c>
      <c r="Y206" s="55" t="n">
        <f aca="false">ROUND(MAX(0,Y205+Z205-AC205),2)</f>
        <v>0</v>
      </c>
      <c r="Z206" s="55" t="n">
        <f aca="false">ROUND(Y206*$E$9/12,2)</f>
        <v>0</v>
      </c>
      <c r="AA206" s="55" t="n">
        <f aca="false">MIN($F$9,Y206+Z206)</f>
        <v>0</v>
      </c>
      <c r="AB206" s="55" t="n">
        <f aca="false">MAX(0,MIN(Y206+Z206-AA206,$D206-(H206+M206+R206+W206)))</f>
        <v>0</v>
      </c>
      <c r="AC206" s="55" t="n">
        <f aca="false">AA206+AB206</f>
        <v>0</v>
      </c>
      <c r="AD206" s="55" t="n">
        <f aca="false">ROUND(MAX(0,AD205+AE205-AH205),2)</f>
        <v>0</v>
      </c>
      <c r="AE206" s="55" t="n">
        <f aca="false">ROUND(AD206*$E$10/12,2)</f>
        <v>0</v>
      </c>
      <c r="AF206" s="55" t="n">
        <f aca="false">MIN($F$10,AD206+AE206)</f>
        <v>0</v>
      </c>
      <c r="AG206" s="55" t="n">
        <f aca="false">MAX(0,MIN(AD206+AE206-AF206,$D206-(H206+M206+R206+W206+AB206)))</f>
        <v>0</v>
      </c>
      <c r="AH206" s="55" t="n">
        <f aca="false">AF206+AG206</f>
        <v>0</v>
      </c>
      <c r="AI206" s="55" t="n">
        <f aca="false">ROUND(MAX(0,AI205+AJ205-AM205),2)</f>
        <v>0</v>
      </c>
      <c r="AJ206" s="55" t="n">
        <f aca="false">ROUND(AI206*$E$11/12,2)</f>
        <v>0</v>
      </c>
      <c r="AK206" s="55" t="n">
        <f aca="false">MIN($F$11,AI206+AJ206)</f>
        <v>0</v>
      </c>
      <c r="AL206" s="55" t="n">
        <f aca="false">MAX(0,MIN(AI206+AJ206-AK206,$D206-(H206+M206+R206+W206+AB206+AG206)))</f>
        <v>0</v>
      </c>
      <c r="AM206" s="55" t="n">
        <f aca="false">AK206+AL206</f>
        <v>0</v>
      </c>
      <c r="AN206" s="55" t="n">
        <f aca="false">ROUND(MAX(0,AN205+AO205-AR205),2)</f>
        <v>0</v>
      </c>
      <c r="AO206" s="55" t="n">
        <f aca="false">ROUND(AN206*$E$12/12,2)</f>
        <v>0</v>
      </c>
      <c r="AP206" s="55" t="n">
        <f aca="false">MIN($F$12,AN206+AO206)</f>
        <v>0</v>
      </c>
      <c r="AQ206" s="55" t="n">
        <f aca="false">MAX(0,MIN(AN206+AO206-AP206,$D206-(H206+M206+R206+W206+AB206+AG206+AL206)))</f>
        <v>0</v>
      </c>
      <c r="AR206" s="55" t="n">
        <f aca="false">AP206+AQ206</f>
        <v>0</v>
      </c>
      <c r="AS206" s="55" t="n">
        <f aca="false">ROUND(MAX(0,AS205+AT205-AW205),2)</f>
        <v>0</v>
      </c>
      <c r="AT206" s="55" t="n">
        <f aca="false">ROUND(AS206*$E$13/12,2)</f>
        <v>0</v>
      </c>
      <c r="AU206" s="55" t="n">
        <f aca="false">MIN($F$13,AS206+AT206)</f>
        <v>0</v>
      </c>
      <c r="AV206" s="55" t="n">
        <f aca="false">MAX(0,MIN(AS206+AT206-AU206,$D206-(H206+M206+R206+W206+AB206+AG206+AL206+AQ206)))</f>
        <v>0</v>
      </c>
      <c r="AW206" s="55" t="n">
        <f aca="false">AU206+AV206</f>
        <v>0</v>
      </c>
      <c r="AX206" s="55" t="n">
        <f aca="false">ROUND(MAX(0,AX205+AY205-BB205),2)</f>
        <v>0</v>
      </c>
      <c r="AY206" s="55" t="n">
        <f aca="false">ROUND(AX206*$E$14/12,2)</f>
        <v>0</v>
      </c>
      <c r="AZ206" s="55" t="n">
        <f aca="false">MIN($F$14,AX206+AY206)</f>
        <v>0</v>
      </c>
      <c r="BA206" s="55" t="n">
        <f aca="false">MAX(0,MIN(AX206+AY206-AZ206,$D206-(H206+M206+R206+W206+AB206+AG206+AL206+AQ206+AV206)))</f>
        <v>0</v>
      </c>
      <c r="BB206" s="55" t="n">
        <f aca="false">AZ206+BA206</f>
        <v>0</v>
      </c>
      <c r="BC206" s="55" t="n">
        <f aca="false">I206+N206+S206+X206+AC206+AH206+AM206+AR206+AW206+BB206</f>
        <v>0</v>
      </c>
      <c r="BD206" s="55" t="n">
        <f aca="false">ROUND((E206+F206-I206)+(J206+K206-N206)+(O206+P206-S206)+(T206+U206-X206)+(Y206+Z206-AC206)+(AD206+AE206-AH206)+(AI206+AJ206-AM206)+(AN206+AO206-AR206)+(AS206+AT206-AW206)+(AX206+AY206-BB206),2)</f>
        <v>0</v>
      </c>
      <c r="BE206" s="25" t="str">
        <f aca="false">IF(H206&gt;0.005,$C$5,IF(M206&gt;0.005,$C$6,IF(R206&gt;0.005,$C$7,IF(W206&gt;0.005,$C$8,IF(AB206&gt;0.005,$C$9,IF(AG206&gt;0.005,$C$10,IF(AL206&gt;0.005,$C$11,IF(AQ206&gt;0.005,$C$12,IF(AV206&gt;0.005,$C$13,IF(BA206&gt;0.005,$C$14,""))))))))))</f>
        <v/>
      </c>
    </row>
    <row r="207" customFormat="false" ht="15" hidden="false" customHeight="false" outlineLevel="0" collapsed="false">
      <c r="A207" s="24" t="n">
        <v>184</v>
      </c>
      <c r="B207" s="54" t="n">
        <f aca="false">EDATE($C$17,A207-1)</f>
        <v>51898</v>
      </c>
      <c r="C207" s="55" t="n">
        <f aca="false">G207+L207+Q207+V207+AA207+AF207+AK207+AP207+AU207+AZ207</f>
        <v>0</v>
      </c>
      <c r="D207" s="55" t="n">
        <f aca="false">MAX(0,$C$16-C207)</f>
        <v>5822</v>
      </c>
      <c r="E207" s="55" t="n">
        <f aca="false">ROUND(MAX(0,E206+F206-I206),2)</f>
        <v>0</v>
      </c>
      <c r="F207" s="55" t="n">
        <f aca="false">ROUND(E207*$E$5/12,2)</f>
        <v>0</v>
      </c>
      <c r="G207" s="55" t="n">
        <f aca="false">MIN($F$5,E207+F207)</f>
        <v>0</v>
      </c>
      <c r="H207" s="55" t="n">
        <f aca="false">MAX(0,MIN(E207+F207-G207,$D207))</f>
        <v>0</v>
      </c>
      <c r="I207" s="55" t="n">
        <f aca="false">G207+H207</f>
        <v>0</v>
      </c>
      <c r="J207" s="55" t="n">
        <f aca="false">ROUND(MAX(0,J206+K206-N206),2)</f>
        <v>0</v>
      </c>
      <c r="K207" s="55" t="n">
        <f aca="false">ROUND(J207*$E$6/12,2)</f>
        <v>0</v>
      </c>
      <c r="L207" s="55" t="n">
        <f aca="false">MIN($F$6,J207+K207)</f>
        <v>0</v>
      </c>
      <c r="M207" s="55" t="n">
        <f aca="false">MAX(0,MIN(J207+K207-L207,$D207-(H207)))</f>
        <v>0</v>
      </c>
      <c r="N207" s="55" t="n">
        <f aca="false">L207+M207</f>
        <v>0</v>
      </c>
      <c r="O207" s="55" t="n">
        <f aca="false">ROUND(MAX(0,O206+P206-S206),2)</f>
        <v>0</v>
      </c>
      <c r="P207" s="55" t="n">
        <f aca="false">ROUND(O207*$E$7/12,2)</f>
        <v>0</v>
      </c>
      <c r="Q207" s="55" t="n">
        <f aca="false">MIN($F$7,O207+P207)</f>
        <v>0</v>
      </c>
      <c r="R207" s="55" t="n">
        <f aca="false">MAX(0,MIN(O207+P207-Q207,$D207-(H207+M207)))</f>
        <v>0</v>
      </c>
      <c r="S207" s="55" t="n">
        <f aca="false">Q207+R207</f>
        <v>0</v>
      </c>
      <c r="T207" s="55" t="n">
        <f aca="false">ROUND(MAX(0,T206+U206-X206),2)</f>
        <v>0</v>
      </c>
      <c r="U207" s="55" t="n">
        <f aca="false">ROUND(T207*$E$8/12,2)</f>
        <v>0</v>
      </c>
      <c r="V207" s="55" t="n">
        <f aca="false">MIN($F$8,T207+U207)</f>
        <v>0</v>
      </c>
      <c r="W207" s="55" t="n">
        <f aca="false">MAX(0,MIN(T207+U207-V207,$D207-(H207+M207+R207)))</f>
        <v>0</v>
      </c>
      <c r="X207" s="55" t="n">
        <f aca="false">V207+W207</f>
        <v>0</v>
      </c>
      <c r="Y207" s="55" t="n">
        <f aca="false">ROUND(MAX(0,Y206+Z206-AC206),2)</f>
        <v>0</v>
      </c>
      <c r="Z207" s="55" t="n">
        <f aca="false">ROUND(Y207*$E$9/12,2)</f>
        <v>0</v>
      </c>
      <c r="AA207" s="55" t="n">
        <f aca="false">MIN($F$9,Y207+Z207)</f>
        <v>0</v>
      </c>
      <c r="AB207" s="55" t="n">
        <f aca="false">MAX(0,MIN(Y207+Z207-AA207,$D207-(H207+M207+R207+W207)))</f>
        <v>0</v>
      </c>
      <c r="AC207" s="55" t="n">
        <f aca="false">AA207+AB207</f>
        <v>0</v>
      </c>
      <c r="AD207" s="55" t="n">
        <f aca="false">ROUND(MAX(0,AD206+AE206-AH206),2)</f>
        <v>0</v>
      </c>
      <c r="AE207" s="55" t="n">
        <f aca="false">ROUND(AD207*$E$10/12,2)</f>
        <v>0</v>
      </c>
      <c r="AF207" s="55" t="n">
        <f aca="false">MIN($F$10,AD207+AE207)</f>
        <v>0</v>
      </c>
      <c r="AG207" s="55" t="n">
        <f aca="false">MAX(0,MIN(AD207+AE207-AF207,$D207-(H207+M207+R207+W207+AB207)))</f>
        <v>0</v>
      </c>
      <c r="AH207" s="55" t="n">
        <f aca="false">AF207+AG207</f>
        <v>0</v>
      </c>
      <c r="AI207" s="55" t="n">
        <f aca="false">ROUND(MAX(0,AI206+AJ206-AM206),2)</f>
        <v>0</v>
      </c>
      <c r="AJ207" s="55" t="n">
        <f aca="false">ROUND(AI207*$E$11/12,2)</f>
        <v>0</v>
      </c>
      <c r="AK207" s="55" t="n">
        <f aca="false">MIN($F$11,AI207+AJ207)</f>
        <v>0</v>
      </c>
      <c r="AL207" s="55" t="n">
        <f aca="false">MAX(0,MIN(AI207+AJ207-AK207,$D207-(H207+M207+R207+W207+AB207+AG207)))</f>
        <v>0</v>
      </c>
      <c r="AM207" s="55" t="n">
        <f aca="false">AK207+AL207</f>
        <v>0</v>
      </c>
      <c r="AN207" s="55" t="n">
        <f aca="false">ROUND(MAX(0,AN206+AO206-AR206),2)</f>
        <v>0</v>
      </c>
      <c r="AO207" s="55" t="n">
        <f aca="false">ROUND(AN207*$E$12/12,2)</f>
        <v>0</v>
      </c>
      <c r="AP207" s="55" t="n">
        <f aca="false">MIN($F$12,AN207+AO207)</f>
        <v>0</v>
      </c>
      <c r="AQ207" s="55" t="n">
        <f aca="false">MAX(0,MIN(AN207+AO207-AP207,$D207-(H207+M207+R207+W207+AB207+AG207+AL207)))</f>
        <v>0</v>
      </c>
      <c r="AR207" s="55" t="n">
        <f aca="false">AP207+AQ207</f>
        <v>0</v>
      </c>
      <c r="AS207" s="55" t="n">
        <f aca="false">ROUND(MAX(0,AS206+AT206-AW206),2)</f>
        <v>0</v>
      </c>
      <c r="AT207" s="55" t="n">
        <f aca="false">ROUND(AS207*$E$13/12,2)</f>
        <v>0</v>
      </c>
      <c r="AU207" s="55" t="n">
        <f aca="false">MIN($F$13,AS207+AT207)</f>
        <v>0</v>
      </c>
      <c r="AV207" s="55" t="n">
        <f aca="false">MAX(0,MIN(AS207+AT207-AU207,$D207-(H207+M207+R207+W207+AB207+AG207+AL207+AQ207)))</f>
        <v>0</v>
      </c>
      <c r="AW207" s="55" t="n">
        <f aca="false">AU207+AV207</f>
        <v>0</v>
      </c>
      <c r="AX207" s="55" t="n">
        <f aca="false">ROUND(MAX(0,AX206+AY206-BB206),2)</f>
        <v>0</v>
      </c>
      <c r="AY207" s="55" t="n">
        <f aca="false">ROUND(AX207*$E$14/12,2)</f>
        <v>0</v>
      </c>
      <c r="AZ207" s="55" t="n">
        <f aca="false">MIN($F$14,AX207+AY207)</f>
        <v>0</v>
      </c>
      <c r="BA207" s="55" t="n">
        <f aca="false">MAX(0,MIN(AX207+AY207-AZ207,$D207-(H207+M207+R207+W207+AB207+AG207+AL207+AQ207+AV207)))</f>
        <v>0</v>
      </c>
      <c r="BB207" s="55" t="n">
        <f aca="false">AZ207+BA207</f>
        <v>0</v>
      </c>
      <c r="BC207" s="55" t="n">
        <f aca="false">I207+N207+S207+X207+AC207+AH207+AM207+AR207+AW207+BB207</f>
        <v>0</v>
      </c>
      <c r="BD207" s="55" t="n">
        <f aca="false">ROUND((E207+F207-I207)+(J207+K207-N207)+(O207+P207-S207)+(T207+U207-X207)+(Y207+Z207-AC207)+(AD207+AE207-AH207)+(AI207+AJ207-AM207)+(AN207+AO207-AR207)+(AS207+AT207-AW207)+(AX207+AY207-BB207),2)</f>
        <v>0</v>
      </c>
      <c r="BE207" s="25" t="str">
        <f aca="false">IF(H207&gt;0.005,$C$5,IF(M207&gt;0.005,$C$6,IF(R207&gt;0.005,$C$7,IF(W207&gt;0.005,$C$8,IF(AB207&gt;0.005,$C$9,IF(AG207&gt;0.005,$C$10,IF(AL207&gt;0.005,$C$11,IF(AQ207&gt;0.005,$C$12,IF(AV207&gt;0.005,$C$13,IF(BA207&gt;0.005,$C$14,""))))))))))</f>
        <v/>
      </c>
    </row>
    <row r="208" customFormat="false" ht="15" hidden="false" customHeight="false" outlineLevel="0" collapsed="false">
      <c r="A208" s="24" t="n">
        <v>185</v>
      </c>
      <c r="B208" s="54" t="n">
        <f aca="false">EDATE($C$17,A208-1)</f>
        <v>51926</v>
      </c>
      <c r="C208" s="55" t="n">
        <f aca="false">G208+L208+Q208+V208+AA208+AF208+AK208+AP208+AU208+AZ208</f>
        <v>0</v>
      </c>
      <c r="D208" s="55" t="n">
        <f aca="false">MAX(0,$C$16-C208)</f>
        <v>5822</v>
      </c>
      <c r="E208" s="55" t="n">
        <f aca="false">ROUND(MAX(0,E207+F207-I207),2)</f>
        <v>0</v>
      </c>
      <c r="F208" s="55" t="n">
        <f aca="false">ROUND(E208*$E$5/12,2)</f>
        <v>0</v>
      </c>
      <c r="G208" s="55" t="n">
        <f aca="false">MIN($F$5,E208+F208)</f>
        <v>0</v>
      </c>
      <c r="H208" s="55" t="n">
        <f aca="false">MAX(0,MIN(E208+F208-G208,$D208))</f>
        <v>0</v>
      </c>
      <c r="I208" s="55" t="n">
        <f aca="false">G208+H208</f>
        <v>0</v>
      </c>
      <c r="J208" s="55" t="n">
        <f aca="false">ROUND(MAX(0,J207+K207-N207),2)</f>
        <v>0</v>
      </c>
      <c r="K208" s="55" t="n">
        <f aca="false">ROUND(J208*$E$6/12,2)</f>
        <v>0</v>
      </c>
      <c r="L208" s="55" t="n">
        <f aca="false">MIN($F$6,J208+K208)</f>
        <v>0</v>
      </c>
      <c r="M208" s="55" t="n">
        <f aca="false">MAX(0,MIN(J208+K208-L208,$D208-(H208)))</f>
        <v>0</v>
      </c>
      <c r="N208" s="55" t="n">
        <f aca="false">L208+M208</f>
        <v>0</v>
      </c>
      <c r="O208" s="55" t="n">
        <f aca="false">ROUND(MAX(0,O207+P207-S207),2)</f>
        <v>0</v>
      </c>
      <c r="P208" s="55" t="n">
        <f aca="false">ROUND(O208*$E$7/12,2)</f>
        <v>0</v>
      </c>
      <c r="Q208" s="55" t="n">
        <f aca="false">MIN($F$7,O208+P208)</f>
        <v>0</v>
      </c>
      <c r="R208" s="55" t="n">
        <f aca="false">MAX(0,MIN(O208+P208-Q208,$D208-(H208+M208)))</f>
        <v>0</v>
      </c>
      <c r="S208" s="55" t="n">
        <f aca="false">Q208+R208</f>
        <v>0</v>
      </c>
      <c r="T208" s="55" t="n">
        <f aca="false">ROUND(MAX(0,T207+U207-X207),2)</f>
        <v>0</v>
      </c>
      <c r="U208" s="55" t="n">
        <f aca="false">ROUND(T208*$E$8/12,2)</f>
        <v>0</v>
      </c>
      <c r="V208" s="55" t="n">
        <f aca="false">MIN($F$8,T208+U208)</f>
        <v>0</v>
      </c>
      <c r="W208" s="55" t="n">
        <f aca="false">MAX(0,MIN(T208+U208-V208,$D208-(H208+M208+R208)))</f>
        <v>0</v>
      </c>
      <c r="X208" s="55" t="n">
        <f aca="false">V208+W208</f>
        <v>0</v>
      </c>
      <c r="Y208" s="55" t="n">
        <f aca="false">ROUND(MAX(0,Y207+Z207-AC207),2)</f>
        <v>0</v>
      </c>
      <c r="Z208" s="55" t="n">
        <f aca="false">ROUND(Y208*$E$9/12,2)</f>
        <v>0</v>
      </c>
      <c r="AA208" s="55" t="n">
        <f aca="false">MIN($F$9,Y208+Z208)</f>
        <v>0</v>
      </c>
      <c r="AB208" s="55" t="n">
        <f aca="false">MAX(0,MIN(Y208+Z208-AA208,$D208-(H208+M208+R208+W208)))</f>
        <v>0</v>
      </c>
      <c r="AC208" s="55" t="n">
        <f aca="false">AA208+AB208</f>
        <v>0</v>
      </c>
      <c r="AD208" s="55" t="n">
        <f aca="false">ROUND(MAX(0,AD207+AE207-AH207),2)</f>
        <v>0</v>
      </c>
      <c r="AE208" s="55" t="n">
        <f aca="false">ROUND(AD208*$E$10/12,2)</f>
        <v>0</v>
      </c>
      <c r="AF208" s="55" t="n">
        <f aca="false">MIN($F$10,AD208+AE208)</f>
        <v>0</v>
      </c>
      <c r="AG208" s="55" t="n">
        <f aca="false">MAX(0,MIN(AD208+AE208-AF208,$D208-(H208+M208+R208+W208+AB208)))</f>
        <v>0</v>
      </c>
      <c r="AH208" s="55" t="n">
        <f aca="false">AF208+AG208</f>
        <v>0</v>
      </c>
      <c r="AI208" s="55" t="n">
        <f aca="false">ROUND(MAX(0,AI207+AJ207-AM207),2)</f>
        <v>0</v>
      </c>
      <c r="AJ208" s="55" t="n">
        <f aca="false">ROUND(AI208*$E$11/12,2)</f>
        <v>0</v>
      </c>
      <c r="AK208" s="55" t="n">
        <f aca="false">MIN($F$11,AI208+AJ208)</f>
        <v>0</v>
      </c>
      <c r="AL208" s="55" t="n">
        <f aca="false">MAX(0,MIN(AI208+AJ208-AK208,$D208-(H208+M208+R208+W208+AB208+AG208)))</f>
        <v>0</v>
      </c>
      <c r="AM208" s="55" t="n">
        <f aca="false">AK208+AL208</f>
        <v>0</v>
      </c>
      <c r="AN208" s="55" t="n">
        <f aca="false">ROUND(MAX(0,AN207+AO207-AR207),2)</f>
        <v>0</v>
      </c>
      <c r="AO208" s="55" t="n">
        <f aca="false">ROUND(AN208*$E$12/12,2)</f>
        <v>0</v>
      </c>
      <c r="AP208" s="55" t="n">
        <f aca="false">MIN($F$12,AN208+AO208)</f>
        <v>0</v>
      </c>
      <c r="AQ208" s="55" t="n">
        <f aca="false">MAX(0,MIN(AN208+AO208-AP208,$D208-(H208+M208+R208+W208+AB208+AG208+AL208)))</f>
        <v>0</v>
      </c>
      <c r="AR208" s="55" t="n">
        <f aca="false">AP208+AQ208</f>
        <v>0</v>
      </c>
      <c r="AS208" s="55" t="n">
        <f aca="false">ROUND(MAX(0,AS207+AT207-AW207),2)</f>
        <v>0</v>
      </c>
      <c r="AT208" s="55" t="n">
        <f aca="false">ROUND(AS208*$E$13/12,2)</f>
        <v>0</v>
      </c>
      <c r="AU208" s="55" t="n">
        <f aca="false">MIN($F$13,AS208+AT208)</f>
        <v>0</v>
      </c>
      <c r="AV208" s="55" t="n">
        <f aca="false">MAX(0,MIN(AS208+AT208-AU208,$D208-(H208+M208+R208+W208+AB208+AG208+AL208+AQ208)))</f>
        <v>0</v>
      </c>
      <c r="AW208" s="55" t="n">
        <f aca="false">AU208+AV208</f>
        <v>0</v>
      </c>
      <c r="AX208" s="55" t="n">
        <f aca="false">ROUND(MAX(0,AX207+AY207-BB207),2)</f>
        <v>0</v>
      </c>
      <c r="AY208" s="55" t="n">
        <f aca="false">ROUND(AX208*$E$14/12,2)</f>
        <v>0</v>
      </c>
      <c r="AZ208" s="55" t="n">
        <f aca="false">MIN($F$14,AX208+AY208)</f>
        <v>0</v>
      </c>
      <c r="BA208" s="55" t="n">
        <f aca="false">MAX(0,MIN(AX208+AY208-AZ208,$D208-(H208+M208+R208+W208+AB208+AG208+AL208+AQ208+AV208)))</f>
        <v>0</v>
      </c>
      <c r="BB208" s="55" t="n">
        <f aca="false">AZ208+BA208</f>
        <v>0</v>
      </c>
      <c r="BC208" s="55" t="n">
        <f aca="false">I208+N208+S208+X208+AC208+AH208+AM208+AR208+AW208+BB208</f>
        <v>0</v>
      </c>
      <c r="BD208" s="55" t="n">
        <f aca="false">ROUND((E208+F208-I208)+(J208+K208-N208)+(O208+P208-S208)+(T208+U208-X208)+(Y208+Z208-AC208)+(AD208+AE208-AH208)+(AI208+AJ208-AM208)+(AN208+AO208-AR208)+(AS208+AT208-AW208)+(AX208+AY208-BB208),2)</f>
        <v>0</v>
      </c>
      <c r="BE208" s="25" t="str">
        <f aca="false">IF(H208&gt;0.005,$C$5,IF(M208&gt;0.005,$C$6,IF(R208&gt;0.005,$C$7,IF(W208&gt;0.005,$C$8,IF(AB208&gt;0.005,$C$9,IF(AG208&gt;0.005,$C$10,IF(AL208&gt;0.005,$C$11,IF(AQ208&gt;0.005,$C$12,IF(AV208&gt;0.005,$C$13,IF(BA208&gt;0.005,$C$14,""))))))))))</f>
        <v/>
      </c>
    </row>
    <row r="209" customFormat="false" ht="15" hidden="false" customHeight="false" outlineLevel="0" collapsed="false">
      <c r="A209" s="24" t="n">
        <v>186</v>
      </c>
      <c r="B209" s="54" t="n">
        <f aca="false">EDATE($C$17,A209-1)</f>
        <v>51957</v>
      </c>
      <c r="C209" s="55" t="n">
        <f aca="false">G209+L209+Q209+V209+AA209+AF209+AK209+AP209+AU209+AZ209</f>
        <v>0</v>
      </c>
      <c r="D209" s="55" t="n">
        <f aca="false">MAX(0,$C$16-C209)</f>
        <v>5822</v>
      </c>
      <c r="E209" s="55" t="n">
        <f aca="false">ROUND(MAX(0,E208+F208-I208),2)</f>
        <v>0</v>
      </c>
      <c r="F209" s="55" t="n">
        <f aca="false">ROUND(E209*$E$5/12,2)</f>
        <v>0</v>
      </c>
      <c r="G209" s="55" t="n">
        <f aca="false">MIN($F$5,E209+F209)</f>
        <v>0</v>
      </c>
      <c r="H209" s="55" t="n">
        <f aca="false">MAX(0,MIN(E209+F209-G209,$D209))</f>
        <v>0</v>
      </c>
      <c r="I209" s="55" t="n">
        <f aca="false">G209+H209</f>
        <v>0</v>
      </c>
      <c r="J209" s="55" t="n">
        <f aca="false">ROUND(MAX(0,J208+K208-N208),2)</f>
        <v>0</v>
      </c>
      <c r="K209" s="55" t="n">
        <f aca="false">ROUND(J209*$E$6/12,2)</f>
        <v>0</v>
      </c>
      <c r="L209" s="55" t="n">
        <f aca="false">MIN($F$6,J209+K209)</f>
        <v>0</v>
      </c>
      <c r="M209" s="55" t="n">
        <f aca="false">MAX(0,MIN(J209+K209-L209,$D209-(H209)))</f>
        <v>0</v>
      </c>
      <c r="N209" s="55" t="n">
        <f aca="false">L209+M209</f>
        <v>0</v>
      </c>
      <c r="O209" s="55" t="n">
        <f aca="false">ROUND(MAX(0,O208+P208-S208),2)</f>
        <v>0</v>
      </c>
      <c r="P209" s="55" t="n">
        <f aca="false">ROUND(O209*$E$7/12,2)</f>
        <v>0</v>
      </c>
      <c r="Q209" s="55" t="n">
        <f aca="false">MIN($F$7,O209+P209)</f>
        <v>0</v>
      </c>
      <c r="R209" s="55" t="n">
        <f aca="false">MAX(0,MIN(O209+P209-Q209,$D209-(H209+M209)))</f>
        <v>0</v>
      </c>
      <c r="S209" s="55" t="n">
        <f aca="false">Q209+R209</f>
        <v>0</v>
      </c>
      <c r="T209" s="55" t="n">
        <f aca="false">ROUND(MAX(0,T208+U208-X208),2)</f>
        <v>0</v>
      </c>
      <c r="U209" s="55" t="n">
        <f aca="false">ROUND(T209*$E$8/12,2)</f>
        <v>0</v>
      </c>
      <c r="V209" s="55" t="n">
        <f aca="false">MIN($F$8,T209+U209)</f>
        <v>0</v>
      </c>
      <c r="W209" s="55" t="n">
        <f aca="false">MAX(0,MIN(T209+U209-V209,$D209-(H209+M209+R209)))</f>
        <v>0</v>
      </c>
      <c r="X209" s="55" t="n">
        <f aca="false">V209+W209</f>
        <v>0</v>
      </c>
      <c r="Y209" s="55" t="n">
        <f aca="false">ROUND(MAX(0,Y208+Z208-AC208),2)</f>
        <v>0</v>
      </c>
      <c r="Z209" s="55" t="n">
        <f aca="false">ROUND(Y209*$E$9/12,2)</f>
        <v>0</v>
      </c>
      <c r="AA209" s="55" t="n">
        <f aca="false">MIN($F$9,Y209+Z209)</f>
        <v>0</v>
      </c>
      <c r="AB209" s="55" t="n">
        <f aca="false">MAX(0,MIN(Y209+Z209-AA209,$D209-(H209+M209+R209+W209)))</f>
        <v>0</v>
      </c>
      <c r="AC209" s="55" t="n">
        <f aca="false">AA209+AB209</f>
        <v>0</v>
      </c>
      <c r="AD209" s="55" t="n">
        <f aca="false">ROUND(MAX(0,AD208+AE208-AH208),2)</f>
        <v>0</v>
      </c>
      <c r="AE209" s="55" t="n">
        <f aca="false">ROUND(AD209*$E$10/12,2)</f>
        <v>0</v>
      </c>
      <c r="AF209" s="55" t="n">
        <f aca="false">MIN($F$10,AD209+AE209)</f>
        <v>0</v>
      </c>
      <c r="AG209" s="55" t="n">
        <f aca="false">MAX(0,MIN(AD209+AE209-AF209,$D209-(H209+M209+R209+W209+AB209)))</f>
        <v>0</v>
      </c>
      <c r="AH209" s="55" t="n">
        <f aca="false">AF209+AG209</f>
        <v>0</v>
      </c>
      <c r="AI209" s="55" t="n">
        <f aca="false">ROUND(MAX(0,AI208+AJ208-AM208),2)</f>
        <v>0</v>
      </c>
      <c r="AJ209" s="55" t="n">
        <f aca="false">ROUND(AI209*$E$11/12,2)</f>
        <v>0</v>
      </c>
      <c r="AK209" s="55" t="n">
        <f aca="false">MIN($F$11,AI209+AJ209)</f>
        <v>0</v>
      </c>
      <c r="AL209" s="55" t="n">
        <f aca="false">MAX(0,MIN(AI209+AJ209-AK209,$D209-(H209+M209+R209+W209+AB209+AG209)))</f>
        <v>0</v>
      </c>
      <c r="AM209" s="55" t="n">
        <f aca="false">AK209+AL209</f>
        <v>0</v>
      </c>
      <c r="AN209" s="55" t="n">
        <f aca="false">ROUND(MAX(0,AN208+AO208-AR208),2)</f>
        <v>0</v>
      </c>
      <c r="AO209" s="55" t="n">
        <f aca="false">ROUND(AN209*$E$12/12,2)</f>
        <v>0</v>
      </c>
      <c r="AP209" s="55" t="n">
        <f aca="false">MIN($F$12,AN209+AO209)</f>
        <v>0</v>
      </c>
      <c r="AQ209" s="55" t="n">
        <f aca="false">MAX(0,MIN(AN209+AO209-AP209,$D209-(H209+M209+R209+W209+AB209+AG209+AL209)))</f>
        <v>0</v>
      </c>
      <c r="AR209" s="55" t="n">
        <f aca="false">AP209+AQ209</f>
        <v>0</v>
      </c>
      <c r="AS209" s="55" t="n">
        <f aca="false">ROUND(MAX(0,AS208+AT208-AW208),2)</f>
        <v>0</v>
      </c>
      <c r="AT209" s="55" t="n">
        <f aca="false">ROUND(AS209*$E$13/12,2)</f>
        <v>0</v>
      </c>
      <c r="AU209" s="55" t="n">
        <f aca="false">MIN($F$13,AS209+AT209)</f>
        <v>0</v>
      </c>
      <c r="AV209" s="55" t="n">
        <f aca="false">MAX(0,MIN(AS209+AT209-AU209,$D209-(H209+M209+R209+W209+AB209+AG209+AL209+AQ209)))</f>
        <v>0</v>
      </c>
      <c r="AW209" s="55" t="n">
        <f aca="false">AU209+AV209</f>
        <v>0</v>
      </c>
      <c r="AX209" s="55" t="n">
        <f aca="false">ROUND(MAX(0,AX208+AY208-BB208),2)</f>
        <v>0</v>
      </c>
      <c r="AY209" s="55" t="n">
        <f aca="false">ROUND(AX209*$E$14/12,2)</f>
        <v>0</v>
      </c>
      <c r="AZ209" s="55" t="n">
        <f aca="false">MIN($F$14,AX209+AY209)</f>
        <v>0</v>
      </c>
      <c r="BA209" s="55" t="n">
        <f aca="false">MAX(0,MIN(AX209+AY209-AZ209,$D209-(H209+M209+R209+W209+AB209+AG209+AL209+AQ209+AV209)))</f>
        <v>0</v>
      </c>
      <c r="BB209" s="55" t="n">
        <f aca="false">AZ209+BA209</f>
        <v>0</v>
      </c>
      <c r="BC209" s="55" t="n">
        <f aca="false">I209+N209+S209+X209+AC209+AH209+AM209+AR209+AW209+BB209</f>
        <v>0</v>
      </c>
      <c r="BD209" s="55" t="n">
        <f aca="false">ROUND((E209+F209-I209)+(J209+K209-N209)+(O209+P209-S209)+(T209+U209-X209)+(Y209+Z209-AC209)+(AD209+AE209-AH209)+(AI209+AJ209-AM209)+(AN209+AO209-AR209)+(AS209+AT209-AW209)+(AX209+AY209-BB209),2)</f>
        <v>0</v>
      </c>
      <c r="BE209" s="25" t="str">
        <f aca="false">IF(H209&gt;0.005,$C$5,IF(M209&gt;0.005,$C$6,IF(R209&gt;0.005,$C$7,IF(W209&gt;0.005,$C$8,IF(AB209&gt;0.005,$C$9,IF(AG209&gt;0.005,$C$10,IF(AL209&gt;0.005,$C$11,IF(AQ209&gt;0.005,$C$12,IF(AV209&gt;0.005,$C$13,IF(BA209&gt;0.005,$C$14,""))))))))))</f>
        <v/>
      </c>
    </row>
    <row r="210" customFormat="false" ht="15" hidden="false" customHeight="false" outlineLevel="0" collapsed="false">
      <c r="A210" s="24" t="n">
        <v>187</v>
      </c>
      <c r="B210" s="54" t="n">
        <f aca="false">EDATE($C$17,A210-1)</f>
        <v>51987</v>
      </c>
      <c r="C210" s="55" t="n">
        <f aca="false">G210+L210+Q210+V210+AA210+AF210+AK210+AP210+AU210+AZ210</f>
        <v>0</v>
      </c>
      <c r="D210" s="55" t="n">
        <f aca="false">MAX(0,$C$16-C210)</f>
        <v>5822</v>
      </c>
      <c r="E210" s="55" t="n">
        <f aca="false">ROUND(MAX(0,E209+F209-I209),2)</f>
        <v>0</v>
      </c>
      <c r="F210" s="55" t="n">
        <f aca="false">ROUND(E210*$E$5/12,2)</f>
        <v>0</v>
      </c>
      <c r="G210" s="55" t="n">
        <f aca="false">MIN($F$5,E210+F210)</f>
        <v>0</v>
      </c>
      <c r="H210" s="55" t="n">
        <f aca="false">MAX(0,MIN(E210+F210-G210,$D210))</f>
        <v>0</v>
      </c>
      <c r="I210" s="55" t="n">
        <f aca="false">G210+H210</f>
        <v>0</v>
      </c>
      <c r="J210" s="55" t="n">
        <f aca="false">ROUND(MAX(0,J209+K209-N209),2)</f>
        <v>0</v>
      </c>
      <c r="K210" s="55" t="n">
        <f aca="false">ROUND(J210*$E$6/12,2)</f>
        <v>0</v>
      </c>
      <c r="L210" s="55" t="n">
        <f aca="false">MIN($F$6,J210+K210)</f>
        <v>0</v>
      </c>
      <c r="M210" s="55" t="n">
        <f aca="false">MAX(0,MIN(J210+K210-L210,$D210-(H210)))</f>
        <v>0</v>
      </c>
      <c r="N210" s="55" t="n">
        <f aca="false">L210+M210</f>
        <v>0</v>
      </c>
      <c r="O210" s="55" t="n">
        <f aca="false">ROUND(MAX(0,O209+P209-S209),2)</f>
        <v>0</v>
      </c>
      <c r="P210" s="55" t="n">
        <f aca="false">ROUND(O210*$E$7/12,2)</f>
        <v>0</v>
      </c>
      <c r="Q210" s="55" t="n">
        <f aca="false">MIN($F$7,O210+P210)</f>
        <v>0</v>
      </c>
      <c r="R210" s="55" t="n">
        <f aca="false">MAX(0,MIN(O210+P210-Q210,$D210-(H210+M210)))</f>
        <v>0</v>
      </c>
      <c r="S210" s="55" t="n">
        <f aca="false">Q210+R210</f>
        <v>0</v>
      </c>
      <c r="T210" s="55" t="n">
        <f aca="false">ROUND(MAX(0,T209+U209-X209),2)</f>
        <v>0</v>
      </c>
      <c r="U210" s="55" t="n">
        <f aca="false">ROUND(T210*$E$8/12,2)</f>
        <v>0</v>
      </c>
      <c r="V210" s="55" t="n">
        <f aca="false">MIN($F$8,T210+U210)</f>
        <v>0</v>
      </c>
      <c r="W210" s="55" t="n">
        <f aca="false">MAX(0,MIN(T210+U210-V210,$D210-(H210+M210+R210)))</f>
        <v>0</v>
      </c>
      <c r="X210" s="55" t="n">
        <f aca="false">V210+W210</f>
        <v>0</v>
      </c>
      <c r="Y210" s="55" t="n">
        <f aca="false">ROUND(MAX(0,Y209+Z209-AC209),2)</f>
        <v>0</v>
      </c>
      <c r="Z210" s="55" t="n">
        <f aca="false">ROUND(Y210*$E$9/12,2)</f>
        <v>0</v>
      </c>
      <c r="AA210" s="55" t="n">
        <f aca="false">MIN($F$9,Y210+Z210)</f>
        <v>0</v>
      </c>
      <c r="AB210" s="55" t="n">
        <f aca="false">MAX(0,MIN(Y210+Z210-AA210,$D210-(H210+M210+R210+W210)))</f>
        <v>0</v>
      </c>
      <c r="AC210" s="55" t="n">
        <f aca="false">AA210+AB210</f>
        <v>0</v>
      </c>
      <c r="AD210" s="55" t="n">
        <f aca="false">ROUND(MAX(0,AD209+AE209-AH209),2)</f>
        <v>0</v>
      </c>
      <c r="AE210" s="55" t="n">
        <f aca="false">ROUND(AD210*$E$10/12,2)</f>
        <v>0</v>
      </c>
      <c r="AF210" s="55" t="n">
        <f aca="false">MIN($F$10,AD210+AE210)</f>
        <v>0</v>
      </c>
      <c r="AG210" s="55" t="n">
        <f aca="false">MAX(0,MIN(AD210+AE210-AF210,$D210-(H210+M210+R210+W210+AB210)))</f>
        <v>0</v>
      </c>
      <c r="AH210" s="55" t="n">
        <f aca="false">AF210+AG210</f>
        <v>0</v>
      </c>
      <c r="AI210" s="55" t="n">
        <f aca="false">ROUND(MAX(0,AI209+AJ209-AM209),2)</f>
        <v>0</v>
      </c>
      <c r="AJ210" s="55" t="n">
        <f aca="false">ROUND(AI210*$E$11/12,2)</f>
        <v>0</v>
      </c>
      <c r="AK210" s="55" t="n">
        <f aca="false">MIN($F$11,AI210+AJ210)</f>
        <v>0</v>
      </c>
      <c r="AL210" s="55" t="n">
        <f aca="false">MAX(0,MIN(AI210+AJ210-AK210,$D210-(H210+M210+R210+W210+AB210+AG210)))</f>
        <v>0</v>
      </c>
      <c r="AM210" s="55" t="n">
        <f aca="false">AK210+AL210</f>
        <v>0</v>
      </c>
      <c r="AN210" s="55" t="n">
        <f aca="false">ROUND(MAX(0,AN209+AO209-AR209),2)</f>
        <v>0</v>
      </c>
      <c r="AO210" s="55" t="n">
        <f aca="false">ROUND(AN210*$E$12/12,2)</f>
        <v>0</v>
      </c>
      <c r="AP210" s="55" t="n">
        <f aca="false">MIN($F$12,AN210+AO210)</f>
        <v>0</v>
      </c>
      <c r="AQ210" s="55" t="n">
        <f aca="false">MAX(0,MIN(AN210+AO210-AP210,$D210-(H210+M210+R210+W210+AB210+AG210+AL210)))</f>
        <v>0</v>
      </c>
      <c r="AR210" s="55" t="n">
        <f aca="false">AP210+AQ210</f>
        <v>0</v>
      </c>
      <c r="AS210" s="55" t="n">
        <f aca="false">ROUND(MAX(0,AS209+AT209-AW209),2)</f>
        <v>0</v>
      </c>
      <c r="AT210" s="55" t="n">
        <f aca="false">ROUND(AS210*$E$13/12,2)</f>
        <v>0</v>
      </c>
      <c r="AU210" s="55" t="n">
        <f aca="false">MIN($F$13,AS210+AT210)</f>
        <v>0</v>
      </c>
      <c r="AV210" s="55" t="n">
        <f aca="false">MAX(0,MIN(AS210+AT210-AU210,$D210-(H210+M210+R210+W210+AB210+AG210+AL210+AQ210)))</f>
        <v>0</v>
      </c>
      <c r="AW210" s="55" t="n">
        <f aca="false">AU210+AV210</f>
        <v>0</v>
      </c>
      <c r="AX210" s="55" t="n">
        <f aca="false">ROUND(MAX(0,AX209+AY209-BB209),2)</f>
        <v>0</v>
      </c>
      <c r="AY210" s="55" t="n">
        <f aca="false">ROUND(AX210*$E$14/12,2)</f>
        <v>0</v>
      </c>
      <c r="AZ210" s="55" t="n">
        <f aca="false">MIN($F$14,AX210+AY210)</f>
        <v>0</v>
      </c>
      <c r="BA210" s="55" t="n">
        <f aca="false">MAX(0,MIN(AX210+AY210-AZ210,$D210-(H210+M210+R210+W210+AB210+AG210+AL210+AQ210+AV210)))</f>
        <v>0</v>
      </c>
      <c r="BB210" s="55" t="n">
        <f aca="false">AZ210+BA210</f>
        <v>0</v>
      </c>
      <c r="BC210" s="55" t="n">
        <f aca="false">I210+N210+S210+X210+AC210+AH210+AM210+AR210+AW210+BB210</f>
        <v>0</v>
      </c>
      <c r="BD210" s="55" t="n">
        <f aca="false">ROUND((E210+F210-I210)+(J210+K210-N210)+(O210+P210-S210)+(T210+U210-X210)+(Y210+Z210-AC210)+(AD210+AE210-AH210)+(AI210+AJ210-AM210)+(AN210+AO210-AR210)+(AS210+AT210-AW210)+(AX210+AY210-BB210),2)</f>
        <v>0</v>
      </c>
      <c r="BE210" s="25" t="str">
        <f aca="false">IF(H210&gt;0.005,$C$5,IF(M210&gt;0.005,$C$6,IF(R210&gt;0.005,$C$7,IF(W210&gt;0.005,$C$8,IF(AB210&gt;0.005,$C$9,IF(AG210&gt;0.005,$C$10,IF(AL210&gt;0.005,$C$11,IF(AQ210&gt;0.005,$C$12,IF(AV210&gt;0.005,$C$13,IF(BA210&gt;0.005,$C$14,""))))))))))</f>
        <v/>
      </c>
    </row>
    <row r="211" customFormat="false" ht="15" hidden="false" customHeight="false" outlineLevel="0" collapsed="false">
      <c r="A211" s="24" t="n">
        <v>188</v>
      </c>
      <c r="B211" s="54" t="n">
        <f aca="false">EDATE($C$17,A211-1)</f>
        <v>52018</v>
      </c>
      <c r="C211" s="55" t="n">
        <f aca="false">G211+L211+Q211+V211+AA211+AF211+AK211+AP211+AU211+AZ211</f>
        <v>0</v>
      </c>
      <c r="D211" s="55" t="n">
        <f aca="false">MAX(0,$C$16-C211)</f>
        <v>5822</v>
      </c>
      <c r="E211" s="55" t="n">
        <f aca="false">ROUND(MAX(0,E210+F210-I210),2)</f>
        <v>0</v>
      </c>
      <c r="F211" s="55" t="n">
        <f aca="false">ROUND(E211*$E$5/12,2)</f>
        <v>0</v>
      </c>
      <c r="G211" s="55" t="n">
        <f aca="false">MIN($F$5,E211+F211)</f>
        <v>0</v>
      </c>
      <c r="H211" s="55" t="n">
        <f aca="false">MAX(0,MIN(E211+F211-G211,$D211))</f>
        <v>0</v>
      </c>
      <c r="I211" s="55" t="n">
        <f aca="false">G211+H211</f>
        <v>0</v>
      </c>
      <c r="J211" s="55" t="n">
        <f aca="false">ROUND(MAX(0,J210+K210-N210),2)</f>
        <v>0</v>
      </c>
      <c r="K211" s="55" t="n">
        <f aca="false">ROUND(J211*$E$6/12,2)</f>
        <v>0</v>
      </c>
      <c r="L211" s="55" t="n">
        <f aca="false">MIN($F$6,J211+K211)</f>
        <v>0</v>
      </c>
      <c r="M211" s="55" t="n">
        <f aca="false">MAX(0,MIN(J211+K211-L211,$D211-(H211)))</f>
        <v>0</v>
      </c>
      <c r="N211" s="55" t="n">
        <f aca="false">L211+M211</f>
        <v>0</v>
      </c>
      <c r="O211" s="55" t="n">
        <f aca="false">ROUND(MAX(0,O210+P210-S210),2)</f>
        <v>0</v>
      </c>
      <c r="P211" s="55" t="n">
        <f aca="false">ROUND(O211*$E$7/12,2)</f>
        <v>0</v>
      </c>
      <c r="Q211" s="55" t="n">
        <f aca="false">MIN($F$7,O211+P211)</f>
        <v>0</v>
      </c>
      <c r="R211" s="55" t="n">
        <f aca="false">MAX(0,MIN(O211+P211-Q211,$D211-(H211+M211)))</f>
        <v>0</v>
      </c>
      <c r="S211" s="55" t="n">
        <f aca="false">Q211+R211</f>
        <v>0</v>
      </c>
      <c r="T211" s="55" t="n">
        <f aca="false">ROUND(MAX(0,T210+U210-X210),2)</f>
        <v>0</v>
      </c>
      <c r="U211" s="55" t="n">
        <f aca="false">ROUND(T211*$E$8/12,2)</f>
        <v>0</v>
      </c>
      <c r="V211" s="55" t="n">
        <f aca="false">MIN($F$8,T211+U211)</f>
        <v>0</v>
      </c>
      <c r="W211" s="55" t="n">
        <f aca="false">MAX(0,MIN(T211+U211-V211,$D211-(H211+M211+R211)))</f>
        <v>0</v>
      </c>
      <c r="X211" s="55" t="n">
        <f aca="false">V211+W211</f>
        <v>0</v>
      </c>
      <c r="Y211" s="55" t="n">
        <f aca="false">ROUND(MAX(0,Y210+Z210-AC210),2)</f>
        <v>0</v>
      </c>
      <c r="Z211" s="55" t="n">
        <f aca="false">ROUND(Y211*$E$9/12,2)</f>
        <v>0</v>
      </c>
      <c r="AA211" s="55" t="n">
        <f aca="false">MIN($F$9,Y211+Z211)</f>
        <v>0</v>
      </c>
      <c r="AB211" s="55" t="n">
        <f aca="false">MAX(0,MIN(Y211+Z211-AA211,$D211-(H211+M211+R211+W211)))</f>
        <v>0</v>
      </c>
      <c r="AC211" s="55" t="n">
        <f aca="false">AA211+AB211</f>
        <v>0</v>
      </c>
      <c r="AD211" s="55" t="n">
        <f aca="false">ROUND(MAX(0,AD210+AE210-AH210),2)</f>
        <v>0</v>
      </c>
      <c r="AE211" s="55" t="n">
        <f aca="false">ROUND(AD211*$E$10/12,2)</f>
        <v>0</v>
      </c>
      <c r="AF211" s="55" t="n">
        <f aca="false">MIN($F$10,AD211+AE211)</f>
        <v>0</v>
      </c>
      <c r="AG211" s="55" t="n">
        <f aca="false">MAX(0,MIN(AD211+AE211-AF211,$D211-(H211+M211+R211+W211+AB211)))</f>
        <v>0</v>
      </c>
      <c r="AH211" s="55" t="n">
        <f aca="false">AF211+AG211</f>
        <v>0</v>
      </c>
      <c r="AI211" s="55" t="n">
        <f aca="false">ROUND(MAX(0,AI210+AJ210-AM210),2)</f>
        <v>0</v>
      </c>
      <c r="AJ211" s="55" t="n">
        <f aca="false">ROUND(AI211*$E$11/12,2)</f>
        <v>0</v>
      </c>
      <c r="AK211" s="55" t="n">
        <f aca="false">MIN($F$11,AI211+AJ211)</f>
        <v>0</v>
      </c>
      <c r="AL211" s="55" t="n">
        <f aca="false">MAX(0,MIN(AI211+AJ211-AK211,$D211-(H211+M211+R211+W211+AB211+AG211)))</f>
        <v>0</v>
      </c>
      <c r="AM211" s="55" t="n">
        <f aca="false">AK211+AL211</f>
        <v>0</v>
      </c>
      <c r="AN211" s="55" t="n">
        <f aca="false">ROUND(MAX(0,AN210+AO210-AR210),2)</f>
        <v>0</v>
      </c>
      <c r="AO211" s="55" t="n">
        <f aca="false">ROUND(AN211*$E$12/12,2)</f>
        <v>0</v>
      </c>
      <c r="AP211" s="55" t="n">
        <f aca="false">MIN($F$12,AN211+AO211)</f>
        <v>0</v>
      </c>
      <c r="AQ211" s="55" t="n">
        <f aca="false">MAX(0,MIN(AN211+AO211-AP211,$D211-(H211+M211+R211+W211+AB211+AG211+AL211)))</f>
        <v>0</v>
      </c>
      <c r="AR211" s="55" t="n">
        <f aca="false">AP211+AQ211</f>
        <v>0</v>
      </c>
      <c r="AS211" s="55" t="n">
        <f aca="false">ROUND(MAX(0,AS210+AT210-AW210),2)</f>
        <v>0</v>
      </c>
      <c r="AT211" s="55" t="n">
        <f aca="false">ROUND(AS211*$E$13/12,2)</f>
        <v>0</v>
      </c>
      <c r="AU211" s="55" t="n">
        <f aca="false">MIN($F$13,AS211+AT211)</f>
        <v>0</v>
      </c>
      <c r="AV211" s="55" t="n">
        <f aca="false">MAX(0,MIN(AS211+AT211-AU211,$D211-(H211+M211+R211+W211+AB211+AG211+AL211+AQ211)))</f>
        <v>0</v>
      </c>
      <c r="AW211" s="55" t="n">
        <f aca="false">AU211+AV211</f>
        <v>0</v>
      </c>
      <c r="AX211" s="55" t="n">
        <f aca="false">ROUND(MAX(0,AX210+AY210-BB210),2)</f>
        <v>0</v>
      </c>
      <c r="AY211" s="55" t="n">
        <f aca="false">ROUND(AX211*$E$14/12,2)</f>
        <v>0</v>
      </c>
      <c r="AZ211" s="55" t="n">
        <f aca="false">MIN($F$14,AX211+AY211)</f>
        <v>0</v>
      </c>
      <c r="BA211" s="55" t="n">
        <f aca="false">MAX(0,MIN(AX211+AY211-AZ211,$D211-(H211+M211+R211+W211+AB211+AG211+AL211+AQ211+AV211)))</f>
        <v>0</v>
      </c>
      <c r="BB211" s="55" t="n">
        <f aca="false">AZ211+BA211</f>
        <v>0</v>
      </c>
      <c r="BC211" s="55" t="n">
        <f aca="false">I211+N211+S211+X211+AC211+AH211+AM211+AR211+AW211+BB211</f>
        <v>0</v>
      </c>
      <c r="BD211" s="55" t="n">
        <f aca="false">ROUND((E211+F211-I211)+(J211+K211-N211)+(O211+P211-S211)+(T211+U211-X211)+(Y211+Z211-AC211)+(AD211+AE211-AH211)+(AI211+AJ211-AM211)+(AN211+AO211-AR211)+(AS211+AT211-AW211)+(AX211+AY211-BB211),2)</f>
        <v>0</v>
      </c>
      <c r="BE211" s="25" t="str">
        <f aca="false">IF(H211&gt;0.005,$C$5,IF(M211&gt;0.005,$C$6,IF(R211&gt;0.005,$C$7,IF(W211&gt;0.005,$C$8,IF(AB211&gt;0.005,$C$9,IF(AG211&gt;0.005,$C$10,IF(AL211&gt;0.005,$C$11,IF(AQ211&gt;0.005,$C$12,IF(AV211&gt;0.005,$C$13,IF(BA211&gt;0.005,$C$14,""))))))))))</f>
        <v/>
      </c>
    </row>
    <row r="212" customFormat="false" ht="15" hidden="false" customHeight="false" outlineLevel="0" collapsed="false">
      <c r="A212" s="24" t="n">
        <v>189</v>
      </c>
      <c r="B212" s="54" t="n">
        <f aca="false">EDATE($C$17,A212-1)</f>
        <v>52048</v>
      </c>
      <c r="C212" s="55" t="n">
        <f aca="false">G212+L212+Q212+V212+AA212+AF212+AK212+AP212+AU212+AZ212</f>
        <v>0</v>
      </c>
      <c r="D212" s="55" t="n">
        <f aca="false">MAX(0,$C$16-C212)</f>
        <v>5822</v>
      </c>
      <c r="E212" s="55" t="n">
        <f aca="false">ROUND(MAX(0,E211+F211-I211),2)</f>
        <v>0</v>
      </c>
      <c r="F212" s="55" t="n">
        <f aca="false">ROUND(E212*$E$5/12,2)</f>
        <v>0</v>
      </c>
      <c r="G212" s="55" t="n">
        <f aca="false">MIN($F$5,E212+F212)</f>
        <v>0</v>
      </c>
      <c r="H212" s="55" t="n">
        <f aca="false">MAX(0,MIN(E212+F212-G212,$D212))</f>
        <v>0</v>
      </c>
      <c r="I212" s="55" t="n">
        <f aca="false">G212+H212</f>
        <v>0</v>
      </c>
      <c r="J212" s="55" t="n">
        <f aca="false">ROUND(MAX(0,J211+K211-N211),2)</f>
        <v>0</v>
      </c>
      <c r="K212" s="55" t="n">
        <f aca="false">ROUND(J212*$E$6/12,2)</f>
        <v>0</v>
      </c>
      <c r="L212" s="55" t="n">
        <f aca="false">MIN($F$6,J212+K212)</f>
        <v>0</v>
      </c>
      <c r="M212" s="55" t="n">
        <f aca="false">MAX(0,MIN(J212+K212-L212,$D212-(H212)))</f>
        <v>0</v>
      </c>
      <c r="N212" s="55" t="n">
        <f aca="false">L212+M212</f>
        <v>0</v>
      </c>
      <c r="O212" s="55" t="n">
        <f aca="false">ROUND(MAX(0,O211+P211-S211),2)</f>
        <v>0</v>
      </c>
      <c r="P212" s="55" t="n">
        <f aca="false">ROUND(O212*$E$7/12,2)</f>
        <v>0</v>
      </c>
      <c r="Q212" s="55" t="n">
        <f aca="false">MIN($F$7,O212+P212)</f>
        <v>0</v>
      </c>
      <c r="R212" s="55" t="n">
        <f aca="false">MAX(0,MIN(O212+P212-Q212,$D212-(H212+M212)))</f>
        <v>0</v>
      </c>
      <c r="S212" s="55" t="n">
        <f aca="false">Q212+R212</f>
        <v>0</v>
      </c>
      <c r="T212" s="55" t="n">
        <f aca="false">ROUND(MAX(0,T211+U211-X211),2)</f>
        <v>0</v>
      </c>
      <c r="U212" s="55" t="n">
        <f aca="false">ROUND(T212*$E$8/12,2)</f>
        <v>0</v>
      </c>
      <c r="V212" s="55" t="n">
        <f aca="false">MIN($F$8,T212+U212)</f>
        <v>0</v>
      </c>
      <c r="W212" s="55" t="n">
        <f aca="false">MAX(0,MIN(T212+U212-V212,$D212-(H212+M212+R212)))</f>
        <v>0</v>
      </c>
      <c r="X212" s="55" t="n">
        <f aca="false">V212+W212</f>
        <v>0</v>
      </c>
      <c r="Y212" s="55" t="n">
        <f aca="false">ROUND(MAX(0,Y211+Z211-AC211),2)</f>
        <v>0</v>
      </c>
      <c r="Z212" s="55" t="n">
        <f aca="false">ROUND(Y212*$E$9/12,2)</f>
        <v>0</v>
      </c>
      <c r="AA212" s="55" t="n">
        <f aca="false">MIN($F$9,Y212+Z212)</f>
        <v>0</v>
      </c>
      <c r="AB212" s="55" t="n">
        <f aca="false">MAX(0,MIN(Y212+Z212-AA212,$D212-(H212+M212+R212+W212)))</f>
        <v>0</v>
      </c>
      <c r="AC212" s="55" t="n">
        <f aca="false">AA212+AB212</f>
        <v>0</v>
      </c>
      <c r="AD212" s="55" t="n">
        <f aca="false">ROUND(MAX(0,AD211+AE211-AH211),2)</f>
        <v>0</v>
      </c>
      <c r="AE212" s="55" t="n">
        <f aca="false">ROUND(AD212*$E$10/12,2)</f>
        <v>0</v>
      </c>
      <c r="AF212" s="55" t="n">
        <f aca="false">MIN($F$10,AD212+AE212)</f>
        <v>0</v>
      </c>
      <c r="AG212" s="55" t="n">
        <f aca="false">MAX(0,MIN(AD212+AE212-AF212,$D212-(H212+M212+R212+W212+AB212)))</f>
        <v>0</v>
      </c>
      <c r="AH212" s="55" t="n">
        <f aca="false">AF212+AG212</f>
        <v>0</v>
      </c>
      <c r="AI212" s="55" t="n">
        <f aca="false">ROUND(MAX(0,AI211+AJ211-AM211),2)</f>
        <v>0</v>
      </c>
      <c r="AJ212" s="55" t="n">
        <f aca="false">ROUND(AI212*$E$11/12,2)</f>
        <v>0</v>
      </c>
      <c r="AK212" s="55" t="n">
        <f aca="false">MIN($F$11,AI212+AJ212)</f>
        <v>0</v>
      </c>
      <c r="AL212" s="55" t="n">
        <f aca="false">MAX(0,MIN(AI212+AJ212-AK212,$D212-(H212+M212+R212+W212+AB212+AG212)))</f>
        <v>0</v>
      </c>
      <c r="AM212" s="55" t="n">
        <f aca="false">AK212+AL212</f>
        <v>0</v>
      </c>
      <c r="AN212" s="55" t="n">
        <f aca="false">ROUND(MAX(0,AN211+AO211-AR211),2)</f>
        <v>0</v>
      </c>
      <c r="AO212" s="55" t="n">
        <f aca="false">ROUND(AN212*$E$12/12,2)</f>
        <v>0</v>
      </c>
      <c r="AP212" s="55" t="n">
        <f aca="false">MIN($F$12,AN212+AO212)</f>
        <v>0</v>
      </c>
      <c r="AQ212" s="55" t="n">
        <f aca="false">MAX(0,MIN(AN212+AO212-AP212,$D212-(H212+M212+R212+W212+AB212+AG212+AL212)))</f>
        <v>0</v>
      </c>
      <c r="AR212" s="55" t="n">
        <f aca="false">AP212+AQ212</f>
        <v>0</v>
      </c>
      <c r="AS212" s="55" t="n">
        <f aca="false">ROUND(MAX(0,AS211+AT211-AW211),2)</f>
        <v>0</v>
      </c>
      <c r="AT212" s="55" t="n">
        <f aca="false">ROUND(AS212*$E$13/12,2)</f>
        <v>0</v>
      </c>
      <c r="AU212" s="55" t="n">
        <f aca="false">MIN($F$13,AS212+AT212)</f>
        <v>0</v>
      </c>
      <c r="AV212" s="55" t="n">
        <f aca="false">MAX(0,MIN(AS212+AT212-AU212,$D212-(H212+M212+R212+W212+AB212+AG212+AL212+AQ212)))</f>
        <v>0</v>
      </c>
      <c r="AW212" s="55" t="n">
        <f aca="false">AU212+AV212</f>
        <v>0</v>
      </c>
      <c r="AX212" s="55" t="n">
        <f aca="false">ROUND(MAX(0,AX211+AY211-BB211),2)</f>
        <v>0</v>
      </c>
      <c r="AY212" s="55" t="n">
        <f aca="false">ROUND(AX212*$E$14/12,2)</f>
        <v>0</v>
      </c>
      <c r="AZ212" s="55" t="n">
        <f aca="false">MIN($F$14,AX212+AY212)</f>
        <v>0</v>
      </c>
      <c r="BA212" s="55" t="n">
        <f aca="false">MAX(0,MIN(AX212+AY212-AZ212,$D212-(H212+M212+R212+W212+AB212+AG212+AL212+AQ212+AV212)))</f>
        <v>0</v>
      </c>
      <c r="BB212" s="55" t="n">
        <f aca="false">AZ212+BA212</f>
        <v>0</v>
      </c>
      <c r="BC212" s="55" t="n">
        <f aca="false">I212+N212+S212+X212+AC212+AH212+AM212+AR212+AW212+BB212</f>
        <v>0</v>
      </c>
      <c r="BD212" s="55" t="n">
        <f aca="false">ROUND((E212+F212-I212)+(J212+K212-N212)+(O212+P212-S212)+(T212+U212-X212)+(Y212+Z212-AC212)+(AD212+AE212-AH212)+(AI212+AJ212-AM212)+(AN212+AO212-AR212)+(AS212+AT212-AW212)+(AX212+AY212-BB212),2)</f>
        <v>0</v>
      </c>
      <c r="BE212" s="25" t="str">
        <f aca="false">IF(H212&gt;0.005,$C$5,IF(M212&gt;0.005,$C$6,IF(R212&gt;0.005,$C$7,IF(W212&gt;0.005,$C$8,IF(AB212&gt;0.005,$C$9,IF(AG212&gt;0.005,$C$10,IF(AL212&gt;0.005,$C$11,IF(AQ212&gt;0.005,$C$12,IF(AV212&gt;0.005,$C$13,IF(BA212&gt;0.005,$C$14,""))))))))))</f>
        <v/>
      </c>
    </row>
    <row r="213" customFormat="false" ht="15" hidden="false" customHeight="false" outlineLevel="0" collapsed="false">
      <c r="A213" s="24" t="n">
        <v>190</v>
      </c>
      <c r="B213" s="54" t="n">
        <f aca="false">EDATE($C$17,A213-1)</f>
        <v>52079</v>
      </c>
      <c r="C213" s="55" t="n">
        <f aca="false">G213+L213+Q213+V213+AA213+AF213+AK213+AP213+AU213+AZ213</f>
        <v>0</v>
      </c>
      <c r="D213" s="55" t="n">
        <f aca="false">MAX(0,$C$16-C213)</f>
        <v>5822</v>
      </c>
      <c r="E213" s="55" t="n">
        <f aca="false">ROUND(MAX(0,E212+F212-I212),2)</f>
        <v>0</v>
      </c>
      <c r="F213" s="55" t="n">
        <f aca="false">ROUND(E213*$E$5/12,2)</f>
        <v>0</v>
      </c>
      <c r="G213" s="55" t="n">
        <f aca="false">MIN($F$5,E213+F213)</f>
        <v>0</v>
      </c>
      <c r="H213" s="55" t="n">
        <f aca="false">MAX(0,MIN(E213+F213-G213,$D213))</f>
        <v>0</v>
      </c>
      <c r="I213" s="55" t="n">
        <f aca="false">G213+H213</f>
        <v>0</v>
      </c>
      <c r="J213" s="55" t="n">
        <f aca="false">ROUND(MAX(0,J212+K212-N212),2)</f>
        <v>0</v>
      </c>
      <c r="K213" s="55" t="n">
        <f aca="false">ROUND(J213*$E$6/12,2)</f>
        <v>0</v>
      </c>
      <c r="L213" s="55" t="n">
        <f aca="false">MIN($F$6,J213+K213)</f>
        <v>0</v>
      </c>
      <c r="M213" s="55" t="n">
        <f aca="false">MAX(0,MIN(J213+K213-L213,$D213-(H213)))</f>
        <v>0</v>
      </c>
      <c r="N213" s="55" t="n">
        <f aca="false">L213+M213</f>
        <v>0</v>
      </c>
      <c r="O213" s="55" t="n">
        <f aca="false">ROUND(MAX(0,O212+P212-S212),2)</f>
        <v>0</v>
      </c>
      <c r="P213" s="55" t="n">
        <f aca="false">ROUND(O213*$E$7/12,2)</f>
        <v>0</v>
      </c>
      <c r="Q213" s="55" t="n">
        <f aca="false">MIN($F$7,O213+P213)</f>
        <v>0</v>
      </c>
      <c r="R213" s="55" t="n">
        <f aca="false">MAX(0,MIN(O213+P213-Q213,$D213-(H213+M213)))</f>
        <v>0</v>
      </c>
      <c r="S213" s="55" t="n">
        <f aca="false">Q213+R213</f>
        <v>0</v>
      </c>
      <c r="T213" s="55" t="n">
        <f aca="false">ROUND(MAX(0,T212+U212-X212),2)</f>
        <v>0</v>
      </c>
      <c r="U213" s="55" t="n">
        <f aca="false">ROUND(T213*$E$8/12,2)</f>
        <v>0</v>
      </c>
      <c r="V213" s="55" t="n">
        <f aca="false">MIN($F$8,T213+U213)</f>
        <v>0</v>
      </c>
      <c r="W213" s="55" t="n">
        <f aca="false">MAX(0,MIN(T213+U213-V213,$D213-(H213+M213+R213)))</f>
        <v>0</v>
      </c>
      <c r="X213" s="55" t="n">
        <f aca="false">V213+W213</f>
        <v>0</v>
      </c>
      <c r="Y213" s="55" t="n">
        <f aca="false">ROUND(MAX(0,Y212+Z212-AC212),2)</f>
        <v>0</v>
      </c>
      <c r="Z213" s="55" t="n">
        <f aca="false">ROUND(Y213*$E$9/12,2)</f>
        <v>0</v>
      </c>
      <c r="AA213" s="55" t="n">
        <f aca="false">MIN($F$9,Y213+Z213)</f>
        <v>0</v>
      </c>
      <c r="AB213" s="55" t="n">
        <f aca="false">MAX(0,MIN(Y213+Z213-AA213,$D213-(H213+M213+R213+W213)))</f>
        <v>0</v>
      </c>
      <c r="AC213" s="55" t="n">
        <f aca="false">AA213+AB213</f>
        <v>0</v>
      </c>
      <c r="AD213" s="55" t="n">
        <f aca="false">ROUND(MAX(0,AD212+AE212-AH212),2)</f>
        <v>0</v>
      </c>
      <c r="AE213" s="55" t="n">
        <f aca="false">ROUND(AD213*$E$10/12,2)</f>
        <v>0</v>
      </c>
      <c r="AF213" s="55" t="n">
        <f aca="false">MIN($F$10,AD213+AE213)</f>
        <v>0</v>
      </c>
      <c r="AG213" s="55" t="n">
        <f aca="false">MAX(0,MIN(AD213+AE213-AF213,$D213-(H213+M213+R213+W213+AB213)))</f>
        <v>0</v>
      </c>
      <c r="AH213" s="55" t="n">
        <f aca="false">AF213+AG213</f>
        <v>0</v>
      </c>
      <c r="AI213" s="55" t="n">
        <f aca="false">ROUND(MAX(0,AI212+AJ212-AM212),2)</f>
        <v>0</v>
      </c>
      <c r="AJ213" s="55" t="n">
        <f aca="false">ROUND(AI213*$E$11/12,2)</f>
        <v>0</v>
      </c>
      <c r="AK213" s="55" t="n">
        <f aca="false">MIN($F$11,AI213+AJ213)</f>
        <v>0</v>
      </c>
      <c r="AL213" s="55" t="n">
        <f aca="false">MAX(0,MIN(AI213+AJ213-AK213,$D213-(H213+M213+R213+W213+AB213+AG213)))</f>
        <v>0</v>
      </c>
      <c r="AM213" s="55" t="n">
        <f aca="false">AK213+AL213</f>
        <v>0</v>
      </c>
      <c r="AN213" s="55" t="n">
        <f aca="false">ROUND(MAX(0,AN212+AO212-AR212),2)</f>
        <v>0</v>
      </c>
      <c r="AO213" s="55" t="n">
        <f aca="false">ROUND(AN213*$E$12/12,2)</f>
        <v>0</v>
      </c>
      <c r="AP213" s="55" t="n">
        <f aca="false">MIN($F$12,AN213+AO213)</f>
        <v>0</v>
      </c>
      <c r="AQ213" s="55" t="n">
        <f aca="false">MAX(0,MIN(AN213+AO213-AP213,$D213-(H213+M213+R213+W213+AB213+AG213+AL213)))</f>
        <v>0</v>
      </c>
      <c r="AR213" s="55" t="n">
        <f aca="false">AP213+AQ213</f>
        <v>0</v>
      </c>
      <c r="AS213" s="55" t="n">
        <f aca="false">ROUND(MAX(0,AS212+AT212-AW212),2)</f>
        <v>0</v>
      </c>
      <c r="AT213" s="55" t="n">
        <f aca="false">ROUND(AS213*$E$13/12,2)</f>
        <v>0</v>
      </c>
      <c r="AU213" s="55" t="n">
        <f aca="false">MIN($F$13,AS213+AT213)</f>
        <v>0</v>
      </c>
      <c r="AV213" s="55" t="n">
        <f aca="false">MAX(0,MIN(AS213+AT213-AU213,$D213-(H213+M213+R213+W213+AB213+AG213+AL213+AQ213)))</f>
        <v>0</v>
      </c>
      <c r="AW213" s="55" t="n">
        <f aca="false">AU213+AV213</f>
        <v>0</v>
      </c>
      <c r="AX213" s="55" t="n">
        <f aca="false">ROUND(MAX(0,AX212+AY212-BB212),2)</f>
        <v>0</v>
      </c>
      <c r="AY213" s="55" t="n">
        <f aca="false">ROUND(AX213*$E$14/12,2)</f>
        <v>0</v>
      </c>
      <c r="AZ213" s="55" t="n">
        <f aca="false">MIN($F$14,AX213+AY213)</f>
        <v>0</v>
      </c>
      <c r="BA213" s="55" t="n">
        <f aca="false">MAX(0,MIN(AX213+AY213-AZ213,$D213-(H213+M213+R213+W213+AB213+AG213+AL213+AQ213+AV213)))</f>
        <v>0</v>
      </c>
      <c r="BB213" s="55" t="n">
        <f aca="false">AZ213+BA213</f>
        <v>0</v>
      </c>
      <c r="BC213" s="55" t="n">
        <f aca="false">I213+N213+S213+X213+AC213+AH213+AM213+AR213+AW213+BB213</f>
        <v>0</v>
      </c>
      <c r="BD213" s="55" t="n">
        <f aca="false">ROUND((E213+F213-I213)+(J213+K213-N213)+(O213+P213-S213)+(T213+U213-X213)+(Y213+Z213-AC213)+(AD213+AE213-AH213)+(AI213+AJ213-AM213)+(AN213+AO213-AR213)+(AS213+AT213-AW213)+(AX213+AY213-BB213),2)</f>
        <v>0</v>
      </c>
      <c r="BE213" s="25" t="str">
        <f aca="false">IF(H213&gt;0.005,$C$5,IF(M213&gt;0.005,$C$6,IF(R213&gt;0.005,$C$7,IF(W213&gt;0.005,$C$8,IF(AB213&gt;0.005,$C$9,IF(AG213&gt;0.005,$C$10,IF(AL213&gt;0.005,$C$11,IF(AQ213&gt;0.005,$C$12,IF(AV213&gt;0.005,$C$13,IF(BA213&gt;0.005,$C$14,""))))))))))</f>
        <v/>
      </c>
    </row>
    <row r="214" customFormat="false" ht="15" hidden="false" customHeight="false" outlineLevel="0" collapsed="false">
      <c r="A214" s="24" t="n">
        <v>191</v>
      </c>
      <c r="B214" s="54" t="n">
        <f aca="false">EDATE($C$17,A214-1)</f>
        <v>52110</v>
      </c>
      <c r="C214" s="55" t="n">
        <f aca="false">G214+L214+Q214+V214+AA214+AF214+AK214+AP214+AU214+AZ214</f>
        <v>0</v>
      </c>
      <c r="D214" s="55" t="n">
        <f aca="false">MAX(0,$C$16-C214)</f>
        <v>5822</v>
      </c>
      <c r="E214" s="55" t="n">
        <f aca="false">ROUND(MAX(0,E213+F213-I213),2)</f>
        <v>0</v>
      </c>
      <c r="F214" s="55" t="n">
        <f aca="false">ROUND(E214*$E$5/12,2)</f>
        <v>0</v>
      </c>
      <c r="G214" s="55" t="n">
        <f aca="false">MIN($F$5,E214+F214)</f>
        <v>0</v>
      </c>
      <c r="H214" s="55" t="n">
        <f aca="false">MAX(0,MIN(E214+F214-G214,$D214))</f>
        <v>0</v>
      </c>
      <c r="I214" s="55" t="n">
        <f aca="false">G214+H214</f>
        <v>0</v>
      </c>
      <c r="J214" s="55" t="n">
        <f aca="false">ROUND(MAX(0,J213+K213-N213),2)</f>
        <v>0</v>
      </c>
      <c r="K214" s="55" t="n">
        <f aca="false">ROUND(J214*$E$6/12,2)</f>
        <v>0</v>
      </c>
      <c r="L214" s="55" t="n">
        <f aca="false">MIN($F$6,J214+K214)</f>
        <v>0</v>
      </c>
      <c r="M214" s="55" t="n">
        <f aca="false">MAX(0,MIN(J214+K214-L214,$D214-(H214)))</f>
        <v>0</v>
      </c>
      <c r="N214" s="55" t="n">
        <f aca="false">L214+M214</f>
        <v>0</v>
      </c>
      <c r="O214" s="55" t="n">
        <f aca="false">ROUND(MAX(0,O213+P213-S213),2)</f>
        <v>0</v>
      </c>
      <c r="P214" s="55" t="n">
        <f aca="false">ROUND(O214*$E$7/12,2)</f>
        <v>0</v>
      </c>
      <c r="Q214" s="55" t="n">
        <f aca="false">MIN($F$7,O214+P214)</f>
        <v>0</v>
      </c>
      <c r="R214" s="55" t="n">
        <f aca="false">MAX(0,MIN(O214+P214-Q214,$D214-(H214+M214)))</f>
        <v>0</v>
      </c>
      <c r="S214" s="55" t="n">
        <f aca="false">Q214+R214</f>
        <v>0</v>
      </c>
      <c r="T214" s="55" t="n">
        <f aca="false">ROUND(MAX(0,T213+U213-X213),2)</f>
        <v>0</v>
      </c>
      <c r="U214" s="55" t="n">
        <f aca="false">ROUND(T214*$E$8/12,2)</f>
        <v>0</v>
      </c>
      <c r="V214" s="55" t="n">
        <f aca="false">MIN($F$8,T214+U214)</f>
        <v>0</v>
      </c>
      <c r="W214" s="55" t="n">
        <f aca="false">MAX(0,MIN(T214+U214-V214,$D214-(H214+M214+R214)))</f>
        <v>0</v>
      </c>
      <c r="X214" s="55" t="n">
        <f aca="false">V214+W214</f>
        <v>0</v>
      </c>
      <c r="Y214" s="55" t="n">
        <f aca="false">ROUND(MAX(0,Y213+Z213-AC213),2)</f>
        <v>0</v>
      </c>
      <c r="Z214" s="55" t="n">
        <f aca="false">ROUND(Y214*$E$9/12,2)</f>
        <v>0</v>
      </c>
      <c r="AA214" s="55" t="n">
        <f aca="false">MIN($F$9,Y214+Z214)</f>
        <v>0</v>
      </c>
      <c r="AB214" s="55" t="n">
        <f aca="false">MAX(0,MIN(Y214+Z214-AA214,$D214-(H214+M214+R214+W214)))</f>
        <v>0</v>
      </c>
      <c r="AC214" s="55" t="n">
        <f aca="false">AA214+AB214</f>
        <v>0</v>
      </c>
      <c r="AD214" s="55" t="n">
        <f aca="false">ROUND(MAX(0,AD213+AE213-AH213),2)</f>
        <v>0</v>
      </c>
      <c r="AE214" s="55" t="n">
        <f aca="false">ROUND(AD214*$E$10/12,2)</f>
        <v>0</v>
      </c>
      <c r="AF214" s="55" t="n">
        <f aca="false">MIN($F$10,AD214+AE214)</f>
        <v>0</v>
      </c>
      <c r="AG214" s="55" t="n">
        <f aca="false">MAX(0,MIN(AD214+AE214-AF214,$D214-(H214+M214+R214+W214+AB214)))</f>
        <v>0</v>
      </c>
      <c r="AH214" s="55" t="n">
        <f aca="false">AF214+AG214</f>
        <v>0</v>
      </c>
      <c r="AI214" s="55" t="n">
        <f aca="false">ROUND(MAX(0,AI213+AJ213-AM213),2)</f>
        <v>0</v>
      </c>
      <c r="AJ214" s="55" t="n">
        <f aca="false">ROUND(AI214*$E$11/12,2)</f>
        <v>0</v>
      </c>
      <c r="AK214" s="55" t="n">
        <f aca="false">MIN($F$11,AI214+AJ214)</f>
        <v>0</v>
      </c>
      <c r="AL214" s="55" t="n">
        <f aca="false">MAX(0,MIN(AI214+AJ214-AK214,$D214-(H214+M214+R214+W214+AB214+AG214)))</f>
        <v>0</v>
      </c>
      <c r="AM214" s="55" t="n">
        <f aca="false">AK214+AL214</f>
        <v>0</v>
      </c>
      <c r="AN214" s="55" t="n">
        <f aca="false">ROUND(MAX(0,AN213+AO213-AR213),2)</f>
        <v>0</v>
      </c>
      <c r="AO214" s="55" t="n">
        <f aca="false">ROUND(AN214*$E$12/12,2)</f>
        <v>0</v>
      </c>
      <c r="AP214" s="55" t="n">
        <f aca="false">MIN($F$12,AN214+AO214)</f>
        <v>0</v>
      </c>
      <c r="AQ214" s="55" t="n">
        <f aca="false">MAX(0,MIN(AN214+AO214-AP214,$D214-(H214+M214+R214+W214+AB214+AG214+AL214)))</f>
        <v>0</v>
      </c>
      <c r="AR214" s="55" t="n">
        <f aca="false">AP214+AQ214</f>
        <v>0</v>
      </c>
      <c r="AS214" s="55" t="n">
        <f aca="false">ROUND(MAX(0,AS213+AT213-AW213),2)</f>
        <v>0</v>
      </c>
      <c r="AT214" s="55" t="n">
        <f aca="false">ROUND(AS214*$E$13/12,2)</f>
        <v>0</v>
      </c>
      <c r="AU214" s="55" t="n">
        <f aca="false">MIN($F$13,AS214+AT214)</f>
        <v>0</v>
      </c>
      <c r="AV214" s="55" t="n">
        <f aca="false">MAX(0,MIN(AS214+AT214-AU214,$D214-(H214+M214+R214+W214+AB214+AG214+AL214+AQ214)))</f>
        <v>0</v>
      </c>
      <c r="AW214" s="55" t="n">
        <f aca="false">AU214+AV214</f>
        <v>0</v>
      </c>
      <c r="AX214" s="55" t="n">
        <f aca="false">ROUND(MAX(0,AX213+AY213-BB213),2)</f>
        <v>0</v>
      </c>
      <c r="AY214" s="55" t="n">
        <f aca="false">ROUND(AX214*$E$14/12,2)</f>
        <v>0</v>
      </c>
      <c r="AZ214" s="55" t="n">
        <f aca="false">MIN($F$14,AX214+AY214)</f>
        <v>0</v>
      </c>
      <c r="BA214" s="55" t="n">
        <f aca="false">MAX(0,MIN(AX214+AY214-AZ214,$D214-(H214+M214+R214+W214+AB214+AG214+AL214+AQ214+AV214)))</f>
        <v>0</v>
      </c>
      <c r="BB214" s="55" t="n">
        <f aca="false">AZ214+BA214</f>
        <v>0</v>
      </c>
      <c r="BC214" s="55" t="n">
        <f aca="false">I214+N214+S214+X214+AC214+AH214+AM214+AR214+AW214+BB214</f>
        <v>0</v>
      </c>
      <c r="BD214" s="55" t="n">
        <f aca="false">ROUND((E214+F214-I214)+(J214+K214-N214)+(O214+P214-S214)+(T214+U214-X214)+(Y214+Z214-AC214)+(AD214+AE214-AH214)+(AI214+AJ214-AM214)+(AN214+AO214-AR214)+(AS214+AT214-AW214)+(AX214+AY214-BB214),2)</f>
        <v>0</v>
      </c>
      <c r="BE214" s="25" t="str">
        <f aca="false">IF(H214&gt;0.005,$C$5,IF(M214&gt;0.005,$C$6,IF(R214&gt;0.005,$C$7,IF(W214&gt;0.005,$C$8,IF(AB214&gt;0.005,$C$9,IF(AG214&gt;0.005,$C$10,IF(AL214&gt;0.005,$C$11,IF(AQ214&gt;0.005,$C$12,IF(AV214&gt;0.005,$C$13,IF(BA214&gt;0.005,$C$14,""))))))))))</f>
        <v/>
      </c>
    </row>
    <row r="215" customFormat="false" ht="15" hidden="false" customHeight="false" outlineLevel="0" collapsed="false">
      <c r="A215" s="24" t="n">
        <v>192</v>
      </c>
      <c r="B215" s="54" t="n">
        <f aca="false">EDATE($C$17,A215-1)</f>
        <v>52140</v>
      </c>
      <c r="C215" s="55" t="n">
        <f aca="false">G215+L215+Q215+V215+AA215+AF215+AK215+AP215+AU215+AZ215</f>
        <v>0</v>
      </c>
      <c r="D215" s="55" t="n">
        <f aca="false">MAX(0,$C$16-C215)</f>
        <v>5822</v>
      </c>
      <c r="E215" s="55" t="n">
        <f aca="false">ROUND(MAX(0,E214+F214-I214),2)</f>
        <v>0</v>
      </c>
      <c r="F215" s="55" t="n">
        <f aca="false">ROUND(E215*$E$5/12,2)</f>
        <v>0</v>
      </c>
      <c r="G215" s="55" t="n">
        <f aca="false">MIN($F$5,E215+F215)</f>
        <v>0</v>
      </c>
      <c r="H215" s="55" t="n">
        <f aca="false">MAX(0,MIN(E215+F215-G215,$D215))</f>
        <v>0</v>
      </c>
      <c r="I215" s="55" t="n">
        <f aca="false">G215+H215</f>
        <v>0</v>
      </c>
      <c r="J215" s="55" t="n">
        <f aca="false">ROUND(MAX(0,J214+K214-N214),2)</f>
        <v>0</v>
      </c>
      <c r="K215" s="55" t="n">
        <f aca="false">ROUND(J215*$E$6/12,2)</f>
        <v>0</v>
      </c>
      <c r="L215" s="55" t="n">
        <f aca="false">MIN($F$6,J215+K215)</f>
        <v>0</v>
      </c>
      <c r="M215" s="55" t="n">
        <f aca="false">MAX(0,MIN(J215+K215-L215,$D215-(H215)))</f>
        <v>0</v>
      </c>
      <c r="N215" s="55" t="n">
        <f aca="false">L215+M215</f>
        <v>0</v>
      </c>
      <c r="O215" s="55" t="n">
        <f aca="false">ROUND(MAX(0,O214+P214-S214),2)</f>
        <v>0</v>
      </c>
      <c r="P215" s="55" t="n">
        <f aca="false">ROUND(O215*$E$7/12,2)</f>
        <v>0</v>
      </c>
      <c r="Q215" s="55" t="n">
        <f aca="false">MIN($F$7,O215+P215)</f>
        <v>0</v>
      </c>
      <c r="R215" s="55" t="n">
        <f aca="false">MAX(0,MIN(O215+P215-Q215,$D215-(H215+M215)))</f>
        <v>0</v>
      </c>
      <c r="S215" s="55" t="n">
        <f aca="false">Q215+R215</f>
        <v>0</v>
      </c>
      <c r="T215" s="55" t="n">
        <f aca="false">ROUND(MAX(0,T214+U214-X214),2)</f>
        <v>0</v>
      </c>
      <c r="U215" s="55" t="n">
        <f aca="false">ROUND(T215*$E$8/12,2)</f>
        <v>0</v>
      </c>
      <c r="V215" s="55" t="n">
        <f aca="false">MIN($F$8,T215+U215)</f>
        <v>0</v>
      </c>
      <c r="W215" s="55" t="n">
        <f aca="false">MAX(0,MIN(T215+U215-V215,$D215-(H215+M215+R215)))</f>
        <v>0</v>
      </c>
      <c r="X215" s="55" t="n">
        <f aca="false">V215+W215</f>
        <v>0</v>
      </c>
      <c r="Y215" s="55" t="n">
        <f aca="false">ROUND(MAX(0,Y214+Z214-AC214),2)</f>
        <v>0</v>
      </c>
      <c r="Z215" s="55" t="n">
        <f aca="false">ROUND(Y215*$E$9/12,2)</f>
        <v>0</v>
      </c>
      <c r="AA215" s="55" t="n">
        <f aca="false">MIN($F$9,Y215+Z215)</f>
        <v>0</v>
      </c>
      <c r="AB215" s="55" t="n">
        <f aca="false">MAX(0,MIN(Y215+Z215-AA215,$D215-(H215+M215+R215+W215)))</f>
        <v>0</v>
      </c>
      <c r="AC215" s="55" t="n">
        <f aca="false">AA215+AB215</f>
        <v>0</v>
      </c>
      <c r="AD215" s="55" t="n">
        <f aca="false">ROUND(MAX(0,AD214+AE214-AH214),2)</f>
        <v>0</v>
      </c>
      <c r="AE215" s="55" t="n">
        <f aca="false">ROUND(AD215*$E$10/12,2)</f>
        <v>0</v>
      </c>
      <c r="AF215" s="55" t="n">
        <f aca="false">MIN($F$10,AD215+AE215)</f>
        <v>0</v>
      </c>
      <c r="AG215" s="55" t="n">
        <f aca="false">MAX(0,MIN(AD215+AE215-AF215,$D215-(H215+M215+R215+W215+AB215)))</f>
        <v>0</v>
      </c>
      <c r="AH215" s="55" t="n">
        <f aca="false">AF215+AG215</f>
        <v>0</v>
      </c>
      <c r="AI215" s="55" t="n">
        <f aca="false">ROUND(MAX(0,AI214+AJ214-AM214),2)</f>
        <v>0</v>
      </c>
      <c r="AJ215" s="55" t="n">
        <f aca="false">ROUND(AI215*$E$11/12,2)</f>
        <v>0</v>
      </c>
      <c r="AK215" s="55" t="n">
        <f aca="false">MIN($F$11,AI215+AJ215)</f>
        <v>0</v>
      </c>
      <c r="AL215" s="55" t="n">
        <f aca="false">MAX(0,MIN(AI215+AJ215-AK215,$D215-(H215+M215+R215+W215+AB215+AG215)))</f>
        <v>0</v>
      </c>
      <c r="AM215" s="55" t="n">
        <f aca="false">AK215+AL215</f>
        <v>0</v>
      </c>
      <c r="AN215" s="55" t="n">
        <f aca="false">ROUND(MAX(0,AN214+AO214-AR214),2)</f>
        <v>0</v>
      </c>
      <c r="AO215" s="55" t="n">
        <f aca="false">ROUND(AN215*$E$12/12,2)</f>
        <v>0</v>
      </c>
      <c r="AP215" s="55" t="n">
        <f aca="false">MIN($F$12,AN215+AO215)</f>
        <v>0</v>
      </c>
      <c r="AQ215" s="55" t="n">
        <f aca="false">MAX(0,MIN(AN215+AO215-AP215,$D215-(H215+M215+R215+W215+AB215+AG215+AL215)))</f>
        <v>0</v>
      </c>
      <c r="AR215" s="55" t="n">
        <f aca="false">AP215+AQ215</f>
        <v>0</v>
      </c>
      <c r="AS215" s="55" t="n">
        <f aca="false">ROUND(MAX(0,AS214+AT214-AW214),2)</f>
        <v>0</v>
      </c>
      <c r="AT215" s="55" t="n">
        <f aca="false">ROUND(AS215*$E$13/12,2)</f>
        <v>0</v>
      </c>
      <c r="AU215" s="55" t="n">
        <f aca="false">MIN($F$13,AS215+AT215)</f>
        <v>0</v>
      </c>
      <c r="AV215" s="55" t="n">
        <f aca="false">MAX(0,MIN(AS215+AT215-AU215,$D215-(H215+M215+R215+W215+AB215+AG215+AL215+AQ215)))</f>
        <v>0</v>
      </c>
      <c r="AW215" s="55" t="n">
        <f aca="false">AU215+AV215</f>
        <v>0</v>
      </c>
      <c r="AX215" s="55" t="n">
        <f aca="false">ROUND(MAX(0,AX214+AY214-BB214),2)</f>
        <v>0</v>
      </c>
      <c r="AY215" s="55" t="n">
        <f aca="false">ROUND(AX215*$E$14/12,2)</f>
        <v>0</v>
      </c>
      <c r="AZ215" s="55" t="n">
        <f aca="false">MIN($F$14,AX215+AY215)</f>
        <v>0</v>
      </c>
      <c r="BA215" s="55" t="n">
        <f aca="false">MAX(0,MIN(AX215+AY215-AZ215,$D215-(H215+M215+R215+W215+AB215+AG215+AL215+AQ215+AV215)))</f>
        <v>0</v>
      </c>
      <c r="BB215" s="55" t="n">
        <f aca="false">AZ215+BA215</f>
        <v>0</v>
      </c>
      <c r="BC215" s="55" t="n">
        <f aca="false">I215+N215+S215+X215+AC215+AH215+AM215+AR215+AW215+BB215</f>
        <v>0</v>
      </c>
      <c r="BD215" s="55" t="n">
        <f aca="false">ROUND((E215+F215-I215)+(J215+K215-N215)+(O215+P215-S215)+(T215+U215-X215)+(Y215+Z215-AC215)+(AD215+AE215-AH215)+(AI215+AJ215-AM215)+(AN215+AO215-AR215)+(AS215+AT215-AW215)+(AX215+AY215-BB215),2)</f>
        <v>0</v>
      </c>
      <c r="BE215" s="25" t="str">
        <f aca="false">IF(H215&gt;0.005,$C$5,IF(M215&gt;0.005,$C$6,IF(R215&gt;0.005,$C$7,IF(W215&gt;0.005,$C$8,IF(AB215&gt;0.005,$C$9,IF(AG215&gt;0.005,$C$10,IF(AL215&gt;0.005,$C$11,IF(AQ215&gt;0.005,$C$12,IF(AV215&gt;0.005,$C$13,IF(BA215&gt;0.005,$C$14,""))))))))))</f>
        <v/>
      </c>
    </row>
    <row r="216" customFormat="false" ht="15" hidden="false" customHeight="false" outlineLevel="0" collapsed="false">
      <c r="A216" s="24" t="n">
        <v>193</v>
      </c>
      <c r="B216" s="54" t="n">
        <f aca="false">EDATE($C$17,A216-1)</f>
        <v>52171</v>
      </c>
      <c r="C216" s="55" t="n">
        <f aca="false">G216+L216+Q216+V216+AA216+AF216+AK216+AP216+AU216+AZ216</f>
        <v>0</v>
      </c>
      <c r="D216" s="55" t="n">
        <f aca="false">MAX(0,$C$16-C216)</f>
        <v>5822</v>
      </c>
      <c r="E216" s="55" t="n">
        <f aca="false">ROUND(MAX(0,E215+F215-I215),2)</f>
        <v>0</v>
      </c>
      <c r="F216" s="55" t="n">
        <f aca="false">ROUND(E216*$E$5/12,2)</f>
        <v>0</v>
      </c>
      <c r="G216" s="55" t="n">
        <f aca="false">MIN($F$5,E216+F216)</f>
        <v>0</v>
      </c>
      <c r="H216" s="55" t="n">
        <f aca="false">MAX(0,MIN(E216+F216-G216,$D216))</f>
        <v>0</v>
      </c>
      <c r="I216" s="55" t="n">
        <f aca="false">G216+H216</f>
        <v>0</v>
      </c>
      <c r="J216" s="55" t="n">
        <f aca="false">ROUND(MAX(0,J215+K215-N215),2)</f>
        <v>0</v>
      </c>
      <c r="K216" s="55" t="n">
        <f aca="false">ROUND(J216*$E$6/12,2)</f>
        <v>0</v>
      </c>
      <c r="L216" s="55" t="n">
        <f aca="false">MIN($F$6,J216+K216)</f>
        <v>0</v>
      </c>
      <c r="M216" s="55" t="n">
        <f aca="false">MAX(0,MIN(J216+K216-L216,$D216-(H216)))</f>
        <v>0</v>
      </c>
      <c r="N216" s="55" t="n">
        <f aca="false">L216+M216</f>
        <v>0</v>
      </c>
      <c r="O216" s="55" t="n">
        <f aca="false">ROUND(MAX(0,O215+P215-S215),2)</f>
        <v>0</v>
      </c>
      <c r="P216" s="55" t="n">
        <f aca="false">ROUND(O216*$E$7/12,2)</f>
        <v>0</v>
      </c>
      <c r="Q216" s="55" t="n">
        <f aca="false">MIN($F$7,O216+P216)</f>
        <v>0</v>
      </c>
      <c r="R216" s="55" t="n">
        <f aca="false">MAX(0,MIN(O216+P216-Q216,$D216-(H216+M216)))</f>
        <v>0</v>
      </c>
      <c r="S216" s="55" t="n">
        <f aca="false">Q216+R216</f>
        <v>0</v>
      </c>
      <c r="T216" s="55" t="n">
        <f aca="false">ROUND(MAX(0,T215+U215-X215),2)</f>
        <v>0</v>
      </c>
      <c r="U216" s="55" t="n">
        <f aca="false">ROUND(T216*$E$8/12,2)</f>
        <v>0</v>
      </c>
      <c r="V216" s="55" t="n">
        <f aca="false">MIN($F$8,T216+U216)</f>
        <v>0</v>
      </c>
      <c r="W216" s="55" t="n">
        <f aca="false">MAX(0,MIN(T216+U216-V216,$D216-(H216+M216+R216)))</f>
        <v>0</v>
      </c>
      <c r="X216" s="55" t="n">
        <f aca="false">V216+W216</f>
        <v>0</v>
      </c>
      <c r="Y216" s="55" t="n">
        <f aca="false">ROUND(MAX(0,Y215+Z215-AC215),2)</f>
        <v>0</v>
      </c>
      <c r="Z216" s="55" t="n">
        <f aca="false">ROUND(Y216*$E$9/12,2)</f>
        <v>0</v>
      </c>
      <c r="AA216" s="55" t="n">
        <f aca="false">MIN($F$9,Y216+Z216)</f>
        <v>0</v>
      </c>
      <c r="AB216" s="55" t="n">
        <f aca="false">MAX(0,MIN(Y216+Z216-AA216,$D216-(H216+M216+R216+W216)))</f>
        <v>0</v>
      </c>
      <c r="AC216" s="55" t="n">
        <f aca="false">AA216+AB216</f>
        <v>0</v>
      </c>
      <c r="AD216" s="55" t="n">
        <f aca="false">ROUND(MAX(0,AD215+AE215-AH215),2)</f>
        <v>0</v>
      </c>
      <c r="AE216" s="55" t="n">
        <f aca="false">ROUND(AD216*$E$10/12,2)</f>
        <v>0</v>
      </c>
      <c r="AF216" s="55" t="n">
        <f aca="false">MIN($F$10,AD216+AE216)</f>
        <v>0</v>
      </c>
      <c r="AG216" s="55" t="n">
        <f aca="false">MAX(0,MIN(AD216+AE216-AF216,$D216-(H216+M216+R216+W216+AB216)))</f>
        <v>0</v>
      </c>
      <c r="AH216" s="55" t="n">
        <f aca="false">AF216+AG216</f>
        <v>0</v>
      </c>
      <c r="AI216" s="55" t="n">
        <f aca="false">ROUND(MAX(0,AI215+AJ215-AM215),2)</f>
        <v>0</v>
      </c>
      <c r="AJ216" s="55" t="n">
        <f aca="false">ROUND(AI216*$E$11/12,2)</f>
        <v>0</v>
      </c>
      <c r="AK216" s="55" t="n">
        <f aca="false">MIN($F$11,AI216+AJ216)</f>
        <v>0</v>
      </c>
      <c r="AL216" s="55" t="n">
        <f aca="false">MAX(0,MIN(AI216+AJ216-AK216,$D216-(H216+M216+R216+W216+AB216+AG216)))</f>
        <v>0</v>
      </c>
      <c r="AM216" s="55" t="n">
        <f aca="false">AK216+AL216</f>
        <v>0</v>
      </c>
      <c r="AN216" s="55" t="n">
        <f aca="false">ROUND(MAX(0,AN215+AO215-AR215),2)</f>
        <v>0</v>
      </c>
      <c r="AO216" s="55" t="n">
        <f aca="false">ROUND(AN216*$E$12/12,2)</f>
        <v>0</v>
      </c>
      <c r="AP216" s="55" t="n">
        <f aca="false">MIN($F$12,AN216+AO216)</f>
        <v>0</v>
      </c>
      <c r="AQ216" s="55" t="n">
        <f aca="false">MAX(0,MIN(AN216+AO216-AP216,$D216-(H216+M216+R216+W216+AB216+AG216+AL216)))</f>
        <v>0</v>
      </c>
      <c r="AR216" s="55" t="n">
        <f aca="false">AP216+AQ216</f>
        <v>0</v>
      </c>
      <c r="AS216" s="55" t="n">
        <f aca="false">ROUND(MAX(0,AS215+AT215-AW215),2)</f>
        <v>0</v>
      </c>
      <c r="AT216" s="55" t="n">
        <f aca="false">ROUND(AS216*$E$13/12,2)</f>
        <v>0</v>
      </c>
      <c r="AU216" s="55" t="n">
        <f aca="false">MIN($F$13,AS216+AT216)</f>
        <v>0</v>
      </c>
      <c r="AV216" s="55" t="n">
        <f aca="false">MAX(0,MIN(AS216+AT216-AU216,$D216-(H216+M216+R216+W216+AB216+AG216+AL216+AQ216)))</f>
        <v>0</v>
      </c>
      <c r="AW216" s="55" t="n">
        <f aca="false">AU216+AV216</f>
        <v>0</v>
      </c>
      <c r="AX216" s="55" t="n">
        <f aca="false">ROUND(MAX(0,AX215+AY215-BB215),2)</f>
        <v>0</v>
      </c>
      <c r="AY216" s="55" t="n">
        <f aca="false">ROUND(AX216*$E$14/12,2)</f>
        <v>0</v>
      </c>
      <c r="AZ216" s="55" t="n">
        <f aca="false">MIN($F$14,AX216+AY216)</f>
        <v>0</v>
      </c>
      <c r="BA216" s="55" t="n">
        <f aca="false">MAX(0,MIN(AX216+AY216-AZ216,$D216-(H216+M216+R216+W216+AB216+AG216+AL216+AQ216+AV216)))</f>
        <v>0</v>
      </c>
      <c r="BB216" s="55" t="n">
        <f aca="false">AZ216+BA216</f>
        <v>0</v>
      </c>
      <c r="BC216" s="55" t="n">
        <f aca="false">I216+N216+S216+X216+AC216+AH216+AM216+AR216+AW216+BB216</f>
        <v>0</v>
      </c>
      <c r="BD216" s="55" t="n">
        <f aca="false">ROUND((E216+F216-I216)+(J216+K216-N216)+(O216+P216-S216)+(T216+U216-X216)+(Y216+Z216-AC216)+(AD216+AE216-AH216)+(AI216+AJ216-AM216)+(AN216+AO216-AR216)+(AS216+AT216-AW216)+(AX216+AY216-BB216),2)</f>
        <v>0</v>
      </c>
      <c r="BE216" s="25" t="str">
        <f aca="false">IF(H216&gt;0.005,$C$5,IF(M216&gt;0.005,$C$6,IF(R216&gt;0.005,$C$7,IF(W216&gt;0.005,$C$8,IF(AB216&gt;0.005,$C$9,IF(AG216&gt;0.005,$C$10,IF(AL216&gt;0.005,$C$11,IF(AQ216&gt;0.005,$C$12,IF(AV216&gt;0.005,$C$13,IF(BA216&gt;0.005,$C$14,""))))))))))</f>
        <v/>
      </c>
    </row>
    <row r="217" customFormat="false" ht="15" hidden="false" customHeight="false" outlineLevel="0" collapsed="false">
      <c r="A217" s="24" t="n">
        <v>194</v>
      </c>
      <c r="B217" s="54" t="n">
        <f aca="false">EDATE($C$17,A217-1)</f>
        <v>52201</v>
      </c>
      <c r="C217" s="55" t="n">
        <f aca="false">G217+L217+Q217+V217+AA217+AF217+AK217+AP217+AU217+AZ217</f>
        <v>0</v>
      </c>
      <c r="D217" s="55" t="n">
        <f aca="false">MAX(0,$C$16-C217)</f>
        <v>5822</v>
      </c>
      <c r="E217" s="55" t="n">
        <f aca="false">ROUND(MAX(0,E216+F216-I216),2)</f>
        <v>0</v>
      </c>
      <c r="F217" s="55" t="n">
        <f aca="false">ROUND(E217*$E$5/12,2)</f>
        <v>0</v>
      </c>
      <c r="G217" s="55" t="n">
        <f aca="false">MIN($F$5,E217+F217)</f>
        <v>0</v>
      </c>
      <c r="H217" s="55" t="n">
        <f aca="false">MAX(0,MIN(E217+F217-G217,$D217))</f>
        <v>0</v>
      </c>
      <c r="I217" s="55" t="n">
        <f aca="false">G217+H217</f>
        <v>0</v>
      </c>
      <c r="J217" s="55" t="n">
        <f aca="false">ROUND(MAX(0,J216+K216-N216),2)</f>
        <v>0</v>
      </c>
      <c r="K217" s="55" t="n">
        <f aca="false">ROUND(J217*$E$6/12,2)</f>
        <v>0</v>
      </c>
      <c r="L217" s="55" t="n">
        <f aca="false">MIN($F$6,J217+K217)</f>
        <v>0</v>
      </c>
      <c r="M217" s="55" t="n">
        <f aca="false">MAX(0,MIN(J217+K217-L217,$D217-(H217)))</f>
        <v>0</v>
      </c>
      <c r="N217" s="55" t="n">
        <f aca="false">L217+M217</f>
        <v>0</v>
      </c>
      <c r="O217" s="55" t="n">
        <f aca="false">ROUND(MAX(0,O216+P216-S216),2)</f>
        <v>0</v>
      </c>
      <c r="P217" s="55" t="n">
        <f aca="false">ROUND(O217*$E$7/12,2)</f>
        <v>0</v>
      </c>
      <c r="Q217" s="55" t="n">
        <f aca="false">MIN($F$7,O217+P217)</f>
        <v>0</v>
      </c>
      <c r="R217" s="55" t="n">
        <f aca="false">MAX(0,MIN(O217+P217-Q217,$D217-(H217+M217)))</f>
        <v>0</v>
      </c>
      <c r="S217" s="55" t="n">
        <f aca="false">Q217+R217</f>
        <v>0</v>
      </c>
      <c r="T217" s="55" t="n">
        <f aca="false">ROUND(MAX(0,T216+U216-X216),2)</f>
        <v>0</v>
      </c>
      <c r="U217" s="55" t="n">
        <f aca="false">ROUND(T217*$E$8/12,2)</f>
        <v>0</v>
      </c>
      <c r="V217" s="55" t="n">
        <f aca="false">MIN($F$8,T217+U217)</f>
        <v>0</v>
      </c>
      <c r="W217" s="55" t="n">
        <f aca="false">MAX(0,MIN(T217+U217-V217,$D217-(H217+M217+R217)))</f>
        <v>0</v>
      </c>
      <c r="X217" s="55" t="n">
        <f aca="false">V217+W217</f>
        <v>0</v>
      </c>
      <c r="Y217" s="55" t="n">
        <f aca="false">ROUND(MAX(0,Y216+Z216-AC216),2)</f>
        <v>0</v>
      </c>
      <c r="Z217" s="55" t="n">
        <f aca="false">ROUND(Y217*$E$9/12,2)</f>
        <v>0</v>
      </c>
      <c r="AA217" s="55" t="n">
        <f aca="false">MIN($F$9,Y217+Z217)</f>
        <v>0</v>
      </c>
      <c r="AB217" s="55" t="n">
        <f aca="false">MAX(0,MIN(Y217+Z217-AA217,$D217-(H217+M217+R217+W217)))</f>
        <v>0</v>
      </c>
      <c r="AC217" s="55" t="n">
        <f aca="false">AA217+AB217</f>
        <v>0</v>
      </c>
      <c r="AD217" s="55" t="n">
        <f aca="false">ROUND(MAX(0,AD216+AE216-AH216),2)</f>
        <v>0</v>
      </c>
      <c r="AE217" s="55" t="n">
        <f aca="false">ROUND(AD217*$E$10/12,2)</f>
        <v>0</v>
      </c>
      <c r="AF217" s="55" t="n">
        <f aca="false">MIN($F$10,AD217+AE217)</f>
        <v>0</v>
      </c>
      <c r="AG217" s="55" t="n">
        <f aca="false">MAX(0,MIN(AD217+AE217-AF217,$D217-(H217+M217+R217+W217+AB217)))</f>
        <v>0</v>
      </c>
      <c r="AH217" s="55" t="n">
        <f aca="false">AF217+AG217</f>
        <v>0</v>
      </c>
      <c r="AI217" s="55" t="n">
        <f aca="false">ROUND(MAX(0,AI216+AJ216-AM216),2)</f>
        <v>0</v>
      </c>
      <c r="AJ217" s="55" t="n">
        <f aca="false">ROUND(AI217*$E$11/12,2)</f>
        <v>0</v>
      </c>
      <c r="AK217" s="55" t="n">
        <f aca="false">MIN($F$11,AI217+AJ217)</f>
        <v>0</v>
      </c>
      <c r="AL217" s="55" t="n">
        <f aca="false">MAX(0,MIN(AI217+AJ217-AK217,$D217-(H217+M217+R217+W217+AB217+AG217)))</f>
        <v>0</v>
      </c>
      <c r="AM217" s="55" t="n">
        <f aca="false">AK217+AL217</f>
        <v>0</v>
      </c>
      <c r="AN217" s="55" t="n">
        <f aca="false">ROUND(MAX(0,AN216+AO216-AR216),2)</f>
        <v>0</v>
      </c>
      <c r="AO217" s="55" t="n">
        <f aca="false">ROUND(AN217*$E$12/12,2)</f>
        <v>0</v>
      </c>
      <c r="AP217" s="55" t="n">
        <f aca="false">MIN($F$12,AN217+AO217)</f>
        <v>0</v>
      </c>
      <c r="AQ217" s="55" t="n">
        <f aca="false">MAX(0,MIN(AN217+AO217-AP217,$D217-(H217+M217+R217+W217+AB217+AG217+AL217)))</f>
        <v>0</v>
      </c>
      <c r="AR217" s="55" t="n">
        <f aca="false">AP217+AQ217</f>
        <v>0</v>
      </c>
      <c r="AS217" s="55" t="n">
        <f aca="false">ROUND(MAX(0,AS216+AT216-AW216),2)</f>
        <v>0</v>
      </c>
      <c r="AT217" s="55" t="n">
        <f aca="false">ROUND(AS217*$E$13/12,2)</f>
        <v>0</v>
      </c>
      <c r="AU217" s="55" t="n">
        <f aca="false">MIN($F$13,AS217+AT217)</f>
        <v>0</v>
      </c>
      <c r="AV217" s="55" t="n">
        <f aca="false">MAX(0,MIN(AS217+AT217-AU217,$D217-(H217+M217+R217+W217+AB217+AG217+AL217+AQ217)))</f>
        <v>0</v>
      </c>
      <c r="AW217" s="55" t="n">
        <f aca="false">AU217+AV217</f>
        <v>0</v>
      </c>
      <c r="AX217" s="55" t="n">
        <f aca="false">ROUND(MAX(0,AX216+AY216-BB216),2)</f>
        <v>0</v>
      </c>
      <c r="AY217" s="55" t="n">
        <f aca="false">ROUND(AX217*$E$14/12,2)</f>
        <v>0</v>
      </c>
      <c r="AZ217" s="55" t="n">
        <f aca="false">MIN($F$14,AX217+AY217)</f>
        <v>0</v>
      </c>
      <c r="BA217" s="55" t="n">
        <f aca="false">MAX(0,MIN(AX217+AY217-AZ217,$D217-(H217+M217+R217+W217+AB217+AG217+AL217+AQ217+AV217)))</f>
        <v>0</v>
      </c>
      <c r="BB217" s="55" t="n">
        <f aca="false">AZ217+BA217</f>
        <v>0</v>
      </c>
      <c r="BC217" s="55" t="n">
        <f aca="false">I217+N217+S217+X217+AC217+AH217+AM217+AR217+AW217+BB217</f>
        <v>0</v>
      </c>
      <c r="BD217" s="55" t="n">
        <f aca="false">ROUND((E217+F217-I217)+(J217+K217-N217)+(O217+P217-S217)+(T217+U217-X217)+(Y217+Z217-AC217)+(AD217+AE217-AH217)+(AI217+AJ217-AM217)+(AN217+AO217-AR217)+(AS217+AT217-AW217)+(AX217+AY217-BB217),2)</f>
        <v>0</v>
      </c>
      <c r="BE217" s="25" t="str">
        <f aca="false">IF(H217&gt;0.005,$C$5,IF(M217&gt;0.005,$C$6,IF(R217&gt;0.005,$C$7,IF(W217&gt;0.005,$C$8,IF(AB217&gt;0.005,$C$9,IF(AG217&gt;0.005,$C$10,IF(AL217&gt;0.005,$C$11,IF(AQ217&gt;0.005,$C$12,IF(AV217&gt;0.005,$C$13,IF(BA217&gt;0.005,$C$14,""))))))))))</f>
        <v/>
      </c>
    </row>
    <row r="218" customFormat="false" ht="15" hidden="false" customHeight="false" outlineLevel="0" collapsed="false">
      <c r="A218" s="24" t="n">
        <v>195</v>
      </c>
      <c r="B218" s="54" t="n">
        <f aca="false">EDATE($C$17,A218-1)</f>
        <v>52232</v>
      </c>
      <c r="C218" s="55" t="n">
        <f aca="false">G218+L218+Q218+V218+AA218+AF218+AK218+AP218+AU218+AZ218</f>
        <v>0</v>
      </c>
      <c r="D218" s="55" t="n">
        <f aca="false">MAX(0,$C$16-C218)</f>
        <v>5822</v>
      </c>
      <c r="E218" s="55" t="n">
        <f aca="false">ROUND(MAX(0,E217+F217-I217),2)</f>
        <v>0</v>
      </c>
      <c r="F218" s="55" t="n">
        <f aca="false">ROUND(E218*$E$5/12,2)</f>
        <v>0</v>
      </c>
      <c r="G218" s="55" t="n">
        <f aca="false">MIN($F$5,E218+F218)</f>
        <v>0</v>
      </c>
      <c r="H218" s="55" t="n">
        <f aca="false">MAX(0,MIN(E218+F218-G218,$D218))</f>
        <v>0</v>
      </c>
      <c r="I218" s="55" t="n">
        <f aca="false">G218+H218</f>
        <v>0</v>
      </c>
      <c r="J218" s="55" t="n">
        <f aca="false">ROUND(MAX(0,J217+K217-N217),2)</f>
        <v>0</v>
      </c>
      <c r="K218" s="55" t="n">
        <f aca="false">ROUND(J218*$E$6/12,2)</f>
        <v>0</v>
      </c>
      <c r="L218" s="55" t="n">
        <f aca="false">MIN($F$6,J218+K218)</f>
        <v>0</v>
      </c>
      <c r="M218" s="55" t="n">
        <f aca="false">MAX(0,MIN(J218+K218-L218,$D218-(H218)))</f>
        <v>0</v>
      </c>
      <c r="N218" s="55" t="n">
        <f aca="false">L218+M218</f>
        <v>0</v>
      </c>
      <c r="O218" s="55" t="n">
        <f aca="false">ROUND(MAX(0,O217+P217-S217),2)</f>
        <v>0</v>
      </c>
      <c r="P218" s="55" t="n">
        <f aca="false">ROUND(O218*$E$7/12,2)</f>
        <v>0</v>
      </c>
      <c r="Q218" s="55" t="n">
        <f aca="false">MIN($F$7,O218+P218)</f>
        <v>0</v>
      </c>
      <c r="R218" s="55" t="n">
        <f aca="false">MAX(0,MIN(O218+P218-Q218,$D218-(H218+M218)))</f>
        <v>0</v>
      </c>
      <c r="S218" s="55" t="n">
        <f aca="false">Q218+R218</f>
        <v>0</v>
      </c>
      <c r="T218" s="55" t="n">
        <f aca="false">ROUND(MAX(0,T217+U217-X217),2)</f>
        <v>0</v>
      </c>
      <c r="U218" s="55" t="n">
        <f aca="false">ROUND(T218*$E$8/12,2)</f>
        <v>0</v>
      </c>
      <c r="V218" s="55" t="n">
        <f aca="false">MIN($F$8,T218+U218)</f>
        <v>0</v>
      </c>
      <c r="W218" s="55" t="n">
        <f aca="false">MAX(0,MIN(T218+U218-V218,$D218-(H218+M218+R218)))</f>
        <v>0</v>
      </c>
      <c r="X218" s="55" t="n">
        <f aca="false">V218+W218</f>
        <v>0</v>
      </c>
      <c r="Y218" s="55" t="n">
        <f aca="false">ROUND(MAX(0,Y217+Z217-AC217),2)</f>
        <v>0</v>
      </c>
      <c r="Z218" s="55" t="n">
        <f aca="false">ROUND(Y218*$E$9/12,2)</f>
        <v>0</v>
      </c>
      <c r="AA218" s="55" t="n">
        <f aca="false">MIN($F$9,Y218+Z218)</f>
        <v>0</v>
      </c>
      <c r="AB218" s="55" t="n">
        <f aca="false">MAX(0,MIN(Y218+Z218-AA218,$D218-(H218+M218+R218+W218)))</f>
        <v>0</v>
      </c>
      <c r="AC218" s="55" t="n">
        <f aca="false">AA218+AB218</f>
        <v>0</v>
      </c>
      <c r="AD218" s="55" t="n">
        <f aca="false">ROUND(MAX(0,AD217+AE217-AH217),2)</f>
        <v>0</v>
      </c>
      <c r="AE218" s="55" t="n">
        <f aca="false">ROUND(AD218*$E$10/12,2)</f>
        <v>0</v>
      </c>
      <c r="AF218" s="55" t="n">
        <f aca="false">MIN($F$10,AD218+AE218)</f>
        <v>0</v>
      </c>
      <c r="AG218" s="55" t="n">
        <f aca="false">MAX(0,MIN(AD218+AE218-AF218,$D218-(H218+M218+R218+W218+AB218)))</f>
        <v>0</v>
      </c>
      <c r="AH218" s="55" t="n">
        <f aca="false">AF218+AG218</f>
        <v>0</v>
      </c>
      <c r="AI218" s="55" t="n">
        <f aca="false">ROUND(MAX(0,AI217+AJ217-AM217),2)</f>
        <v>0</v>
      </c>
      <c r="AJ218" s="55" t="n">
        <f aca="false">ROUND(AI218*$E$11/12,2)</f>
        <v>0</v>
      </c>
      <c r="AK218" s="55" t="n">
        <f aca="false">MIN($F$11,AI218+AJ218)</f>
        <v>0</v>
      </c>
      <c r="AL218" s="55" t="n">
        <f aca="false">MAX(0,MIN(AI218+AJ218-AK218,$D218-(H218+M218+R218+W218+AB218+AG218)))</f>
        <v>0</v>
      </c>
      <c r="AM218" s="55" t="n">
        <f aca="false">AK218+AL218</f>
        <v>0</v>
      </c>
      <c r="AN218" s="55" t="n">
        <f aca="false">ROUND(MAX(0,AN217+AO217-AR217),2)</f>
        <v>0</v>
      </c>
      <c r="AO218" s="55" t="n">
        <f aca="false">ROUND(AN218*$E$12/12,2)</f>
        <v>0</v>
      </c>
      <c r="AP218" s="55" t="n">
        <f aca="false">MIN($F$12,AN218+AO218)</f>
        <v>0</v>
      </c>
      <c r="AQ218" s="55" t="n">
        <f aca="false">MAX(0,MIN(AN218+AO218-AP218,$D218-(H218+M218+R218+W218+AB218+AG218+AL218)))</f>
        <v>0</v>
      </c>
      <c r="AR218" s="55" t="n">
        <f aca="false">AP218+AQ218</f>
        <v>0</v>
      </c>
      <c r="AS218" s="55" t="n">
        <f aca="false">ROUND(MAX(0,AS217+AT217-AW217),2)</f>
        <v>0</v>
      </c>
      <c r="AT218" s="55" t="n">
        <f aca="false">ROUND(AS218*$E$13/12,2)</f>
        <v>0</v>
      </c>
      <c r="AU218" s="55" t="n">
        <f aca="false">MIN($F$13,AS218+AT218)</f>
        <v>0</v>
      </c>
      <c r="AV218" s="55" t="n">
        <f aca="false">MAX(0,MIN(AS218+AT218-AU218,$D218-(H218+M218+R218+W218+AB218+AG218+AL218+AQ218)))</f>
        <v>0</v>
      </c>
      <c r="AW218" s="55" t="n">
        <f aca="false">AU218+AV218</f>
        <v>0</v>
      </c>
      <c r="AX218" s="55" t="n">
        <f aca="false">ROUND(MAX(0,AX217+AY217-BB217),2)</f>
        <v>0</v>
      </c>
      <c r="AY218" s="55" t="n">
        <f aca="false">ROUND(AX218*$E$14/12,2)</f>
        <v>0</v>
      </c>
      <c r="AZ218" s="55" t="n">
        <f aca="false">MIN($F$14,AX218+AY218)</f>
        <v>0</v>
      </c>
      <c r="BA218" s="55" t="n">
        <f aca="false">MAX(0,MIN(AX218+AY218-AZ218,$D218-(H218+M218+R218+W218+AB218+AG218+AL218+AQ218+AV218)))</f>
        <v>0</v>
      </c>
      <c r="BB218" s="55" t="n">
        <f aca="false">AZ218+BA218</f>
        <v>0</v>
      </c>
      <c r="BC218" s="55" t="n">
        <f aca="false">I218+N218+S218+X218+AC218+AH218+AM218+AR218+AW218+BB218</f>
        <v>0</v>
      </c>
      <c r="BD218" s="55" t="n">
        <f aca="false">ROUND((E218+F218-I218)+(J218+K218-N218)+(O218+P218-S218)+(T218+U218-X218)+(Y218+Z218-AC218)+(AD218+AE218-AH218)+(AI218+AJ218-AM218)+(AN218+AO218-AR218)+(AS218+AT218-AW218)+(AX218+AY218-BB218),2)</f>
        <v>0</v>
      </c>
      <c r="BE218" s="25" t="str">
        <f aca="false">IF(H218&gt;0.005,$C$5,IF(M218&gt;0.005,$C$6,IF(R218&gt;0.005,$C$7,IF(W218&gt;0.005,$C$8,IF(AB218&gt;0.005,$C$9,IF(AG218&gt;0.005,$C$10,IF(AL218&gt;0.005,$C$11,IF(AQ218&gt;0.005,$C$12,IF(AV218&gt;0.005,$C$13,IF(BA218&gt;0.005,$C$14,""))))))))))</f>
        <v/>
      </c>
    </row>
    <row r="219" customFormat="false" ht="15" hidden="false" customHeight="false" outlineLevel="0" collapsed="false">
      <c r="A219" s="24" t="n">
        <v>196</v>
      </c>
      <c r="B219" s="54" t="n">
        <f aca="false">EDATE($C$17,A219-1)</f>
        <v>52263</v>
      </c>
      <c r="C219" s="55" t="n">
        <f aca="false">G219+L219+Q219+V219+AA219+AF219+AK219+AP219+AU219+AZ219</f>
        <v>0</v>
      </c>
      <c r="D219" s="55" t="n">
        <f aca="false">MAX(0,$C$16-C219)</f>
        <v>5822</v>
      </c>
      <c r="E219" s="55" t="n">
        <f aca="false">ROUND(MAX(0,E218+F218-I218),2)</f>
        <v>0</v>
      </c>
      <c r="F219" s="55" t="n">
        <f aca="false">ROUND(E219*$E$5/12,2)</f>
        <v>0</v>
      </c>
      <c r="G219" s="55" t="n">
        <f aca="false">MIN($F$5,E219+F219)</f>
        <v>0</v>
      </c>
      <c r="H219" s="55" t="n">
        <f aca="false">MAX(0,MIN(E219+F219-G219,$D219))</f>
        <v>0</v>
      </c>
      <c r="I219" s="55" t="n">
        <f aca="false">G219+H219</f>
        <v>0</v>
      </c>
      <c r="J219" s="55" t="n">
        <f aca="false">ROUND(MAX(0,J218+K218-N218),2)</f>
        <v>0</v>
      </c>
      <c r="K219" s="55" t="n">
        <f aca="false">ROUND(J219*$E$6/12,2)</f>
        <v>0</v>
      </c>
      <c r="L219" s="55" t="n">
        <f aca="false">MIN($F$6,J219+K219)</f>
        <v>0</v>
      </c>
      <c r="M219" s="55" t="n">
        <f aca="false">MAX(0,MIN(J219+K219-L219,$D219-(H219)))</f>
        <v>0</v>
      </c>
      <c r="N219" s="55" t="n">
        <f aca="false">L219+M219</f>
        <v>0</v>
      </c>
      <c r="O219" s="55" t="n">
        <f aca="false">ROUND(MAX(0,O218+P218-S218),2)</f>
        <v>0</v>
      </c>
      <c r="P219" s="55" t="n">
        <f aca="false">ROUND(O219*$E$7/12,2)</f>
        <v>0</v>
      </c>
      <c r="Q219" s="55" t="n">
        <f aca="false">MIN($F$7,O219+P219)</f>
        <v>0</v>
      </c>
      <c r="R219" s="55" t="n">
        <f aca="false">MAX(0,MIN(O219+P219-Q219,$D219-(H219+M219)))</f>
        <v>0</v>
      </c>
      <c r="S219" s="55" t="n">
        <f aca="false">Q219+R219</f>
        <v>0</v>
      </c>
      <c r="T219" s="55" t="n">
        <f aca="false">ROUND(MAX(0,T218+U218-X218),2)</f>
        <v>0</v>
      </c>
      <c r="U219" s="55" t="n">
        <f aca="false">ROUND(T219*$E$8/12,2)</f>
        <v>0</v>
      </c>
      <c r="V219" s="55" t="n">
        <f aca="false">MIN($F$8,T219+U219)</f>
        <v>0</v>
      </c>
      <c r="W219" s="55" t="n">
        <f aca="false">MAX(0,MIN(T219+U219-V219,$D219-(H219+M219+R219)))</f>
        <v>0</v>
      </c>
      <c r="X219" s="55" t="n">
        <f aca="false">V219+W219</f>
        <v>0</v>
      </c>
      <c r="Y219" s="55" t="n">
        <f aca="false">ROUND(MAX(0,Y218+Z218-AC218),2)</f>
        <v>0</v>
      </c>
      <c r="Z219" s="55" t="n">
        <f aca="false">ROUND(Y219*$E$9/12,2)</f>
        <v>0</v>
      </c>
      <c r="AA219" s="55" t="n">
        <f aca="false">MIN($F$9,Y219+Z219)</f>
        <v>0</v>
      </c>
      <c r="AB219" s="55" t="n">
        <f aca="false">MAX(0,MIN(Y219+Z219-AA219,$D219-(H219+M219+R219+W219)))</f>
        <v>0</v>
      </c>
      <c r="AC219" s="55" t="n">
        <f aca="false">AA219+AB219</f>
        <v>0</v>
      </c>
      <c r="AD219" s="55" t="n">
        <f aca="false">ROUND(MAX(0,AD218+AE218-AH218),2)</f>
        <v>0</v>
      </c>
      <c r="AE219" s="55" t="n">
        <f aca="false">ROUND(AD219*$E$10/12,2)</f>
        <v>0</v>
      </c>
      <c r="AF219" s="55" t="n">
        <f aca="false">MIN($F$10,AD219+AE219)</f>
        <v>0</v>
      </c>
      <c r="AG219" s="55" t="n">
        <f aca="false">MAX(0,MIN(AD219+AE219-AF219,$D219-(H219+M219+R219+W219+AB219)))</f>
        <v>0</v>
      </c>
      <c r="AH219" s="55" t="n">
        <f aca="false">AF219+AG219</f>
        <v>0</v>
      </c>
      <c r="AI219" s="55" t="n">
        <f aca="false">ROUND(MAX(0,AI218+AJ218-AM218),2)</f>
        <v>0</v>
      </c>
      <c r="AJ219" s="55" t="n">
        <f aca="false">ROUND(AI219*$E$11/12,2)</f>
        <v>0</v>
      </c>
      <c r="AK219" s="55" t="n">
        <f aca="false">MIN($F$11,AI219+AJ219)</f>
        <v>0</v>
      </c>
      <c r="AL219" s="55" t="n">
        <f aca="false">MAX(0,MIN(AI219+AJ219-AK219,$D219-(H219+M219+R219+W219+AB219+AG219)))</f>
        <v>0</v>
      </c>
      <c r="AM219" s="55" t="n">
        <f aca="false">AK219+AL219</f>
        <v>0</v>
      </c>
      <c r="AN219" s="55" t="n">
        <f aca="false">ROUND(MAX(0,AN218+AO218-AR218),2)</f>
        <v>0</v>
      </c>
      <c r="AO219" s="55" t="n">
        <f aca="false">ROUND(AN219*$E$12/12,2)</f>
        <v>0</v>
      </c>
      <c r="AP219" s="55" t="n">
        <f aca="false">MIN($F$12,AN219+AO219)</f>
        <v>0</v>
      </c>
      <c r="AQ219" s="55" t="n">
        <f aca="false">MAX(0,MIN(AN219+AO219-AP219,$D219-(H219+M219+R219+W219+AB219+AG219+AL219)))</f>
        <v>0</v>
      </c>
      <c r="AR219" s="55" t="n">
        <f aca="false">AP219+AQ219</f>
        <v>0</v>
      </c>
      <c r="AS219" s="55" t="n">
        <f aca="false">ROUND(MAX(0,AS218+AT218-AW218),2)</f>
        <v>0</v>
      </c>
      <c r="AT219" s="55" t="n">
        <f aca="false">ROUND(AS219*$E$13/12,2)</f>
        <v>0</v>
      </c>
      <c r="AU219" s="55" t="n">
        <f aca="false">MIN($F$13,AS219+AT219)</f>
        <v>0</v>
      </c>
      <c r="AV219" s="55" t="n">
        <f aca="false">MAX(0,MIN(AS219+AT219-AU219,$D219-(H219+M219+R219+W219+AB219+AG219+AL219+AQ219)))</f>
        <v>0</v>
      </c>
      <c r="AW219" s="55" t="n">
        <f aca="false">AU219+AV219</f>
        <v>0</v>
      </c>
      <c r="AX219" s="55" t="n">
        <f aca="false">ROUND(MAX(0,AX218+AY218-BB218),2)</f>
        <v>0</v>
      </c>
      <c r="AY219" s="55" t="n">
        <f aca="false">ROUND(AX219*$E$14/12,2)</f>
        <v>0</v>
      </c>
      <c r="AZ219" s="55" t="n">
        <f aca="false">MIN($F$14,AX219+AY219)</f>
        <v>0</v>
      </c>
      <c r="BA219" s="55" t="n">
        <f aca="false">MAX(0,MIN(AX219+AY219-AZ219,$D219-(H219+M219+R219+W219+AB219+AG219+AL219+AQ219+AV219)))</f>
        <v>0</v>
      </c>
      <c r="BB219" s="55" t="n">
        <f aca="false">AZ219+BA219</f>
        <v>0</v>
      </c>
      <c r="BC219" s="55" t="n">
        <f aca="false">I219+N219+S219+X219+AC219+AH219+AM219+AR219+AW219+BB219</f>
        <v>0</v>
      </c>
      <c r="BD219" s="55" t="n">
        <f aca="false">ROUND((E219+F219-I219)+(J219+K219-N219)+(O219+P219-S219)+(T219+U219-X219)+(Y219+Z219-AC219)+(AD219+AE219-AH219)+(AI219+AJ219-AM219)+(AN219+AO219-AR219)+(AS219+AT219-AW219)+(AX219+AY219-BB219),2)</f>
        <v>0</v>
      </c>
      <c r="BE219" s="25" t="str">
        <f aca="false">IF(H219&gt;0.005,$C$5,IF(M219&gt;0.005,$C$6,IF(R219&gt;0.005,$C$7,IF(W219&gt;0.005,$C$8,IF(AB219&gt;0.005,$C$9,IF(AG219&gt;0.005,$C$10,IF(AL219&gt;0.005,$C$11,IF(AQ219&gt;0.005,$C$12,IF(AV219&gt;0.005,$C$13,IF(BA219&gt;0.005,$C$14,""))))))))))</f>
        <v/>
      </c>
    </row>
    <row r="220" customFormat="false" ht="15" hidden="false" customHeight="false" outlineLevel="0" collapsed="false">
      <c r="A220" s="24" t="n">
        <v>197</v>
      </c>
      <c r="B220" s="54" t="n">
        <f aca="false">EDATE($C$17,A220-1)</f>
        <v>52291</v>
      </c>
      <c r="C220" s="55" t="n">
        <f aca="false">G220+L220+Q220+V220+AA220+AF220+AK220+AP220+AU220+AZ220</f>
        <v>0</v>
      </c>
      <c r="D220" s="55" t="n">
        <f aca="false">MAX(0,$C$16-C220)</f>
        <v>5822</v>
      </c>
      <c r="E220" s="55" t="n">
        <f aca="false">ROUND(MAX(0,E219+F219-I219),2)</f>
        <v>0</v>
      </c>
      <c r="F220" s="55" t="n">
        <f aca="false">ROUND(E220*$E$5/12,2)</f>
        <v>0</v>
      </c>
      <c r="G220" s="55" t="n">
        <f aca="false">MIN($F$5,E220+F220)</f>
        <v>0</v>
      </c>
      <c r="H220" s="55" t="n">
        <f aca="false">MAX(0,MIN(E220+F220-G220,$D220))</f>
        <v>0</v>
      </c>
      <c r="I220" s="55" t="n">
        <f aca="false">G220+H220</f>
        <v>0</v>
      </c>
      <c r="J220" s="55" t="n">
        <f aca="false">ROUND(MAX(0,J219+K219-N219),2)</f>
        <v>0</v>
      </c>
      <c r="K220" s="55" t="n">
        <f aca="false">ROUND(J220*$E$6/12,2)</f>
        <v>0</v>
      </c>
      <c r="L220" s="55" t="n">
        <f aca="false">MIN($F$6,J220+K220)</f>
        <v>0</v>
      </c>
      <c r="M220" s="55" t="n">
        <f aca="false">MAX(0,MIN(J220+K220-L220,$D220-(H220)))</f>
        <v>0</v>
      </c>
      <c r="N220" s="55" t="n">
        <f aca="false">L220+M220</f>
        <v>0</v>
      </c>
      <c r="O220" s="55" t="n">
        <f aca="false">ROUND(MAX(0,O219+P219-S219),2)</f>
        <v>0</v>
      </c>
      <c r="P220" s="55" t="n">
        <f aca="false">ROUND(O220*$E$7/12,2)</f>
        <v>0</v>
      </c>
      <c r="Q220" s="55" t="n">
        <f aca="false">MIN($F$7,O220+P220)</f>
        <v>0</v>
      </c>
      <c r="R220" s="55" t="n">
        <f aca="false">MAX(0,MIN(O220+P220-Q220,$D220-(H220+M220)))</f>
        <v>0</v>
      </c>
      <c r="S220" s="55" t="n">
        <f aca="false">Q220+R220</f>
        <v>0</v>
      </c>
      <c r="T220" s="55" t="n">
        <f aca="false">ROUND(MAX(0,T219+U219-X219),2)</f>
        <v>0</v>
      </c>
      <c r="U220" s="55" t="n">
        <f aca="false">ROUND(T220*$E$8/12,2)</f>
        <v>0</v>
      </c>
      <c r="V220" s="55" t="n">
        <f aca="false">MIN($F$8,T220+U220)</f>
        <v>0</v>
      </c>
      <c r="W220" s="55" t="n">
        <f aca="false">MAX(0,MIN(T220+U220-V220,$D220-(H220+M220+R220)))</f>
        <v>0</v>
      </c>
      <c r="X220" s="55" t="n">
        <f aca="false">V220+W220</f>
        <v>0</v>
      </c>
      <c r="Y220" s="55" t="n">
        <f aca="false">ROUND(MAX(0,Y219+Z219-AC219),2)</f>
        <v>0</v>
      </c>
      <c r="Z220" s="55" t="n">
        <f aca="false">ROUND(Y220*$E$9/12,2)</f>
        <v>0</v>
      </c>
      <c r="AA220" s="55" t="n">
        <f aca="false">MIN($F$9,Y220+Z220)</f>
        <v>0</v>
      </c>
      <c r="AB220" s="55" t="n">
        <f aca="false">MAX(0,MIN(Y220+Z220-AA220,$D220-(H220+M220+R220+W220)))</f>
        <v>0</v>
      </c>
      <c r="AC220" s="55" t="n">
        <f aca="false">AA220+AB220</f>
        <v>0</v>
      </c>
      <c r="AD220" s="55" t="n">
        <f aca="false">ROUND(MAX(0,AD219+AE219-AH219),2)</f>
        <v>0</v>
      </c>
      <c r="AE220" s="55" t="n">
        <f aca="false">ROUND(AD220*$E$10/12,2)</f>
        <v>0</v>
      </c>
      <c r="AF220" s="55" t="n">
        <f aca="false">MIN($F$10,AD220+AE220)</f>
        <v>0</v>
      </c>
      <c r="AG220" s="55" t="n">
        <f aca="false">MAX(0,MIN(AD220+AE220-AF220,$D220-(H220+M220+R220+W220+AB220)))</f>
        <v>0</v>
      </c>
      <c r="AH220" s="55" t="n">
        <f aca="false">AF220+AG220</f>
        <v>0</v>
      </c>
      <c r="AI220" s="55" t="n">
        <f aca="false">ROUND(MAX(0,AI219+AJ219-AM219),2)</f>
        <v>0</v>
      </c>
      <c r="AJ220" s="55" t="n">
        <f aca="false">ROUND(AI220*$E$11/12,2)</f>
        <v>0</v>
      </c>
      <c r="AK220" s="55" t="n">
        <f aca="false">MIN($F$11,AI220+AJ220)</f>
        <v>0</v>
      </c>
      <c r="AL220" s="55" t="n">
        <f aca="false">MAX(0,MIN(AI220+AJ220-AK220,$D220-(H220+M220+R220+W220+AB220+AG220)))</f>
        <v>0</v>
      </c>
      <c r="AM220" s="55" t="n">
        <f aca="false">AK220+AL220</f>
        <v>0</v>
      </c>
      <c r="AN220" s="55" t="n">
        <f aca="false">ROUND(MAX(0,AN219+AO219-AR219),2)</f>
        <v>0</v>
      </c>
      <c r="AO220" s="55" t="n">
        <f aca="false">ROUND(AN220*$E$12/12,2)</f>
        <v>0</v>
      </c>
      <c r="AP220" s="55" t="n">
        <f aca="false">MIN($F$12,AN220+AO220)</f>
        <v>0</v>
      </c>
      <c r="AQ220" s="55" t="n">
        <f aca="false">MAX(0,MIN(AN220+AO220-AP220,$D220-(H220+M220+R220+W220+AB220+AG220+AL220)))</f>
        <v>0</v>
      </c>
      <c r="AR220" s="55" t="n">
        <f aca="false">AP220+AQ220</f>
        <v>0</v>
      </c>
      <c r="AS220" s="55" t="n">
        <f aca="false">ROUND(MAX(0,AS219+AT219-AW219),2)</f>
        <v>0</v>
      </c>
      <c r="AT220" s="55" t="n">
        <f aca="false">ROUND(AS220*$E$13/12,2)</f>
        <v>0</v>
      </c>
      <c r="AU220" s="55" t="n">
        <f aca="false">MIN($F$13,AS220+AT220)</f>
        <v>0</v>
      </c>
      <c r="AV220" s="55" t="n">
        <f aca="false">MAX(0,MIN(AS220+AT220-AU220,$D220-(H220+M220+R220+W220+AB220+AG220+AL220+AQ220)))</f>
        <v>0</v>
      </c>
      <c r="AW220" s="55" t="n">
        <f aca="false">AU220+AV220</f>
        <v>0</v>
      </c>
      <c r="AX220" s="55" t="n">
        <f aca="false">ROUND(MAX(0,AX219+AY219-BB219),2)</f>
        <v>0</v>
      </c>
      <c r="AY220" s="55" t="n">
        <f aca="false">ROUND(AX220*$E$14/12,2)</f>
        <v>0</v>
      </c>
      <c r="AZ220" s="55" t="n">
        <f aca="false">MIN($F$14,AX220+AY220)</f>
        <v>0</v>
      </c>
      <c r="BA220" s="55" t="n">
        <f aca="false">MAX(0,MIN(AX220+AY220-AZ220,$D220-(H220+M220+R220+W220+AB220+AG220+AL220+AQ220+AV220)))</f>
        <v>0</v>
      </c>
      <c r="BB220" s="55" t="n">
        <f aca="false">AZ220+BA220</f>
        <v>0</v>
      </c>
      <c r="BC220" s="55" t="n">
        <f aca="false">I220+N220+S220+X220+AC220+AH220+AM220+AR220+AW220+BB220</f>
        <v>0</v>
      </c>
      <c r="BD220" s="55" t="n">
        <f aca="false">ROUND((E220+F220-I220)+(J220+K220-N220)+(O220+P220-S220)+(T220+U220-X220)+(Y220+Z220-AC220)+(AD220+AE220-AH220)+(AI220+AJ220-AM220)+(AN220+AO220-AR220)+(AS220+AT220-AW220)+(AX220+AY220-BB220),2)</f>
        <v>0</v>
      </c>
      <c r="BE220" s="25" t="str">
        <f aca="false">IF(H220&gt;0.005,$C$5,IF(M220&gt;0.005,$C$6,IF(R220&gt;0.005,$C$7,IF(W220&gt;0.005,$C$8,IF(AB220&gt;0.005,$C$9,IF(AG220&gt;0.005,$C$10,IF(AL220&gt;0.005,$C$11,IF(AQ220&gt;0.005,$C$12,IF(AV220&gt;0.005,$C$13,IF(BA220&gt;0.005,$C$14,""))))))))))</f>
        <v/>
      </c>
    </row>
    <row r="221" customFormat="false" ht="15" hidden="false" customHeight="false" outlineLevel="0" collapsed="false">
      <c r="A221" s="24" t="n">
        <v>198</v>
      </c>
      <c r="B221" s="54" t="n">
        <f aca="false">EDATE($C$17,A221-1)</f>
        <v>52322</v>
      </c>
      <c r="C221" s="55" t="n">
        <f aca="false">G221+L221+Q221+V221+AA221+AF221+AK221+AP221+AU221+AZ221</f>
        <v>0</v>
      </c>
      <c r="D221" s="55" t="n">
        <f aca="false">MAX(0,$C$16-C221)</f>
        <v>5822</v>
      </c>
      <c r="E221" s="55" t="n">
        <f aca="false">ROUND(MAX(0,E220+F220-I220),2)</f>
        <v>0</v>
      </c>
      <c r="F221" s="55" t="n">
        <f aca="false">ROUND(E221*$E$5/12,2)</f>
        <v>0</v>
      </c>
      <c r="G221" s="55" t="n">
        <f aca="false">MIN($F$5,E221+F221)</f>
        <v>0</v>
      </c>
      <c r="H221" s="55" t="n">
        <f aca="false">MAX(0,MIN(E221+F221-G221,$D221))</f>
        <v>0</v>
      </c>
      <c r="I221" s="55" t="n">
        <f aca="false">G221+H221</f>
        <v>0</v>
      </c>
      <c r="J221" s="55" t="n">
        <f aca="false">ROUND(MAX(0,J220+K220-N220),2)</f>
        <v>0</v>
      </c>
      <c r="K221" s="55" t="n">
        <f aca="false">ROUND(J221*$E$6/12,2)</f>
        <v>0</v>
      </c>
      <c r="L221" s="55" t="n">
        <f aca="false">MIN($F$6,J221+K221)</f>
        <v>0</v>
      </c>
      <c r="M221" s="55" t="n">
        <f aca="false">MAX(0,MIN(J221+K221-L221,$D221-(H221)))</f>
        <v>0</v>
      </c>
      <c r="N221" s="55" t="n">
        <f aca="false">L221+M221</f>
        <v>0</v>
      </c>
      <c r="O221" s="55" t="n">
        <f aca="false">ROUND(MAX(0,O220+P220-S220),2)</f>
        <v>0</v>
      </c>
      <c r="P221" s="55" t="n">
        <f aca="false">ROUND(O221*$E$7/12,2)</f>
        <v>0</v>
      </c>
      <c r="Q221" s="55" t="n">
        <f aca="false">MIN($F$7,O221+P221)</f>
        <v>0</v>
      </c>
      <c r="R221" s="55" t="n">
        <f aca="false">MAX(0,MIN(O221+P221-Q221,$D221-(H221+M221)))</f>
        <v>0</v>
      </c>
      <c r="S221" s="55" t="n">
        <f aca="false">Q221+R221</f>
        <v>0</v>
      </c>
      <c r="T221" s="55" t="n">
        <f aca="false">ROUND(MAX(0,T220+U220-X220),2)</f>
        <v>0</v>
      </c>
      <c r="U221" s="55" t="n">
        <f aca="false">ROUND(T221*$E$8/12,2)</f>
        <v>0</v>
      </c>
      <c r="V221" s="55" t="n">
        <f aca="false">MIN($F$8,T221+U221)</f>
        <v>0</v>
      </c>
      <c r="W221" s="55" t="n">
        <f aca="false">MAX(0,MIN(T221+U221-V221,$D221-(H221+M221+R221)))</f>
        <v>0</v>
      </c>
      <c r="X221" s="55" t="n">
        <f aca="false">V221+W221</f>
        <v>0</v>
      </c>
      <c r="Y221" s="55" t="n">
        <f aca="false">ROUND(MAX(0,Y220+Z220-AC220),2)</f>
        <v>0</v>
      </c>
      <c r="Z221" s="55" t="n">
        <f aca="false">ROUND(Y221*$E$9/12,2)</f>
        <v>0</v>
      </c>
      <c r="AA221" s="55" t="n">
        <f aca="false">MIN($F$9,Y221+Z221)</f>
        <v>0</v>
      </c>
      <c r="AB221" s="55" t="n">
        <f aca="false">MAX(0,MIN(Y221+Z221-AA221,$D221-(H221+M221+R221+W221)))</f>
        <v>0</v>
      </c>
      <c r="AC221" s="55" t="n">
        <f aca="false">AA221+AB221</f>
        <v>0</v>
      </c>
      <c r="AD221" s="55" t="n">
        <f aca="false">ROUND(MAX(0,AD220+AE220-AH220),2)</f>
        <v>0</v>
      </c>
      <c r="AE221" s="55" t="n">
        <f aca="false">ROUND(AD221*$E$10/12,2)</f>
        <v>0</v>
      </c>
      <c r="AF221" s="55" t="n">
        <f aca="false">MIN($F$10,AD221+AE221)</f>
        <v>0</v>
      </c>
      <c r="AG221" s="55" t="n">
        <f aca="false">MAX(0,MIN(AD221+AE221-AF221,$D221-(H221+M221+R221+W221+AB221)))</f>
        <v>0</v>
      </c>
      <c r="AH221" s="55" t="n">
        <f aca="false">AF221+AG221</f>
        <v>0</v>
      </c>
      <c r="AI221" s="55" t="n">
        <f aca="false">ROUND(MAX(0,AI220+AJ220-AM220),2)</f>
        <v>0</v>
      </c>
      <c r="AJ221" s="55" t="n">
        <f aca="false">ROUND(AI221*$E$11/12,2)</f>
        <v>0</v>
      </c>
      <c r="AK221" s="55" t="n">
        <f aca="false">MIN($F$11,AI221+AJ221)</f>
        <v>0</v>
      </c>
      <c r="AL221" s="55" t="n">
        <f aca="false">MAX(0,MIN(AI221+AJ221-AK221,$D221-(H221+M221+R221+W221+AB221+AG221)))</f>
        <v>0</v>
      </c>
      <c r="AM221" s="55" t="n">
        <f aca="false">AK221+AL221</f>
        <v>0</v>
      </c>
      <c r="AN221" s="55" t="n">
        <f aca="false">ROUND(MAX(0,AN220+AO220-AR220),2)</f>
        <v>0</v>
      </c>
      <c r="AO221" s="55" t="n">
        <f aca="false">ROUND(AN221*$E$12/12,2)</f>
        <v>0</v>
      </c>
      <c r="AP221" s="55" t="n">
        <f aca="false">MIN($F$12,AN221+AO221)</f>
        <v>0</v>
      </c>
      <c r="AQ221" s="55" t="n">
        <f aca="false">MAX(0,MIN(AN221+AO221-AP221,$D221-(H221+M221+R221+W221+AB221+AG221+AL221)))</f>
        <v>0</v>
      </c>
      <c r="AR221" s="55" t="n">
        <f aca="false">AP221+AQ221</f>
        <v>0</v>
      </c>
      <c r="AS221" s="55" t="n">
        <f aca="false">ROUND(MAX(0,AS220+AT220-AW220),2)</f>
        <v>0</v>
      </c>
      <c r="AT221" s="55" t="n">
        <f aca="false">ROUND(AS221*$E$13/12,2)</f>
        <v>0</v>
      </c>
      <c r="AU221" s="55" t="n">
        <f aca="false">MIN($F$13,AS221+AT221)</f>
        <v>0</v>
      </c>
      <c r="AV221" s="55" t="n">
        <f aca="false">MAX(0,MIN(AS221+AT221-AU221,$D221-(H221+M221+R221+W221+AB221+AG221+AL221+AQ221)))</f>
        <v>0</v>
      </c>
      <c r="AW221" s="55" t="n">
        <f aca="false">AU221+AV221</f>
        <v>0</v>
      </c>
      <c r="AX221" s="55" t="n">
        <f aca="false">ROUND(MAX(0,AX220+AY220-BB220),2)</f>
        <v>0</v>
      </c>
      <c r="AY221" s="55" t="n">
        <f aca="false">ROUND(AX221*$E$14/12,2)</f>
        <v>0</v>
      </c>
      <c r="AZ221" s="55" t="n">
        <f aca="false">MIN($F$14,AX221+AY221)</f>
        <v>0</v>
      </c>
      <c r="BA221" s="55" t="n">
        <f aca="false">MAX(0,MIN(AX221+AY221-AZ221,$D221-(H221+M221+R221+W221+AB221+AG221+AL221+AQ221+AV221)))</f>
        <v>0</v>
      </c>
      <c r="BB221" s="55" t="n">
        <f aca="false">AZ221+BA221</f>
        <v>0</v>
      </c>
      <c r="BC221" s="55" t="n">
        <f aca="false">I221+N221+S221+X221+AC221+AH221+AM221+AR221+AW221+BB221</f>
        <v>0</v>
      </c>
      <c r="BD221" s="55" t="n">
        <f aca="false">ROUND((E221+F221-I221)+(J221+K221-N221)+(O221+P221-S221)+(T221+U221-X221)+(Y221+Z221-AC221)+(AD221+AE221-AH221)+(AI221+AJ221-AM221)+(AN221+AO221-AR221)+(AS221+AT221-AW221)+(AX221+AY221-BB221),2)</f>
        <v>0</v>
      </c>
      <c r="BE221" s="25" t="str">
        <f aca="false">IF(H221&gt;0.005,$C$5,IF(M221&gt;0.005,$C$6,IF(R221&gt;0.005,$C$7,IF(W221&gt;0.005,$C$8,IF(AB221&gt;0.005,$C$9,IF(AG221&gt;0.005,$C$10,IF(AL221&gt;0.005,$C$11,IF(AQ221&gt;0.005,$C$12,IF(AV221&gt;0.005,$C$13,IF(BA221&gt;0.005,$C$14,""))))))))))</f>
        <v/>
      </c>
    </row>
    <row r="222" customFormat="false" ht="15" hidden="false" customHeight="false" outlineLevel="0" collapsed="false">
      <c r="A222" s="24" t="n">
        <v>199</v>
      </c>
      <c r="B222" s="54" t="n">
        <f aca="false">EDATE($C$17,A222-1)</f>
        <v>52352</v>
      </c>
      <c r="C222" s="55" t="n">
        <f aca="false">G222+L222+Q222+V222+AA222+AF222+AK222+AP222+AU222+AZ222</f>
        <v>0</v>
      </c>
      <c r="D222" s="55" t="n">
        <f aca="false">MAX(0,$C$16-C222)</f>
        <v>5822</v>
      </c>
      <c r="E222" s="55" t="n">
        <f aca="false">ROUND(MAX(0,E221+F221-I221),2)</f>
        <v>0</v>
      </c>
      <c r="F222" s="55" t="n">
        <f aca="false">ROUND(E222*$E$5/12,2)</f>
        <v>0</v>
      </c>
      <c r="G222" s="55" t="n">
        <f aca="false">MIN($F$5,E222+F222)</f>
        <v>0</v>
      </c>
      <c r="H222" s="55" t="n">
        <f aca="false">MAX(0,MIN(E222+F222-G222,$D222))</f>
        <v>0</v>
      </c>
      <c r="I222" s="55" t="n">
        <f aca="false">G222+H222</f>
        <v>0</v>
      </c>
      <c r="J222" s="55" t="n">
        <f aca="false">ROUND(MAX(0,J221+K221-N221),2)</f>
        <v>0</v>
      </c>
      <c r="K222" s="55" t="n">
        <f aca="false">ROUND(J222*$E$6/12,2)</f>
        <v>0</v>
      </c>
      <c r="L222" s="55" t="n">
        <f aca="false">MIN($F$6,J222+K222)</f>
        <v>0</v>
      </c>
      <c r="M222" s="55" t="n">
        <f aca="false">MAX(0,MIN(J222+K222-L222,$D222-(H222)))</f>
        <v>0</v>
      </c>
      <c r="N222" s="55" t="n">
        <f aca="false">L222+M222</f>
        <v>0</v>
      </c>
      <c r="O222" s="55" t="n">
        <f aca="false">ROUND(MAX(0,O221+P221-S221),2)</f>
        <v>0</v>
      </c>
      <c r="P222" s="55" t="n">
        <f aca="false">ROUND(O222*$E$7/12,2)</f>
        <v>0</v>
      </c>
      <c r="Q222" s="55" t="n">
        <f aca="false">MIN($F$7,O222+P222)</f>
        <v>0</v>
      </c>
      <c r="R222" s="55" t="n">
        <f aca="false">MAX(0,MIN(O222+P222-Q222,$D222-(H222+M222)))</f>
        <v>0</v>
      </c>
      <c r="S222" s="55" t="n">
        <f aca="false">Q222+R222</f>
        <v>0</v>
      </c>
      <c r="T222" s="55" t="n">
        <f aca="false">ROUND(MAX(0,T221+U221-X221),2)</f>
        <v>0</v>
      </c>
      <c r="U222" s="55" t="n">
        <f aca="false">ROUND(T222*$E$8/12,2)</f>
        <v>0</v>
      </c>
      <c r="V222" s="55" t="n">
        <f aca="false">MIN($F$8,T222+U222)</f>
        <v>0</v>
      </c>
      <c r="W222" s="55" t="n">
        <f aca="false">MAX(0,MIN(T222+U222-V222,$D222-(H222+M222+R222)))</f>
        <v>0</v>
      </c>
      <c r="X222" s="55" t="n">
        <f aca="false">V222+W222</f>
        <v>0</v>
      </c>
      <c r="Y222" s="55" t="n">
        <f aca="false">ROUND(MAX(0,Y221+Z221-AC221),2)</f>
        <v>0</v>
      </c>
      <c r="Z222" s="55" t="n">
        <f aca="false">ROUND(Y222*$E$9/12,2)</f>
        <v>0</v>
      </c>
      <c r="AA222" s="55" t="n">
        <f aca="false">MIN($F$9,Y222+Z222)</f>
        <v>0</v>
      </c>
      <c r="AB222" s="55" t="n">
        <f aca="false">MAX(0,MIN(Y222+Z222-AA222,$D222-(H222+M222+R222+W222)))</f>
        <v>0</v>
      </c>
      <c r="AC222" s="55" t="n">
        <f aca="false">AA222+AB222</f>
        <v>0</v>
      </c>
      <c r="AD222" s="55" t="n">
        <f aca="false">ROUND(MAX(0,AD221+AE221-AH221),2)</f>
        <v>0</v>
      </c>
      <c r="AE222" s="55" t="n">
        <f aca="false">ROUND(AD222*$E$10/12,2)</f>
        <v>0</v>
      </c>
      <c r="AF222" s="55" t="n">
        <f aca="false">MIN($F$10,AD222+AE222)</f>
        <v>0</v>
      </c>
      <c r="AG222" s="55" t="n">
        <f aca="false">MAX(0,MIN(AD222+AE222-AF222,$D222-(H222+M222+R222+W222+AB222)))</f>
        <v>0</v>
      </c>
      <c r="AH222" s="55" t="n">
        <f aca="false">AF222+AG222</f>
        <v>0</v>
      </c>
      <c r="AI222" s="55" t="n">
        <f aca="false">ROUND(MAX(0,AI221+AJ221-AM221),2)</f>
        <v>0</v>
      </c>
      <c r="AJ222" s="55" t="n">
        <f aca="false">ROUND(AI222*$E$11/12,2)</f>
        <v>0</v>
      </c>
      <c r="AK222" s="55" t="n">
        <f aca="false">MIN($F$11,AI222+AJ222)</f>
        <v>0</v>
      </c>
      <c r="AL222" s="55" t="n">
        <f aca="false">MAX(0,MIN(AI222+AJ222-AK222,$D222-(H222+M222+R222+W222+AB222+AG222)))</f>
        <v>0</v>
      </c>
      <c r="AM222" s="55" t="n">
        <f aca="false">AK222+AL222</f>
        <v>0</v>
      </c>
      <c r="AN222" s="55" t="n">
        <f aca="false">ROUND(MAX(0,AN221+AO221-AR221),2)</f>
        <v>0</v>
      </c>
      <c r="AO222" s="55" t="n">
        <f aca="false">ROUND(AN222*$E$12/12,2)</f>
        <v>0</v>
      </c>
      <c r="AP222" s="55" t="n">
        <f aca="false">MIN($F$12,AN222+AO222)</f>
        <v>0</v>
      </c>
      <c r="AQ222" s="55" t="n">
        <f aca="false">MAX(0,MIN(AN222+AO222-AP222,$D222-(H222+M222+R222+W222+AB222+AG222+AL222)))</f>
        <v>0</v>
      </c>
      <c r="AR222" s="55" t="n">
        <f aca="false">AP222+AQ222</f>
        <v>0</v>
      </c>
      <c r="AS222" s="55" t="n">
        <f aca="false">ROUND(MAX(0,AS221+AT221-AW221),2)</f>
        <v>0</v>
      </c>
      <c r="AT222" s="55" t="n">
        <f aca="false">ROUND(AS222*$E$13/12,2)</f>
        <v>0</v>
      </c>
      <c r="AU222" s="55" t="n">
        <f aca="false">MIN($F$13,AS222+AT222)</f>
        <v>0</v>
      </c>
      <c r="AV222" s="55" t="n">
        <f aca="false">MAX(0,MIN(AS222+AT222-AU222,$D222-(H222+M222+R222+W222+AB222+AG222+AL222+AQ222)))</f>
        <v>0</v>
      </c>
      <c r="AW222" s="55" t="n">
        <f aca="false">AU222+AV222</f>
        <v>0</v>
      </c>
      <c r="AX222" s="55" t="n">
        <f aca="false">ROUND(MAX(0,AX221+AY221-BB221),2)</f>
        <v>0</v>
      </c>
      <c r="AY222" s="55" t="n">
        <f aca="false">ROUND(AX222*$E$14/12,2)</f>
        <v>0</v>
      </c>
      <c r="AZ222" s="55" t="n">
        <f aca="false">MIN($F$14,AX222+AY222)</f>
        <v>0</v>
      </c>
      <c r="BA222" s="55" t="n">
        <f aca="false">MAX(0,MIN(AX222+AY222-AZ222,$D222-(H222+M222+R222+W222+AB222+AG222+AL222+AQ222+AV222)))</f>
        <v>0</v>
      </c>
      <c r="BB222" s="55" t="n">
        <f aca="false">AZ222+BA222</f>
        <v>0</v>
      </c>
      <c r="BC222" s="55" t="n">
        <f aca="false">I222+N222+S222+X222+AC222+AH222+AM222+AR222+AW222+BB222</f>
        <v>0</v>
      </c>
      <c r="BD222" s="55" t="n">
        <f aca="false">ROUND((E222+F222-I222)+(J222+K222-N222)+(O222+P222-S222)+(T222+U222-X222)+(Y222+Z222-AC222)+(AD222+AE222-AH222)+(AI222+AJ222-AM222)+(AN222+AO222-AR222)+(AS222+AT222-AW222)+(AX222+AY222-BB222),2)</f>
        <v>0</v>
      </c>
      <c r="BE222" s="25" t="str">
        <f aca="false">IF(H222&gt;0.005,$C$5,IF(M222&gt;0.005,$C$6,IF(R222&gt;0.005,$C$7,IF(W222&gt;0.005,$C$8,IF(AB222&gt;0.005,$C$9,IF(AG222&gt;0.005,$C$10,IF(AL222&gt;0.005,$C$11,IF(AQ222&gt;0.005,$C$12,IF(AV222&gt;0.005,$C$13,IF(BA222&gt;0.005,$C$14,""))))))))))</f>
        <v/>
      </c>
    </row>
    <row r="223" customFormat="false" ht="15" hidden="false" customHeight="false" outlineLevel="0" collapsed="false">
      <c r="A223" s="24" t="n">
        <v>200</v>
      </c>
      <c r="B223" s="54" t="n">
        <f aca="false">EDATE($C$17,A223-1)</f>
        <v>52383</v>
      </c>
      <c r="C223" s="55" t="n">
        <f aca="false">G223+L223+Q223+V223+AA223+AF223+AK223+AP223+AU223+AZ223</f>
        <v>0</v>
      </c>
      <c r="D223" s="55" t="n">
        <f aca="false">MAX(0,$C$16-C223)</f>
        <v>5822</v>
      </c>
      <c r="E223" s="55" t="n">
        <f aca="false">ROUND(MAX(0,E222+F222-I222),2)</f>
        <v>0</v>
      </c>
      <c r="F223" s="55" t="n">
        <f aca="false">ROUND(E223*$E$5/12,2)</f>
        <v>0</v>
      </c>
      <c r="G223" s="55" t="n">
        <f aca="false">MIN($F$5,E223+F223)</f>
        <v>0</v>
      </c>
      <c r="H223" s="55" t="n">
        <f aca="false">MAX(0,MIN(E223+F223-G223,$D223))</f>
        <v>0</v>
      </c>
      <c r="I223" s="55" t="n">
        <f aca="false">G223+H223</f>
        <v>0</v>
      </c>
      <c r="J223" s="55" t="n">
        <f aca="false">ROUND(MAX(0,J222+K222-N222),2)</f>
        <v>0</v>
      </c>
      <c r="K223" s="55" t="n">
        <f aca="false">ROUND(J223*$E$6/12,2)</f>
        <v>0</v>
      </c>
      <c r="L223" s="55" t="n">
        <f aca="false">MIN($F$6,J223+K223)</f>
        <v>0</v>
      </c>
      <c r="M223" s="55" t="n">
        <f aca="false">MAX(0,MIN(J223+K223-L223,$D223-(H223)))</f>
        <v>0</v>
      </c>
      <c r="N223" s="55" t="n">
        <f aca="false">L223+M223</f>
        <v>0</v>
      </c>
      <c r="O223" s="55" t="n">
        <f aca="false">ROUND(MAX(0,O222+P222-S222),2)</f>
        <v>0</v>
      </c>
      <c r="P223" s="55" t="n">
        <f aca="false">ROUND(O223*$E$7/12,2)</f>
        <v>0</v>
      </c>
      <c r="Q223" s="55" t="n">
        <f aca="false">MIN($F$7,O223+P223)</f>
        <v>0</v>
      </c>
      <c r="R223" s="55" t="n">
        <f aca="false">MAX(0,MIN(O223+P223-Q223,$D223-(H223+M223)))</f>
        <v>0</v>
      </c>
      <c r="S223" s="55" t="n">
        <f aca="false">Q223+R223</f>
        <v>0</v>
      </c>
      <c r="T223" s="55" t="n">
        <f aca="false">ROUND(MAX(0,T222+U222-X222),2)</f>
        <v>0</v>
      </c>
      <c r="U223" s="55" t="n">
        <f aca="false">ROUND(T223*$E$8/12,2)</f>
        <v>0</v>
      </c>
      <c r="V223" s="55" t="n">
        <f aca="false">MIN($F$8,T223+U223)</f>
        <v>0</v>
      </c>
      <c r="W223" s="55" t="n">
        <f aca="false">MAX(0,MIN(T223+U223-V223,$D223-(H223+M223+R223)))</f>
        <v>0</v>
      </c>
      <c r="X223" s="55" t="n">
        <f aca="false">V223+W223</f>
        <v>0</v>
      </c>
      <c r="Y223" s="55" t="n">
        <f aca="false">ROUND(MAX(0,Y222+Z222-AC222),2)</f>
        <v>0</v>
      </c>
      <c r="Z223" s="55" t="n">
        <f aca="false">ROUND(Y223*$E$9/12,2)</f>
        <v>0</v>
      </c>
      <c r="AA223" s="55" t="n">
        <f aca="false">MIN($F$9,Y223+Z223)</f>
        <v>0</v>
      </c>
      <c r="AB223" s="55" t="n">
        <f aca="false">MAX(0,MIN(Y223+Z223-AA223,$D223-(H223+M223+R223+W223)))</f>
        <v>0</v>
      </c>
      <c r="AC223" s="55" t="n">
        <f aca="false">AA223+AB223</f>
        <v>0</v>
      </c>
      <c r="AD223" s="55" t="n">
        <f aca="false">ROUND(MAX(0,AD222+AE222-AH222),2)</f>
        <v>0</v>
      </c>
      <c r="AE223" s="55" t="n">
        <f aca="false">ROUND(AD223*$E$10/12,2)</f>
        <v>0</v>
      </c>
      <c r="AF223" s="55" t="n">
        <f aca="false">MIN($F$10,AD223+AE223)</f>
        <v>0</v>
      </c>
      <c r="AG223" s="55" t="n">
        <f aca="false">MAX(0,MIN(AD223+AE223-AF223,$D223-(H223+M223+R223+W223+AB223)))</f>
        <v>0</v>
      </c>
      <c r="AH223" s="55" t="n">
        <f aca="false">AF223+AG223</f>
        <v>0</v>
      </c>
      <c r="AI223" s="55" t="n">
        <f aca="false">ROUND(MAX(0,AI222+AJ222-AM222),2)</f>
        <v>0</v>
      </c>
      <c r="AJ223" s="55" t="n">
        <f aca="false">ROUND(AI223*$E$11/12,2)</f>
        <v>0</v>
      </c>
      <c r="AK223" s="55" t="n">
        <f aca="false">MIN($F$11,AI223+AJ223)</f>
        <v>0</v>
      </c>
      <c r="AL223" s="55" t="n">
        <f aca="false">MAX(0,MIN(AI223+AJ223-AK223,$D223-(H223+M223+R223+W223+AB223+AG223)))</f>
        <v>0</v>
      </c>
      <c r="AM223" s="55" t="n">
        <f aca="false">AK223+AL223</f>
        <v>0</v>
      </c>
      <c r="AN223" s="55" t="n">
        <f aca="false">ROUND(MAX(0,AN222+AO222-AR222),2)</f>
        <v>0</v>
      </c>
      <c r="AO223" s="55" t="n">
        <f aca="false">ROUND(AN223*$E$12/12,2)</f>
        <v>0</v>
      </c>
      <c r="AP223" s="55" t="n">
        <f aca="false">MIN($F$12,AN223+AO223)</f>
        <v>0</v>
      </c>
      <c r="AQ223" s="55" t="n">
        <f aca="false">MAX(0,MIN(AN223+AO223-AP223,$D223-(H223+M223+R223+W223+AB223+AG223+AL223)))</f>
        <v>0</v>
      </c>
      <c r="AR223" s="55" t="n">
        <f aca="false">AP223+AQ223</f>
        <v>0</v>
      </c>
      <c r="AS223" s="55" t="n">
        <f aca="false">ROUND(MAX(0,AS222+AT222-AW222),2)</f>
        <v>0</v>
      </c>
      <c r="AT223" s="55" t="n">
        <f aca="false">ROUND(AS223*$E$13/12,2)</f>
        <v>0</v>
      </c>
      <c r="AU223" s="55" t="n">
        <f aca="false">MIN($F$13,AS223+AT223)</f>
        <v>0</v>
      </c>
      <c r="AV223" s="55" t="n">
        <f aca="false">MAX(0,MIN(AS223+AT223-AU223,$D223-(H223+M223+R223+W223+AB223+AG223+AL223+AQ223)))</f>
        <v>0</v>
      </c>
      <c r="AW223" s="55" t="n">
        <f aca="false">AU223+AV223</f>
        <v>0</v>
      </c>
      <c r="AX223" s="55" t="n">
        <f aca="false">ROUND(MAX(0,AX222+AY222-BB222),2)</f>
        <v>0</v>
      </c>
      <c r="AY223" s="55" t="n">
        <f aca="false">ROUND(AX223*$E$14/12,2)</f>
        <v>0</v>
      </c>
      <c r="AZ223" s="55" t="n">
        <f aca="false">MIN($F$14,AX223+AY223)</f>
        <v>0</v>
      </c>
      <c r="BA223" s="55" t="n">
        <f aca="false">MAX(0,MIN(AX223+AY223-AZ223,$D223-(H223+M223+R223+W223+AB223+AG223+AL223+AQ223+AV223)))</f>
        <v>0</v>
      </c>
      <c r="BB223" s="55" t="n">
        <f aca="false">AZ223+BA223</f>
        <v>0</v>
      </c>
      <c r="BC223" s="55" t="n">
        <f aca="false">I223+N223+S223+X223+AC223+AH223+AM223+AR223+AW223+BB223</f>
        <v>0</v>
      </c>
      <c r="BD223" s="55" t="n">
        <f aca="false">ROUND((E223+F223-I223)+(J223+K223-N223)+(O223+P223-S223)+(T223+U223-X223)+(Y223+Z223-AC223)+(AD223+AE223-AH223)+(AI223+AJ223-AM223)+(AN223+AO223-AR223)+(AS223+AT223-AW223)+(AX223+AY223-BB223),2)</f>
        <v>0</v>
      </c>
      <c r="BE223" s="25" t="str">
        <f aca="false">IF(H223&gt;0.005,$C$5,IF(M223&gt;0.005,$C$6,IF(R223&gt;0.005,$C$7,IF(W223&gt;0.005,$C$8,IF(AB223&gt;0.005,$C$9,IF(AG223&gt;0.005,$C$10,IF(AL223&gt;0.005,$C$11,IF(AQ223&gt;0.005,$C$12,IF(AV223&gt;0.005,$C$13,IF(BA223&gt;0.005,$C$14,""))))))))))</f>
        <v/>
      </c>
    </row>
    <row r="224" customFormat="false" ht="15" hidden="false" customHeight="false" outlineLevel="0" collapsed="false">
      <c r="A224" s="24" t="n">
        <v>201</v>
      </c>
      <c r="B224" s="54" t="n">
        <f aca="false">EDATE($C$17,A224-1)</f>
        <v>52413</v>
      </c>
      <c r="C224" s="55" t="n">
        <f aca="false">G224+L224+Q224+V224+AA224+AF224+AK224+AP224+AU224+AZ224</f>
        <v>0</v>
      </c>
      <c r="D224" s="55" t="n">
        <f aca="false">MAX(0,$C$16-C224)</f>
        <v>5822</v>
      </c>
      <c r="E224" s="55" t="n">
        <f aca="false">ROUND(MAX(0,E223+F223-I223),2)</f>
        <v>0</v>
      </c>
      <c r="F224" s="55" t="n">
        <f aca="false">ROUND(E224*$E$5/12,2)</f>
        <v>0</v>
      </c>
      <c r="G224" s="55" t="n">
        <f aca="false">MIN($F$5,E224+F224)</f>
        <v>0</v>
      </c>
      <c r="H224" s="55" t="n">
        <f aca="false">MAX(0,MIN(E224+F224-G224,$D224))</f>
        <v>0</v>
      </c>
      <c r="I224" s="55" t="n">
        <f aca="false">G224+H224</f>
        <v>0</v>
      </c>
      <c r="J224" s="55" t="n">
        <f aca="false">ROUND(MAX(0,J223+K223-N223),2)</f>
        <v>0</v>
      </c>
      <c r="K224" s="55" t="n">
        <f aca="false">ROUND(J224*$E$6/12,2)</f>
        <v>0</v>
      </c>
      <c r="L224" s="55" t="n">
        <f aca="false">MIN($F$6,J224+K224)</f>
        <v>0</v>
      </c>
      <c r="M224" s="55" t="n">
        <f aca="false">MAX(0,MIN(J224+K224-L224,$D224-(H224)))</f>
        <v>0</v>
      </c>
      <c r="N224" s="55" t="n">
        <f aca="false">L224+M224</f>
        <v>0</v>
      </c>
      <c r="O224" s="55" t="n">
        <f aca="false">ROUND(MAX(0,O223+P223-S223),2)</f>
        <v>0</v>
      </c>
      <c r="P224" s="55" t="n">
        <f aca="false">ROUND(O224*$E$7/12,2)</f>
        <v>0</v>
      </c>
      <c r="Q224" s="55" t="n">
        <f aca="false">MIN($F$7,O224+P224)</f>
        <v>0</v>
      </c>
      <c r="R224" s="55" t="n">
        <f aca="false">MAX(0,MIN(O224+P224-Q224,$D224-(H224+M224)))</f>
        <v>0</v>
      </c>
      <c r="S224" s="55" t="n">
        <f aca="false">Q224+R224</f>
        <v>0</v>
      </c>
      <c r="T224" s="55" t="n">
        <f aca="false">ROUND(MAX(0,T223+U223-X223),2)</f>
        <v>0</v>
      </c>
      <c r="U224" s="55" t="n">
        <f aca="false">ROUND(T224*$E$8/12,2)</f>
        <v>0</v>
      </c>
      <c r="V224" s="55" t="n">
        <f aca="false">MIN($F$8,T224+U224)</f>
        <v>0</v>
      </c>
      <c r="W224" s="55" t="n">
        <f aca="false">MAX(0,MIN(T224+U224-V224,$D224-(H224+M224+R224)))</f>
        <v>0</v>
      </c>
      <c r="X224" s="55" t="n">
        <f aca="false">V224+W224</f>
        <v>0</v>
      </c>
      <c r="Y224" s="55" t="n">
        <f aca="false">ROUND(MAX(0,Y223+Z223-AC223),2)</f>
        <v>0</v>
      </c>
      <c r="Z224" s="55" t="n">
        <f aca="false">ROUND(Y224*$E$9/12,2)</f>
        <v>0</v>
      </c>
      <c r="AA224" s="55" t="n">
        <f aca="false">MIN($F$9,Y224+Z224)</f>
        <v>0</v>
      </c>
      <c r="AB224" s="55" t="n">
        <f aca="false">MAX(0,MIN(Y224+Z224-AA224,$D224-(H224+M224+R224+W224)))</f>
        <v>0</v>
      </c>
      <c r="AC224" s="55" t="n">
        <f aca="false">AA224+AB224</f>
        <v>0</v>
      </c>
      <c r="AD224" s="55" t="n">
        <f aca="false">ROUND(MAX(0,AD223+AE223-AH223),2)</f>
        <v>0</v>
      </c>
      <c r="AE224" s="55" t="n">
        <f aca="false">ROUND(AD224*$E$10/12,2)</f>
        <v>0</v>
      </c>
      <c r="AF224" s="55" t="n">
        <f aca="false">MIN($F$10,AD224+AE224)</f>
        <v>0</v>
      </c>
      <c r="AG224" s="55" t="n">
        <f aca="false">MAX(0,MIN(AD224+AE224-AF224,$D224-(H224+M224+R224+W224+AB224)))</f>
        <v>0</v>
      </c>
      <c r="AH224" s="55" t="n">
        <f aca="false">AF224+AG224</f>
        <v>0</v>
      </c>
      <c r="AI224" s="55" t="n">
        <f aca="false">ROUND(MAX(0,AI223+AJ223-AM223),2)</f>
        <v>0</v>
      </c>
      <c r="AJ224" s="55" t="n">
        <f aca="false">ROUND(AI224*$E$11/12,2)</f>
        <v>0</v>
      </c>
      <c r="AK224" s="55" t="n">
        <f aca="false">MIN($F$11,AI224+AJ224)</f>
        <v>0</v>
      </c>
      <c r="AL224" s="55" t="n">
        <f aca="false">MAX(0,MIN(AI224+AJ224-AK224,$D224-(H224+M224+R224+W224+AB224+AG224)))</f>
        <v>0</v>
      </c>
      <c r="AM224" s="55" t="n">
        <f aca="false">AK224+AL224</f>
        <v>0</v>
      </c>
      <c r="AN224" s="55" t="n">
        <f aca="false">ROUND(MAX(0,AN223+AO223-AR223),2)</f>
        <v>0</v>
      </c>
      <c r="AO224" s="55" t="n">
        <f aca="false">ROUND(AN224*$E$12/12,2)</f>
        <v>0</v>
      </c>
      <c r="AP224" s="55" t="n">
        <f aca="false">MIN($F$12,AN224+AO224)</f>
        <v>0</v>
      </c>
      <c r="AQ224" s="55" t="n">
        <f aca="false">MAX(0,MIN(AN224+AO224-AP224,$D224-(H224+M224+R224+W224+AB224+AG224+AL224)))</f>
        <v>0</v>
      </c>
      <c r="AR224" s="55" t="n">
        <f aca="false">AP224+AQ224</f>
        <v>0</v>
      </c>
      <c r="AS224" s="55" t="n">
        <f aca="false">ROUND(MAX(0,AS223+AT223-AW223),2)</f>
        <v>0</v>
      </c>
      <c r="AT224" s="55" t="n">
        <f aca="false">ROUND(AS224*$E$13/12,2)</f>
        <v>0</v>
      </c>
      <c r="AU224" s="55" t="n">
        <f aca="false">MIN($F$13,AS224+AT224)</f>
        <v>0</v>
      </c>
      <c r="AV224" s="55" t="n">
        <f aca="false">MAX(0,MIN(AS224+AT224-AU224,$D224-(H224+M224+R224+W224+AB224+AG224+AL224+AQ224)))</f>
        <v>0</v>
      </c>
      <c r="AW224" s="55" t="n">
        <f aca="false">AU224+AV224</f>
        <v>0</v>
      </c>
      <c r="AX224" s="55" t="n">
        <f aca="false">ROUND(MAX(0,AX223+AY223-BB223),2)</f>
        <v>0</v>
      </c>
      <c r="AY224" s="55" t="n">
        <f aca="false">ROUND(AX224*$E$14/12,2)</f>
        <v>0</v>
      </c>
      <c r="AZ224" s="55" t="n">
        <f aca="false">MIN($F$14,AX224+AY224)</f>
        <v>0</v>
      </c>
      <c r="BA224" s="55" t="n">
        <f aca="false">MAX(0,MIN(AX224+AY224-AZ224,$D224-(H224+M224+R224+W224+AB224+AG224+AL224+AQ224+AV224)))</f>
        <v>0</v>
      </c>
      <c r="BB224" s="55" t="n">
        <f aca="false">AZ224+BA224</f>
        <v>0</v>
      </c>
      <c r="BC224" s="55" t="n">
        <f aca="false">I224+N224+S224+X224+AC224+AH224+AM224+AR224+AW224+BB224</f>
        <v>0</v>
      </c>
      <c r="BD224" s="55" t="n">
        <f aca="false">ROUND((E224+F224-I224)+(J224+K224-N224)+(O224+P224-S224)+(T224+U224-X224)+(Y224+Z224-AC224)+(AD224+AE224-AH224)+(AI224+AJ224-AM224)+(AN224+AO224-AR224)+(AS224+AT224-AW224)+(AX224+AY224-BB224),2)</f>
        <v>0</v>
      </c>
      <c r="BE224" s="25" t="str">
        <f aca="false">IF(H224&gt;0.005,$C$5,IF(M224&gt;0.005,$C$6,IF(R224&gt;0.005,$C$7,IF(W224&gt;0.005,$C$8,IF(AB224&gt;0.005,$C$9,IF(AG224&gt;0.005,$C$10,IF(AL224&gt;0.005,$C$11,IF(AQ224&gt;0.005,$C$12,IF(AV224&gt;0.005,$C$13,IF(BA224&gt;0.005,$C$14,""))))))))))</f>
        <v/>
      </c>
    </row>
    <row r="225" customFormat="false" ht="15" hidden="false" customHeight="false" outlineLevel="0" collapsed="false">
      <c r="A225" s="24" t="n">
        <v>202</v>
      </c>
      <c r="B225" s="54" t="n">
        <f aca="false">EDATE($C$17,A225-1)</f>
        <v>52444</v>
      </c>
      <c r="C225" s="55" t="n">
        <f aca="false">G225+L225+Q225+V225+AA225+AF225+AK225+AP225+AU225+AZ225</f>
        <v>0</v>
      </c>
      <c r="D225" s="55" t="n">
        <f aca="false">MAX(0,$C$16-C225)</f>
        <v>5822</v>
      </c>
      <c r="E225" s="55" t="n">
        <f aca="false">ROUND(MAX(0,E224+F224-I224),2)</f>
        <v>0</v>
      </c>
      <c r="F225" s="55" t="n">
        <f aca="false">ROUND(E225*$E$5/12,2)</f>
        <v>0</v>
      </c>
      <c r="G225" s="55" t="n">
        <f aca="false">MIN($F$5,E225+F225)</f>
        <v>0</v>
      </c>
      <c r="H225" s="55" t="n">
        <f aca="false">MAX(0,MIN(E225+F225-G225,$D225))</f>
        <v>0</v>
      </c>
      <c r="I225" s="55" t="n">
        <f aca="false">G225+H225</f>
        <v>0</v>
      </c>
      <c r="J225" s="55" t="n">
        <f aca="false">ROUND(MAX(0,J224+K224-N224),2)</f>
        <v>0</v>
      </c>
      <c r="K225" s="55" t="n">
        <f aca="false">ROUND(J225*$E$6/12,2)</f>
        <v>0</v>
      </c>
      <c r="L225" s="55" t="n">
        <f aca="false">MIN($F$6,J225+K225)</f>
        <v>0</v>
      </c>
      <c r="M225" s="55" t="n">
        <f aca="false">MAX(0,MIN(J225+K225-L225,$D225-(H225)))</f>
        <v>0</v>
      </c>
      <c r="N225" s="55" t="n">
        <f aca="false">L225+M225</f>
        <v>0</v>
      </c>
      <c r="O225" s="55" t="n">
        <f aca="false">ROUND(MAX(0,O224+P224-S224),2)</f>
        <v>0</v>
      </c>
      <c r="P225" s="55" t="n">
        <f aca="false">ROUND(O225*$E$7/12,2)</f>
        <v>0</v>
      </c>
      <c r="Q225" s="55" t="n">
        <f aca="false">MIN($F$7,O225+P225)</f>
        <v>0</v>
      </c>
      <c r="R225" s="55" t="n">
        <f aca="false">MAX(0,MIN(O225+P225-Q225,$D225-(H225+M225)))</f>
        <v>0</v>
      </c>
      <c r="S225" s="55" t="n">
        <f aca="false">Q225+R225</f>
        <v>0</v>
      </c>
      <c r="T225" s="55" t="n">
        <f aca="false">ROUND(MAX(0,T224+U224-X224),2)</f>
        <v>0</v>
      </c>
      <c r="U225" s="55" t="n">
        <f aca="false">ROUND(T225*$E$8/12,2)</f>
        <v>0</v>
      </c>
      <c r="V225" s="55" t="n">
        <f aca="false">MIN($F$8,T225+U225)</f>
        <v>0</v>
      </c>
      <c r="W225" s="55" t="n">
        <f aca="false">MAX(0,MIN(T225+U225-V225,$D225-(H225+M225+R225)))</f>
        <v>0</v>
      </c>
      <c r="X225" s="55" t="n">
        <f aca="false">V225+W225</f>
        <v>0</v>
      </c>
      <c r="Y225" s="55" t="n">
        <f aca="false">ROUND(MAX(0,Y224+Z224-AC224),2)</f>
        <v>0</v>
      </c>
      <c r="Z225" s="55" t="n">
        <f aca="false">ROUND(Y225*$E$9/12,2)</f>
        <v>0</v>
      </c>
      <c r="AA225" s="55" t="n">
        <f aca="false">MIN($F$9,Y225+Z225)</f>
        <v>0</v>
      </c>
      <c r="AB225" s="55" t="n">
        <f aca="false">MAX(0,MIN(Y225+Z225-AA225,$D225-(H225+M225+R225+W225)))</f>
        <v>0</v>
      </c>
      <c r="AC225" s="55" t="n">
        <f aca="false">AA225+AB225</f>
        <v>0</v>
      </c>
      <c r="AD225" s="55" t="n">
        <f aca="false">ROUND(MAX(0,AD224+AE224-AH224),2)</f>
        <v>0</v>
      </c>
      <c r="AE225" s="55" t="n">
        <f aca="false">ROUND(AD225*$E$10/12,2)</f>
        <v>0</v>
      </c>
      <c r="AF225" s="55" t="n">
        <f aca="false">MIN($F$10,AD225+AE225)</f>
        <v>0</v>
      </c>
      <c r="AG225" s="55" t="n">
        <f aca="false">MAX(0,MIN(AD225+AE225-AF225,$D225-(H225+M225+R225+W225+AB225)))</f>
        <v>0</v>
      </c>
      <c r="AH225" s="55" t="n">
        <f aca="false">AF225+AG225</f>
        <v>0</v>
      </c>
      <c r="AI225" s="55" t="n">
        <f aca="false">ROUND(MAX(0,AI224+AJ224-AM224),2)</f>
        <v>0</v>
      </c>
      <c r="AJ225" s="55" t="n">
        <f aca="false">ROUND(AI225*$E$11/12,2)</f>
        <v>0</v>
      </c>
      <c r="AK225" s="55" t="n">
        <f aca="false">MIN($F$11,AI225+AJ225)</f>
        <v>0</v>
      </c>
      <c r="AL225" s="55" t="n">
        <f aca="false">MAX(0,MIN(AI225+AJ225-AK225,$D225-(H225+M225+R225+W225+AB225+AG225)))</f>
        <v>0</v>
      </c>
      <c r="AM225" s="55" t="n">
        <f aca="false">AK225+AL225</f>
        <v>0</v>
      </c>
      <c r="AN225" s="55" t="n">
        <f aca="false">ROUND(MAX(0,AN224+AO224-AR224),2)</f>
        <v>0</v>
      </c>
      <c r="AO225" s="55" t="n">
        <f aca="false">ROUND(AN225*$E$12/12,2)</f>
        <v>0</v>
      </c>
      <c r="AP225" s="55" t="n">
        <f aca="false">MIN($F$12,AN225+AO225)</f>
        <v>0</v>
      </c>
      <c r="AQ225" s="55" t="n">
        <f aca="false">MAX(0,MIN(AN225+AO225-AP225,$D225-(H225+M225+R225+W225+AB225+AG225+AL225)))</f>
        <v>0</v>
      </c>
      <c r="AR225" s="55" t="n">
        <f aca="false">AP225+AQ225</f>
        <v>0</v>
      </c>
      <c r="AS225" s="55" t="n">
        <f aca="false">ROUND(MAX(0,AS224+AT224-AW224),2)</f>
        <v>0</v>
      </c>
      <c r="AT225" s="55" t="n">
        <f aca="false">ROUND(AS225*$E$13/12,2)</f>
        <v>0</v>
      </c>
      <c r="AU225" s="55" t="n">
        <f aca="false">MIN($F$13,AS225+AT225)</f>
        <v>0</v>
      </c>
      <c r="AV225" s="55" t="n">
        <f aca="false">MAX(0,MIN(AS225+AT225-AU225,$D225-(H225+M225+R225+W225+AB225+AG225+AL225+AQ225)))</f>
        <v>0</v>
      </c>
      <c r="AW225" s="55" t="n">
        <f aca="false">AU225+AV225</f>
        <v>0</v>
      </c>
      <c r="AX225" s="55" t="n">
        <f aca="false">ROUND(MAX(0,AX224+AY224-BB224),2)</f>
        <v>0</v>
      </c>
      <c r="AY225" s="55" t="n">
        <f aca="false">ROUND(AX225*$E$14/12,2)</f>
        <v>0</v>
      </c>
      <c r="AZ225" s="55" t="n">
        <f aca="false">MIN($F$14,AX225+AY225)</f>
        <v>0</v>
      </c>
      <c r="BA225" s="55" t="n">
        <f aca="false">MAX(0,MIN(AX225+AY225-AZ225,$D225-(H225+M225+R225+W225+AB225+AG225+AL225+AQ225+AV225)))</f>
        <v>0</v>
      </c>
      <c r="BB225" s="55" t="n">
        <f aca="false">AZ225+BA225</f>
        <v>0</v>
      </c>
      <c r="BC225" s="55" t="n">
        <f aca="false">I225+N225+S225+X225+AC225+AH225+AM225+AR225+AW225+BB225</f>
        <v>0</v>
      </c>
      <c r="BD225" s="55" t="n">
        <f aca="false">ROUND((E225+F225-I225)+(J225+K225-N225)+(O225+P225-S225)+(T225+U225-X225)+(Y225+Z225-AC225)+(AD225+AE225-AH225)+(AI225+AJ225-AM225)+(AN225+AO225-AR225)+(AS225+AT225-AW225)+(AX225+AY225-BB225),2)</f>
        <v>0</v>
      </c>
      <c r="BE225" s="25" t="str">
        <f aca="false">IF(H225&gt;0.005,$C$5,IF(M225&gt;0.005,$C$6,IF(R225&gt;0.005,$C$7,IF(W225&gt;0.005,$C$8,IF(AB225&gt;0.005,$C$9,IF(AG225&gt;0.005,$C$10,IF(AL225&gt;0.005,$C$11,IF(AQ225&gt;0.005,$C$12,IF(AV225&gt;0.005,$C$13,IF(BA225&gt;0.005,$C$14,""))))))))))</f>
        <v/>
      </c>
    </row>
    <row r="226" customFormat="false" ht="15" hidden="false" customHeight="false" outlineLevel="0" collapsed="false">
      <c r="A226" s="24" t="n">
        <v>203</v>
      </c>
      <c r="B226" s="54" t="n">
        <f aca="false">EDATE($C$17,A226-1)</f>
        <v>52475</v>
      </c>
      <c r="C226" s="55" t="n">
        <f aca="false">G226+L226+Q226+V226+AA226+AF226+AK226+AP226+AU226+AZ226</f>
        <v>0</v>
      </c>
      <c r="D226" s="55" t="n">
        <f aca="false">MAX(0,$C$16-C226)</f>
        <v>5822</v>
      </c>
      <c r="E226" s="55" t="n">
        <f aca="false">ROUND(MAX(0,E225+F225-I225),2)</f>
        <v>0</v>
      </c>
      <c r="F226" s="55" t="n">
        <f aca="false">ROUND(E226*$E$5/12,2)</f>
        <v>0</v>
      </c>
      <c r="G226" s="55" t="n">
        <f aca="false">MIN($F$5,E226+F226)</f>
        <v>0</v>
      </c>
      <c r="H226" s="55" t="n">
        <f aca="false">MAX(0,MIN(E226+F226-G226,$D226))</f>
        <v>0</v>
      </c>
      <c r="I226" s="55" t="n">
        <f aca="false">G226+H226</f>
        <v>0</v>
      </c>
      <c r="J226" s="55" t="n">
        <f aca="false">ROUND(MAX(0,J225+K225-N225),2)</f>
        <v>0</v>
      </c>
      <c r="K226" s="55" t="n">
        <f aca="false">ROUND(J226*$E$6/12,2)</f>
        <v>0</v>
      </c>
      <c r="L226" s="55" t="n">
        <f aca="false">MIN($F$6,J226+K226)</f>
        <v>0</v>
      </c>
      <c r="M226" s="55" t="n">
        <f aca="false">MAX(0,MIN(J226+K226-L226,$D226-(H226)))</f>
        <v>0</v>
      </c>
      <c r="N226" s="55" t="n">
        <f aca="false">L226+M226</f>
        <v>0</v>
      </c>
      <c r="O226" s="55" t="n">
        <f aca="false">ROUND(MAX(0,O225+P225-S225),2)</f>
        <v>0</v>
      </c>
      <c r="P226" s="55" t="n">
        <f aca="false">ROUND(O226*$E$7/12,2)</f>
        <v>0</v>
      </c>
      <c r="Q226" s="55" t="n">
        <f aca="false">MIN($F$7,O226+P226)</f>
        <v>0</v>
      </c>
      <c r="R226" s="55" t="n">
        <f aca="false">MAX(0,MIN(O226+P226-Q226,$D226-(H226+M226)))</f>
        <v>0</v>
      </c>
      <c r="S226" s="55" t="n">
        <f aca="false">Q226+R226</f>
        <v>0</v>
      </c>
      <c r="T226" s="55" t="n">
        <f aca="false">ROUND(MAX(0,T225+U225-X225),2)</f>
        <v>0</v>
      </c>
      <c r="U226" s="55" t="n">
        <f aca="false">ROUND(T226*$E$8/12,2)</f>
        <v>0</v>
      </c>
      <c r="V226" s="55" t="n">
        <f aca="false">MIN($F$8,T226+U226)</f>
        <v>0</v>
      </c>
      <c r="W226" s="55" t="n">
        <f aca="false">MAX(0,MIN(T226+U226-V226,$D226-(H226+M226+R226)))</f>
        <v>0</v>
      </c>
      <c r="X226" s="55" t="n">
        <f aca="false">V226+W226</f>
        <v>0</v>
      </c>
      <c r="Y226" s="55" t="n">
        <f aca="false">ROUND(MAX(0,Y225+Z225-AC225),2)</f>
        <v>0</v>
      </c>
      <c r="Z226" s="55" t="n">
        <f aca="false">ROUND(Y226*$E$9/12,2)</f>
        <v>0</v>
      </c>
      <c r="AA226" s="55" t="n">
        <f aca="false">MIN($F$9,Y226+Z226)</f>
        <v>0</v>
      </c>
      <c r="AB226" s="55" t="n">
        <f aca="false">MAX(0,MIN(Y226+Z226-AA226,$D226-(H226+M226+R226+W226)))</f>
        <v>0</v>
      </c>
      <c r="AC226" s="55" t="n">
        <f aca="false">AA226+AB226</f>
        <v>0</v>
      </c>
      <c r="AD226" s="55" t="n">
        <f aca="false">ROUND(MAX(0,AD225+AE225-AH225),2)</f>
        <v>0</v>
      </c>
      <c r="AE226" s="55" t="n">
        <f aca="false">ROUND(AD226*$E$10/12,2)</f>
        <v>0</v>
      </c>
      <c r="AF226" s="55" t="n">
        <f aca="false">MIN($F$10,AD226+AE226)</f>
        <v>0</v>
      </c>
      <c r="AG226" s="55" t="n">
        <f aca="false">MAX(0,MIN(AD226+AE226-AF226,$D226-(H226+M226+R226+W226+AB226)))</f>
        <v>0</v>
      </c>
      <c r="AH226" s="55" t="n">
        <f aca="false">AF226+AG226</f>
        <v>0</v>
      </c>
      <c r="AI226" s="55" t="n">
        <f aca="false">ROUND(MAX(0,AI225+AJ225-AM225),2)</f>
        <v>0</v>
      </c>
      <c r="AJ226" s="55" t="n">
        <f aca="false">ROUND(AI226*$E$11/12,2)</f>
        <v>0</v>
      </c>
      <c r="AK226" s="55" t="n">
        <f aca="false">MIN($F$11,AI226+AJ226)</f>
        <v>0</v>
      </c>
      <c r="AL226" s="55" t="n">
        <f aca="false">MAX(0,MIN(AI226+AJ226-AK226,$D226-(H226+M226+R226+W226+AB226+AG226)))</f>
        <v>0</v>
      </c>
      <c r="AM226" s="55" t="n">
        <f aca="false">AK226+AL226</f>
        <v>0</v>
      </c>
      <c r="AN226" s="55" t="n">
        <f aca="false">ROUND(MAX(0,AN225+AO225-AR225),2)</f>
        <v>0</v>
      </c>
      <c r="AO226" s="55" t="n">
        <f aca="false">ROUND(AN226*$E$12/12,2)</f>
        <v>0</v>
      </c>
      <c r="AP226" s="55" t="n">
        <f aca="false">MIN($F$12,AN226+AO226)</f>
        <v>0</v>
      </c>
      <c r="AQ226" s="55" t="n">
        <f aca="false">MAX(0,MIN(AN226+AO226-AP226,$D226-(H226+M226+R226+W226+AB226+AG226+AL226)))</f>
        <v>0</v>
      </c>
      <c r="AR226" s="55" t="n">
        <f aca="false">AP226+AQ226</f>
        <v>0</v>
      </c>
      <c r="AS226" s="55" t="n">
        <f aca="false">ROUND(MAX(0,AS225+AT225-AW225),2)</f>
        <v>0</v>
      </c>
      <c r="AT226" s="55" t="n">
        <f aca="false">ROUND(AS226*$E$13/12,2)</f>
        <v>0</v>
      </c>
      <c r="AU226" s="55" t="n">
        <f aca="false">MIN($F$13,AS226+AT226)</f>
        <v>0</v>
      </c>
      <c r="AV226" s="55" t="n">
        <f aca="false">MAX(0,MIN(AS226+AT226-AU226,$D226-(H226+M226+R226+W226+AB226+AG226+AL226+AQ226)))</f>
        <v>0</v>
      </c>
      <c r="AW226" s="55" t="n">
        <f aca="false">AU226+AV226</f>
        <v>0</v>
      </c>
      <c r="AX226" s="55" t="n">
        <f aca="false">ROUND(MAX(0,AX225+AY225-BB225),2)</f>
        <v>0</v>
      </c>
      <c r="AY226" s="55" t="n">
        <f aca="false">ROUND(AX226*$E$14/12,2)</f>
        <v>0</v>
      </c>
      <c r="AZ226" s="55" t="n">
        <f aca="false">MIN($F$14,AX226+AY226)</f>
        <v>0</v>
      </c>
      <c r="BA226" s="55" t="n">
        <f aca="false">MAX(0,MIN(AX226+AY226-AZ226,$D226-(H226+M226+R226+W226+AB226+AG226+AL226+AQ226+AV226)))</f>
        <v>0</v>
      </c>
      <c r="BB226" s="55" t="n">
        <f aca="false">AZ226+BA226</f>
        <v>0</v>
      </c>
      <c r="BC226" s="55" t="n">
        <f aca="false">I226+N226+S226+X226+AC226+AH226+AM226+AR226+AW226+BB226</f>
        <v>0</v>
      </c>
      <c r="BD226" s="55" t="n">
        <f aca="false">ROUND((E226+F226-I226)+(J226+K226-N226)+(O226+P226-S226)+(T226+U226-X226)+(Y226+Z226-AC226)+(AD226+AE226-AH226)+(AI226+AJ226-AM226)+(AN226+AO226-AR226)+(AS226+AT226-AW226)+(AX226+AY226-BB226),2)</f>
        <v>0</v>
      </c>
      <c r="BE226" s="25" t="str">
        <f aca="false">IF(H226&gt;0.005,$C$5,IF(M226&gt;0.005,$C$6,IF(R226&gt;0.005,$C$7,IF(W226&gt;0.005,$C$8,IF(AB226&gt;0.005,$C$9,IF(AG226&gt;0.005,$C$10,IF(AL226&gt;0.005,$C$11,IF(AQ226&gt;0.005,$C$12,IF(AV226&gt;0.005,$C$13,IF(BA226&gt;0.005,$C$14,""))))))))))</f>
        <v/>
      </c>
    </row>
    <row r="227" customFormat="false" ht="15" hidden="false" customHeight="false" outlineLevel="0" collapsed="false">
      <c r="A227" s="24" t="n">
        <v>204</v>
      </c>
      <c r="B227" s="54" t="n">
        <f aca="false">EDATE($C$17,A227-1)</f>
        <v>52505</v>
      </c>
      <c r="C227" s="55" t="n">
        <f aca="false">G227+L227+Q227+V227+AA227+AF227+AK227+AP227+AU227+AZ227</f>
        <v>0</v>
      </c>
      <c r="D227" s="55" t="n">
        <f aca="false">MAX(0,$C$16-C227)</f>
        <v>5822</v>
      </c>
      <c r="E227" s="55" t="n">
        <f aca="false">ROUND(MAX(0,E226+F226-I226),2)</f>
        <v>0</v>
      </c>
      <c r="F227" s="55" t="n">
        <f aca="false">ROUND(E227*$E$5/12,2)</f>
        <v>0</v>
      </c>
      <c r="G227" s="55" t="n">
        <f aca="false">MIN($F$5,E227+F227)</f>
        <v>0</v>
      </c>
      <c r="H227" s="55" t="n">
        <f aca="false">MAX(0,MIN(E227+F227-G227,$D227))</f>
        <v>0</v>
      </c>
      <c r="I227" s="55" t="n">
        <f aca="false">G227+H227</f>
        <v>0</v>
      </c>
      <c r="J227" s="55" t="n">
        <f aca="false">ROUND(MAX(0,J226+K226-N226),2)</f>
        <v>0</v>
      </c>
      <c r="K227" s="55" t="n">
        <f aca="false">ROUND(J227*$E$6/12,2)</f>
        <v>0</v>
      </c>
      <c r="L227" s="55" t="n">
        <f aca="false">MIN($F$6,J227+K227)</f>
        <v>0</v>
      </c>
      <c r="M227" s="55" t="n">
        <f aca="false">MAX(0,MIN(J227+K227-L227,$D227-(H227)))</f>
        <v>0</v>
      </c>
      <c r="N227" s="55" t="n">
        <f aca="false">L227+M227</f>
        <v>0</v>
      </c>
      <c r="O227" s="55" t="n">
        <f aca="false">ROUND(MAX(0,O226+P226-S226),2)</f>
        <v>0</v>
      </c>
      <c r="P227" s="55" t="n">
        <f aca="false">ROUND(O227*$E$7/12,2)</f>
        <v>0</v>
      </c>
      <c r="Q227" s="55" t="n">
        <f aca="false">MIN($F$7,O227+P227)</f>
        <v>0</v>
      </c>
      <c r="R227" s="55" t="n">
        <f aca="false">MAX(0,MIN(O227+P227-Q227,$D227-(H227+M227)))</f>
        <v>0</v>
      </c>
      <c r="S227" s="55" t="n">
        <f aca="false">Q227+R227</f>
        <v>0</v>
      </c>
      <c r="T227" s="55" t="n">
        <f aca="false">ROUND(MAX(0,T226+U226-X226),2)</f>
        <v>0</v>
      </c>
      <c r="U227" s="55" t="n">
        <f aca="false">ROUND(T227*$E$8/12,2)</f>
        <v>0</v>
      </c>
      <c r="V227" s="55" t="n">
        <f aca="false">MIN($F$8,T227+U227)</f>
        <v>0</v>
      </c>
      <c r="W227" s="55" t="n">
        <f aca="false">MAX(0,MIN(T227+U227-V227,$D227-(H227+M227+R227)))</f>
        <v>0</v>
      </c>
      <c r="X227" s="55" t="n">
        <f aca="false">V227+W227</f>
        <v>0</v>
      </c>
      <c r="Y227" s="55" t="n">
        <f aca="false">ROUND(MAX(0,Y226+Z226-AC226),2)</f>
        <v>0</v>
      </c>
      <c r="Z227" s="55" t="n">
        <f aca="false">ROUND(Y227*$E$9/12,2)</f>
        <v>0</v>
      </c>
      <c r="AA227" s="55" t="n">
        <f aca="false">MIN($F$9,Y227+Z227)</f>
        <v>0</v>
      </c>
      <c r="AB227" s="55" t="n">
        <f aca="false">MAX(0,MIN(Y227+Z227-AA227,$D227-(H227+M227+R227+W227)))</f>
        <v>0</v>
      </c>
      <c r="AC227" s="55" t="n">
        <f aca="false">AA227+AB227</f>
        <v>0</v>
      </c>
      <c r="AD227" s="55" t="n">
        <f aca="false">ROUND(MAX(0,AD226+AE226-AH226),2)</f>
        <v>0</v>
      </c>
      <c r="AE227" s="55" t="n">
        <f aca="false">ROUND(AD227*$E$10/12,2)</f>
        <v>0</v>
      </c>
      <c r="AF227" s="55" t="n">
        <f aca="false">MIN($F$10,AD227+AE227)</f>
        <v>0</v>
      </c>
      <c r="AG227" s="55" t="n">
        <f aca="false">MAX(0,MIN(AD227+AE227-AF227,$D227-(H227+M227+R227+W227+AB227)))</f>
        <v>0</v>
      </c>
      <c r="AH227" s="55" t="n">
        <f aca="false">AF227+AG227</f>
        <v>0</v>
      </c>
      <c r="AI227" s="55" t="n">
        <f aca="false">ROUND(MAX(0,AI226+AJ226-AM226),2)</f>
        <v>0</v>
      </c>
      <c r="AJ227" s="55" t="n">
        <f aca="false">ROUND(AI227*$E$11/12,2)</f>
        <v>0</v>
      </c>
      <c r="AK227" s="55" t="n">
        <f aca="false">MIN($F$11,AI227+AJ227)</f>
        <v>0</v>
      </c>
      <c r="AL227" s="55" t="n">
        <f aca="false">MAX(0,MIN(AI227+AJ227-AK227,$D227-(H227+M227+R227+W227+AB227+AG227)))</f>
        <v>0</v>
      </c>
      <c r="AM227" s="55" t="n">
        <f aca="false">AK227+AL227</f>
        <v>0</v>
      </c>
      <c r="AN227" s="55" t="n">
        <f aca="false">ROUND(MAX(0,AN226+AO226-AR226),2)</f>
        <v>0</v>
      </c>
      <c r="AO227" s="55" t="n">
        <f aca="false">ROUND(AN227*$E$12/12,2)</f>
        <v>0</v>
      </c>
      <c r="AP227" s="55" t="n">
        <f aca="false">MIN($F$12,AN227+AO227)</f>
        <v>0</v>
      </c>
      <c r="AQ227" s="55" t="n">
        <f aca="false">MAX(0,MIN(AN227+AO227-AP227,$D227-(H227+M227+R227+W227+AB227+AG227+AL227)))</f>
        <v>0</v>
      </c>
      <c r="AR227" s="55" t="n">
        <f aca="false">AP227+AQ227</f>
        <v>0</v>
      </c>
      <c r="AS227" s="55" t="n">
        <f aca="false">ROUND(MAX(0,AS226+AT226-AW226),2)</f>
        <v>0</v>
      </c>
      <c r="AT227" s="55" t="n">
        <f aca="false">ROUND(AS227*$E$13/12,2)</f>
        <v>0</v>
      </c>
      <c r="AU227" s="55" t="n">
        <f aca="false">MIN($F$13,AS227+AT227)</f>
        <v>0</v>
      </c>
      <c r="AV227" s="55" t="n">
        <f aca="false">MAX(0,MIN(AS227+AT227-AU227,$D227-(H227+M227+R227+W227+AB227+AG227+AL227+AQ227)))</f>
        <v>0</v>
      </c>
      <c r="AW227" s="55" t="n">
        <f aca="false">AU227+AV227</f>
        <v>0</v>
      </c>
      <c r="AX227" s="55" t="n">
        <f aca="false">ROUND(MAX(0,AX226+AY226-BB226),2)</f>
        <v>0</v>
      </c>
      <c r="AY227" s="55" t="n">
        <f aca="false">ROUND(AX227*$E$14/12,2)</f>
        <v>0</v>
      </c>
      <c r="AZ227" s="55" t="n">
        <f aca="false">MIN($F$14,AX227+AY227)</f>
        <v>0</v>
      </c>
      <c r="BA227" s="55" t="n">
        <f aca="false">MAX(0,MIN(AX227+AY227-AZ227,$D227-(H227+M227+R227+W227+AB227+AG227+AL227+AQ227+AV227)))</f>
        <v>0</v>
      </c>
      <c r="BB227" s="55" t="n">
        <f aca="false">AZ227+BA227</f>
        <v>0</v>
      </c>
      <c r="BC227" s="55" t="n">
        <f aca="false">I227+N227+S227+X227+AC227+AH227+AM227+AR227+AW227+BB227</f>
        <v>0</v>
      </c>
      <c r="BD227" s="55" t="n">
        <f aca="false">ROUND((E227+F227-I227)+(J227+K227-N227)+(O227+P227-S227)+(T227+U227-X227)+(Y227+Z227-AC227)+(AD227+AE227-AH227)+(AI227+AJ227-AM227)+(AN227+AO227-AR227)+(AS227+AT227-AW227)+(AX227+AY227-BB227),2)</f>
        <v>0</v>
      </c>
      <c r="BE227" s="25" t="str">
        <f aca="false">IF(H227&gt;0.005,$C$5,IF(M227&gt;0.005,$C$6,IF(R227&gt;0.005,$C$7,IF(W227&gt;0.005,$C$8,IF(AB227&gt;0.005,$C$9,IF(AG227&gt;0.005,$C$10,IF(AL227&gt;0.005,$C$11,IF(AQ227&gt;0.005,$C$12,IF(AV227&gt;0.005,$C$13,IF(BA227&gt;0.005,$C$14,""))))))))))</f>
        <v/>
      </c>
    </row>
    <row r="228" customFormat="false" ht="15" hidden="false" customHeight="false" outlineLevel="0" collapsed="false">
      <c r="A228" s="24" t="n">
        <v>205</v>
      </c>
      <c r="B228" s="54" t="n">
        <f aca="false">EDATE($C$17,A228-1)</f>
        <v>52536</v>
      </c>
      <c r="C228" s="55" t="n">
        <f aca="false">G228+L228+Q228+V228+AA228+AF228+AK228+AP228+AU228+AZ228</f>
        <v>0</v>
      </c>
      <c r="D228" s="55" t="n">
        <f aca="false">MAX(0,$C$16-C228)</f>
        <v>5822</v>
      </c>
      <c r="E228" s="55" t="n">
        <f aca="false">ROUND(MAX(0,E227+F227-I227),2)</f>
        <v>0</v>
      </c>
      <c r="F228" s="55" t="n">
        <f aca="false">ROUND(E228*$E$5/12,2)</f>
        <v>0</v>
      </c>
      <c r="G228" s="55" t="n">
        <f aca="false">MIN($F$5,E228+F228)</f>
        <v>0</v>
      </c>
      <c r="H228" s="55" t="n">
        <f aca="false">MAX(0,MIN(E228+F228-G228,$D228))</f>
        <v>0</v>
      </c>
      <c r="I228" s="55" t="n">
        <f aca="false">G228+H228</f>
        <v>0</v>
      </c>
      <c r="J228" s="55" t="n">
        <f aca="false">ROUND(MAX(0,J227+K227-N227),2)</f>
        <v>0</v>
      </c>
      <c r="K228" s="55" t="n">
        <f aca="false">ROUND(J228*$E$6/12,2)</f>
        <v>0</v>
      </c>
      <c r="L228" s="55" t="n">
        <f aca="false">MIN($F$6,J228+K228)</f>
        <v>0</v>
      </c>
      <c r="M228" s="55" t="n">
        <f aca="false">MAX(0,MIN(J228+K228-L228,$D228-(H228)))</f>
        <v>0</v>
      </c>
      <c r="N228" s="55" t="n">
        <f aca="false">L228+M228</f>
        <v>0</v>
      </c>
      <c r="O228" s="55" t="n">
        <f aca="false">ROUND(MAX(0,O227+P227-S227),2)</f>
        <v>0</v>
      </c>
      <c r="P228" s="55" t="n">
        <f aca="false">ROUND(O228*$E$7/12,2)</f>
        <v>0</v>
      </c>
      <c r="Q228" s="55" t="n">
        <f aca="false">MIN($F$7,O228+P228)</f>
        <v>0</v>
      </c>
      <c r="R228" s="55" t="n">
        <f aca="false">MAX(0,MIN(O228+P228-Q228,$D228-(H228+M228)))</f>
        <v>0</v>
      </c>
      <c r="S228" s="55" t="n">
        <f aca="false">Q228+R228</f>
        <v>0</v>
      </c>
      <c r="T228" s="55" t="n">
        <f aca="false">ROUND(MAX(0,T227+U227-X227),2)</f>
        <v>0</v>
      </c>
      <c r="U228" s="55" t="n">
        <f aca="false">ROUND(T228*$E$8/12,2)</f>
        <v>0</v>
      </c>
      <c r="V228" s="55" t="n">
        <f aca="false">MIN($F$8,T228+U228)</f>
        <v>0</v>
      </c>
      <c r="W228" s="55" t="n">
        <f aca="false">MAX(0,MIN(T228+U228-V228,$D228-(H228+M228+R228)))</f>
        <v>0</v>
      </c>
      <c r="X228" s="55" t="n">
        <f aca="false">V228+W228</f>
        <v>0</v>
      </c>
      <c r="Y228" s="55" t="n">
        <f aca="false">ROUND(MAX(0,Y227+Z227-AC227),2)</f>
        <v>0</v>
      </c>
      <c r="Z228" s="55" t="n">
        <f aca="false">ROUND(Y228*$E$9/12,2)</f>
        <v>0</v>
      </c>
      <c r="AA228" s="55" t="n">
        <f aca="false">MIN($F$9,Y228+Z228)</f>
        <v>0</v>
      </c>
      <c r="AB228" s="55" t="n">
        <f aca="false">MAX(0,MIN(Y228+Z228-AA228,$D228-(H228+M228+R228+W228)))</f>
        <v>0</v>
      </c>
      <c r="AC228" s="55" t="n">
        <f aca="false">AA228+AB228</f>
        <v>0</v>
      </c>
      <c r="AD228" s="55" t="n">
        <f aca="false">ROUND(MAX(0,AD227+AE227-AH227),2)</f>
        <v>0</v>
      </c>
      <c r="AE228" s="55" t="n">
        <f aca="false">ROUND(AD228*$E$10/12,2)</f>
        <v>0</v>
      </c>
      <c r="AF228" s="55" t="n">
        <f aca="false">MIN($F$10,AD228+AE228)</f>
        <v>0</v>
      </c>
      <c r="AG228" s="55" t="n">
        <f aca="false">MAX(0,MIN(AD228+AE228-AF228,$D228-(H228+M228+R228+W228+AB228)))</f>
        <v>0</v>
      </c>
      <c r="AH228" s="55" t="n">
        <f aca="false">AF228+AG228</f>
        <v>0</v>
      </c>
      <c r="AI228" s="55" t="n">
        <f aca="false">ROUND(MAX(0,AI227+AJ227-AM227),2)</f>
        <v>0</v>
      </c>
      <c r="AJ228" s="55" t="n">
        <f aca="false">ROUND(AI228*$E$11/12,2)</f>
        <v>0</v>
      </c>
      <c r="AK228" s="55" t="n">
        <f aca="false">MIN($F$11,AI228+AJ228)</f>
        <v>0</v>
      </c>
      <c r="AL228" s="55" t="n">
        <f aca="false">MAX(0,MIN(AI228+AJ228-AK228,$D228-(H228+M228+R228+W228+AB228+AG228)))</f>
        <v>0</v>
      </c>
      <c r="AM228" s="55" t="n">
        <f aca="false">AK228+AL228</f>
        <v>0</v>
      </c>
      <c r="AN228" s="55" t="n">
        <f aca="false">ROUND(MAX(0,AN227+AO227-AR227),2)</f>
        <v>0</v>
      </c>
      <c r="AO228" s="55" t="n">
        <f aca="false">ROUND(AN228*$E$12/12,2)</f>
        <v>0</v>
      </c>
      <c r="AP228" s="55" t="n">
        <f aca="false">MIN($F$12,AN228+AO228)</f>
        <v>0</v>
      </c>
      <c r="AQ228" s="55" t="n">
        <f aca="false">MAX(0,MIN(AN228+AO228-AP228,$D228-(H228+M228+R228+W228+AB228+AG228+AL228)))</f>
        <v>0</v>
      </c>
      <c r="AR228" s="55" t="n">
        <f aca="false">AP228+AQ228</f>
        <v>0</v>
      </c>
      <c r="AS228" s="55" t="n">
        <f aca="false">ROUND(MAX(0,AS227+AT227-AW227),2)</f>
        <v>0</v>
      </c>
      <c r="AT228" s="55" t="n">
        <f aca="false">ROUND(AS228*$E$13/12,2)</f>
        <v>0</v>
      </c>
      <c r="AU228" s="55" t="n">
        <f aca="false">MIN($F$13,AS228+AT228)</f>
        <v>0</v>
      </c>
      <c r="AV228" s="55" t="n">
        <f aca="false">MAX(0,MIN(AS228+AT228-AU228,$D228-(H228+M228+R228+W228+AB228+AG228+AL228+AQ228)))</f>
        <v>0</v>
      </c>
      <c r="AW228" s="55" t="n">
        <f aca="false">AU228+AV228</f>
        <v>0</v>
      </c>
      <c r="AX228" s="55" t="n">
        <f aca="false">ROUND(MAX(0,AX227+AY227-BB227),2)</f>
        <v>0</v>
      </c>
      <c r="AY228" s="55" t="n">
        <f aca="false">ROUND(AX228*$E$14/12,2)</f>
        <v>0</v>
      </c>
      <c r="AZ228" s="55" t="n">
        <f aca="false">MIN($F$14,AX228+AY228)</f>
        <v>0</v>
      </c>
      <c r="BA228" s="55" t="n">
        <f aca="false">MAX(0,MIN(AX228+AY228-AZ228,$D228-(H228+M228+R228+W228+AB228+AG228+AL228+AQ228+AV228)))</f>
        <v>0</v>
      </c>
      <c r="BB228" s="55" t="n">
        <f aca="false">AZ228+BA228</f>
        <v>0</v>
      </c>
      <c r="BC228" s="55" t="n">
        <f aca="false">I228+N228+S228+X228+AC228+AH228+AM228+AR228+AW228+BB228</f>
        <v>0</v>
      </c>
      <c r="BD228" s="55" t="n">
        <f aca="false">ROUND((E228+F228-I228)+(J228+K228-N228)+(O228+P228-S228)+(T228+U228-X228)+(Y228+Z228-AC228)+(AD228+AE228-AH228)+(AI228+AJ228-AM228)+(AN228+AO228-AR228)+(AS228+AT228-AW228)+(AX228+AY228-BB228),2)</f>
        <v>0</v>
      </c>
      <c r="BE228" s="25" t="str">
        <f aca="false">IF(H228&gt;0.005,$C$5,IF(M228&gt;0.005,$C$6,IF(R228&gt;0.005,$C$7,IF(W228&gt;0.005,$C$8,IF(AB228&gt;0.005,$C$9,IF(AG228&gt;0.005,$C$10,IF(AL228&gt;0.005,$C$11,IF(AQ228&gt;0.005,$C$12,IF(AV228&gt;0.005,$C$13,IF(BA228&gt;0.005,$C$14,""))))))))))</f>
        <v/>
      </c>
    </row>
    <row r="229" customFormat="false" ht="15" hidden="false" customHeight="false" outlineLevel="0" collapsed="false">
      <c r="A229" s="24" t="n">
        <v>206</v>
      </c>
      <c r="B229" s="54" t="n">
        <f aca="false">EDATE($C$17,A229-1)</f>
        <v>52566</v>
      </c>
      <c r="C229" s="55" t="n">
        <f aca="false">G229+L229+Q229+V229+AA229+AF229+AK229+AP229+AU229+AZ229</f>
        <v>0</v>
      </c>
      <c r="D229" s="55" t="n">
        <f aca="false">MAX(0,$C$16-C229)</f>
        <v>5822</v>
      </c>
      <c r="E229" s="55" t="n">
        <f aca="false">ROUND(MAX(0,E228+F228-I228),2)</f>
        <v>0</v>
      </c>
      <c r="F229" s="55" t="n">
        <f aca="false">ROUND(E229*$E$5/12,2)</f>
        <v>0</v>
      </c>
      <c r="G229" s="55" t="n">
        <f aca="false">MIN($F$5,E229+F229)</f>
        <v>0</v>
      </c>
      <c r="H229" s="55" t="n">
        <f aca="false">MAX(0,MIN(E229+F229-G229,$D229))</f>
        <v>0</v>
      </c>
      <c r="I229" s="55" t="n">
        <f aca="false">G229+H229</f>
        <v>0</v>
      </c>
      <c r="J229" s="55" t="n">
        <f aca="false">ROUND(MAX(0,J228+K228-N228),2)</f>
        <v>0</v>
      </c>
      <c r="K229" s="55" t="n">
        <f aca="false">ROUND(J229*$E$6/12,2)</f>
        <v>0</v>
      </c>
      <c r="L229" s="55" t="n">
        <f aca="false">MIN($F$6,J229+K229)</f>
        <v>0</v>
      </c>
      <c r="M229" s="55" t="n">
        <f aca="false">MAX(0,MIN(J229+K229-L229,$D229-(H229)))</f>
        <v>0</v>
      </c>
      <c r="N229" s="55" t="n">
        <f aca="false">L229+M229</f>
        <v>0</v>
      </c>
      <c r="O229" s="55" t="n">
        <f aca="false">ROUND(MAX(0,O228+P228-S228),2)</f>
        <v>0</v>
      </c>
      <c r="P229" s="55" t="n">
        <f aca="false">ROUND(O229*$E$7/12,2)</f>
        <v>0</v>
      </c>
      <c r="Q229" s="55" t="n">
        <f aca="false">MIN($F$7,O229+P229)</f>
        <v>0</v>
      </c>
      <c r="R229" s="55" t="n">
        <f aca="false">MAX(0,MIN(O229+P229-Q229,$D229-(H229+M229)))</f>
        <v>0</v>
      </c>
      <c r="S229" s="55" t="n">
        <f aca="false">Q229+R229</f>
        <v>0</v>
      </c>
      <c r="T229" s="55" t="n">
        <f aca="false">ROUND(MAX(0,T228+U228-X228),2)</f>
        <v>0</v>
      </c>
      <c r="U229" s="55" t="n">
        <f aca="false">ROUND(T229*$E$8/12,2)</f>
        <v>0</v>
      </c>
      <c r="V229" s="55" t="n">
        <f aca="false">MIN($F$8,T229+U229)</f>
        <v>0</v>
      </c>
      <c r="W229" s="55" t="n">
        <f aca="false">MAX(0,MIN(T229+U229-V229,$D229-(H229+M229+R229)))</f>
        <v>0</v>
      </c>
      <c r="X229" s="55" t="n">
        <f aca="false">V229+W229</f>
        <v>0</v>
      </c>
      <c r="Y229" s="55" t="n">
        <f aca="false">ROUND(MAX(0,Y228+Z228-AC228),2)</f>
        <v>0</v>
      </c>
      <c r="Z229" s="55" t="n">
        <f aca="false">ROUND(Y229*$E$9/12,2)</f>
        <v>0</v>
      </c>
      <c r="AA229" s="55" t="n">
        <f aca="false">MIN($F$9,Y229+Z229)</f>
        <v>0</v>
      </c>
      <c r="AB229" s="55" t="n">
        <f aca="false">MAX(0,MIN(Y229+Z229-AA229,$D229-(H229+M229+R229+W229)))</f>
        <v>0</v>
      </c>
      <c r="AC229" s="55" t="n">
        <f aca="false">AA229+AB229</f>
        <v>0</v>
      </c>
      <c r="AD229" s="55" t="n">
        <f aca="false">ROUND(MAX(0,AD228+AE228-AH228),2)</f>
        <v>0</v>
      </c>
      <c r="AE229" s="55" t="n">
        <f aca="false">ROUND(AD229*$E$10/12,2)</f>
        <v>0</v>
      </c>
      <c r="AF229" s="55" t="n">
        <f aca="false">MIN($F$10,AD229+AE229)</f>
        <v>0</v>
      </c>
      <c r="AG229" s="55" t="n">
        <f aca="false">MAX(0,MIN(AD229+AE229-AF229,$D229-(H229+M229+R229+W229+AB229)))</f>
        <v>0</v>
      </c>
      <c r="AH229" s="55" t="n">
        <f aca="false">AF229+AG229</f>
        <v>0</v>
      </c>
      <c r="AI229" s="55" t="n">
        <f aca="false">ROUND(MAX(0,AI228+AJ228-AM228),2)</f>
        <v>0</v>
      </c>
      <c r="AJ229" s="55" t="n">
        <f aca="false">ROUND(AI229*$E$11/12,2)</f>
        <v>0</v>
      </c>
      <c r="AK229" s="55" t="n">
        <f aca="false">MIN($F$11,AI229+AJ229)</f>
        <v>0</v>
      </c>
      <c r="AL229" s="55" t="n">
        <f aca="false">MAX(0,MIN(AI229+AJ229-AK229,$D229-(H229+M229+R229+W229+AB229+AG229)))</f>
        <v>0</v>
      </c>
      <c r="AM229" s="55" t="n">
        <f aca="false">AK229+AL229</f>
        <v>0</v>
      </c>
      <c r="AN229" s="55" t="n">
        <f aca="false">ROUND(MAX(0,AN228+AO228-AR228),2)</f>
        <v>0</v>
      </c>
      <c r="AO229" s="55" t="n">
        <f aca="false">ROUND(AN229*$E$12/12,2)</f>
        <v>0</v>
      </c>
      <c r="AP229" s="55" t="n">
        <f aca="false">MIN($F$12,AN229+AO229)</f>
        <v>0</v>
      </c>
      <c r="AQ229" s="55" t="n">
        <f aca="false">MAX(0,MIN(AN229+AO229-AP229,$D229-(H229+M229+R229+W229+AB229+AG229+AL229)))</f>
        <v>0</v>
      </c>
      <c r="AR229" s="55" t="n">
        <f aca="false">AP229+AQ229</f>
        <v>0</v>
      </c>
      <c r="AS229" s="55" t="n">
        <f aca="false">ROUND(MAX(0,AS228+AT228-AW228),2)</f>
        <v>0</v>
      </c>
      <c r="AT229" s="55" t="n">
        <f aca="false">ROUND(AS229*$E$13/12,2)</f>
        <v>0</v>
      </c>
      <c r="AU229" s="55" t="n">
        <f aca="false">MIN($F$13,AS229+AT229)</f>
        <v>0</v>
      </c>
      <c r="AV229" s="55" t="n">
        <f aca="false">MAX(0,MIN(AS229+AT229-AU229,$D229-(H229+M229+R229+W229+AB229+AG229+AL229+AQ229)))</f>
        <v>0</v>
      </c>
      <c r="AW229" s="55" t="n">
        <f aca="false">AU229+AV229</f>
        <v>0</v>
      </c>
      <c r="AX229" s="55" t="n">
        <f aca="false">ROUND(MAX(0,AX228+AY228-BB228),2)</f>
        <v>0</v>
      </c>
      <c r="AY229" s="55" t="n">
        <f aca="false">ROUND(AX229*$E$14/12,2)</f>
        <v>0</v>
      </c>
      <c r="AZ229" s="55" t="n">
        <f aca="false">MIN($F$14,AX229+AY229)</f>
        <v>0</v>
      </c>
      <c r="BA229" s="55" t="n">
        <f aca="false">MAX(0,MIN(AX229+AY229-AZ229,$D229-(H229+M229+R229+W229+AB229+AG229+AL229+AQ229+AV229)))</f>
        <v>0</v>
      </c>
      <c r="BB229" s="55" t="n">
        <f aca="false">AZ229+BA229</f>
        <v>0</v>
      </c>
      <c r="BC229" s="55" t="n">
        <f aca="false">I229+N229+S229+X229+AC229+AH229+AM229+AR229+AW229+BB229</f>
        <v>0</v>
      </c>
      <c r="BD229" s="55" t="n">
        <f aca="false">ROUND((E229+F229-I229)+(J229+K229-N229)+(O229+P229-S229)+(T229+U229-X229)+(Y229+Z229-AC229)+(AD229+AE229-AH229)+(AI229+AJ229-AM229)+(AN229+AO229-AR229)+(AS229+AT229-AW229)+(AX229+AY229-BB229),2)</f>
        <v>0</v>
      </c>
      <c r="BE229" s="25" t="str">
        <f aca="false">IF(H229&gt;0.005,$C$5,IF(M229&gt;0.005,$C$6,IF(R229&gt;0.005,$C$7,IF(W229&gt;0.005,$C$8,IF(AB229&gt;0.005,$C$9,IF(AG229&gt;0.005,$C$10,IF(AL229&gt;0.005,$C$11,IF(AQ229&gt;0.005,$C$12,IF(AV229&gt;0.005,$C$13,IF(BA229&gt;0.005,$C$14,""))))))))))</f>
        <v/>
      </c>
    </row>
    <row r="230" customFormat="false" ht="15" hidden="false" customHeight="false" outlineLevel="0" collapsed="false">
      <c r="A230" s="24" t="n">
        <v>207</v>
      </c>
      <c r="B230" s="54" t="n">
        <f aca="false">EDATE($C$17,A230-1)</f>
        <v>52597</v>
      </c>
      <c r="C230" s="55" t="n">
        <f aca="false">G230+L230+Q230+V230+AA230+AF230+AK230+AP230+AU230+AZ230</f>
        <v>0</v>
      </c>
      <c r="D230" s="55" t="n">
        <f aca="false">MAX(0,$C$16-C230)</f>
        <v>5822</v>
      </c>
      <c r="E230" s="55" t="n">
        <f aca="false">ROUND(MAX(0,E229+F229-I229),2)</f>
        <v>0</v>
      </c>
      <c r="F230" s="55" t="n">
        <f aca="false">ROUND(E230*$E$5/12,2)</f>
        <v>0</v>
      </c>
      <c r="G230" s="55" t="n">
        <f aca="false">MIN($F$5,E230+F230)</f>
        <v>0</v>
      </c>
      <c r="H230" s="55" t="n">
        <f aca="false">MAX(0,MIN(E230+F230-G230,$D230))</f>
        <v>0</v>
      </c>
      <c r="I230" s="55" t="n">
        <f aca="false">G230+H230</f>
        <v>0</v>
      </c>
      <c r="J230" s="55" t="n">
        <f aca="false">ROUND(MAX(0,J229+K229-N229),2)</f>
        <v>0</v>
      </c>
      <c r="K230" s="55" t="n">
        <f aca="false">ROUND(J230*$E$6/12,2)</f>
        <v>0</v>
      </c>
      <c r="L230" s="55" t="n">
        <f aca="false">MIN($F$6,J230+K230)</f>
        <v>0</v>
      </c>
      <c r="M230" s="55" t="n">
        <f aca="false">MAX(0,MIN(J230+K230-L230,$D230-(H230)))</f>
        <v>0</v>
      </c>
      <c r="N230" s="55" t="n">
        <f aca="false">L230+M230</f>
        <v>0</v>
      </c>
      <c r="O230" s="55" t="n">
        <f aca="false">ROUND(MAX(0,O229+P229-S229),2)</f>
        <v>0</v>
      </c>
      <c r="P230" s="55" t="n">
        <f aca="false">ROUND(O230*$E$7/12,2)</f>
        <v>0</v>
      </c>
      <c r="Q230" s="55" t="n">
        <f aca="false">MIN($F$7,O230+P230)</f>
        <v>0</v>
      </c>
      <c r="R230" s="55" t="n">
        <f aca="false">MAX(0,MIN(O230+P230-Q230,$D230-(H230+M230)))</f>
        <v>0</v>
      </c>
      <c r="S230" s="55" t="n">
        <f aca="false">Q230+R230</f>
        <v>0</v>
      </c>
      <c r="T230" s="55" t="n">
        <f aca="false">ROUND(MAX(0,T229+U229-X229),2)</f>
        <v>0</v>
      </c>
      <c r="U230" s="55" t="n">
        <f aca="false">ROUND(T230*$E$8/12,2)</f>
        <v>0</v>
      </c>
      <c r="V230" s="55" t="n">
        <f aca="false">MIN($F$8,T230+U230)</f>
        <v>0</v>
      </c>
      <c r="W230" s="55" t="n">
        <f aca="false">MAX(0,MIN(T230+U230-V230,$D230-(H230+M230+R230)))</f>
        <v>0</v>
      </c>
      <c r="X230" s="55" t="n">
        <f aca="false">V230+W230</f>
        <v>0</v>
      </c>
      <c r="Y230" s="55" t="n">
        <f aca="false">ROUND(MAX(0,Y229+Z229-AC229),2)</f>
        <v>0</v>
      </c>
      <c r="Z230" s="55" t="n">
        <f aca="false">ROUND(Y230*$E$9/12,2)</f>
        <v>0</v>
      </c>
      <c r="AA230" s="55" t="n">
        <f aca="false">MIN($F$9,Y230+Z230)</f>
        <v>0</v>
      </c>
      <c r="AB230" s="55" t="n">
        <f aca="false">MAX(0,MIN(Y230+Z230-AA230,$D230-(H230+M230+R230+W230)))</f>
        <v>0</v>
      </c>
      <c r="AC230" s="55" t="n">
        <f aca="false">AA230+AB230</f>
        <v>0</v>
      </c>
      <c r="AD230" s="55" t="n">
        <f aca="false">ROUND(MAX(0,AD229+AE229-AH229),2)</f>
        <v>0</v>
      </c>
      <c r="AE230" s="55" t="n">
        <f aca="false">ROUND(AD230*$E$10/12,2)</f>
        <v>0</v>
      </c>
      <c r="AF230" s="55" t="n">
        <f aca="false">MIN($F$10,AD230+AE230)</f>
        <v>0</v>
      </c>
      <c r="AG230" s="55" t="n">
        <f aca="false">MAX(0,MIN(AD230+AE230-AF230,$D230-(H230+M230+R230+W230+AB230)))</f>
        <v>0</v>
      </c>
      <c r="AH230" s="55" t="n">
        <f aca="false">AF230+AG230</f>
        <v>0</v>
      </c>
      <c r="AI230" s="55" t="n">
        <f aca="false">ROUND(MAX(0,AI229+AJ229-AM229),2)</f>
        <v>0</v>
      </c>
      <c r="AJ230" s="55" t="n">
        <f aca="false">ROUND(AI230*$E$11/12,2)</f>
        <v>0</v>
      </c>
      <c r="AK230" s="55" t="n">
        <f aca="false">MIN($F$11,AI230+AJ230)</f>
        <v>0</v>
      </c>
      <c r="AL230" s="55" t="n">
        <f aca="false">MAX(0,MIN(AI230+AJ230-AK230,$D230-(H230+M230+R230+W230+AB230+AG230)))</f>
        <v>0</v>
      </c>
      <c r="AM230" s="55" t="n">
        <f aca="false">AK230+AL230</f>
        <v>0</v>
      </c>
      <c r="AN230" s="55" t="n">
        <f aca="false">ROUND(MAX(0,AN229+AO229-AR229),2)</f>
        <v>0</v>
      </c>
      <c r="AO230" s="55" t="n">
        <f aca="false">ROUND(AN230*$E$12/12,2)</f>
        <v>0</v>
      </c>
      <c r="AP230" s="55" t="n">
        <f aca="false">MIN($F$12,AN230+AO230)</f>
        <v>0</v>
      </c>
      <c r="AQ230" s="55" t="n">
        <f aca="false">MAX(0,MIN(AN230+AO230-AP230,$D230-(H230+M230+R230+W230+AB230+AG230+AL230)))</f>
        <v>0</v>
      </c>
      <c r="AR230" s="55" t="n">
        <f aca="false">AP230+AQ230</f>
        <v>0</v>
      </c>
      <c r="AS230" s="55" t="n">
        <f aca="false">ROUND(MAX(0,AS229+AT229-AW229),2)</f>
        <v>0</v>
      </c>
      <c r="AT230" s="55" t="n">
        <f aca="false">ROUND(AS230*$E$13/12,2)</f>
        <v>0</v>
      </c>
      <c r="AU230" s="55" t="n">
        <f aca="false">MIN($F$13,AS230+AT230)</f>
        <v>0</v>
      </c>
      <c r="AV230" s="55" t="n">
        <f aca="false">MAX(0,MIN(AS230+AT230-AU230,$D230-(H230+M230+R230+W230+AB230+AG230+AL230+AQ230)))</f>
        <v>0</v>
      </c>
      <c r="AW230" s="55" t="n">
        <f aca="false">AU230+AV230</f>
        <v>0</v>
      </c>
      <c r="AX230" s="55" t="n">
        <f aca="false">ROUND(MAX(0,AX229+AY229-BB229),2)</f>
        <v>0</v>
      </c>
      <c r="AY230" s="55" t="n">
        <f aca="false">ROUND(AX230*$E$14/12,2)</f>
        <v>0</v>
      </c>
      <c r="AZ230" s="55" t="n">
        <f aca="false">MIN($F$14,AX230+AY230)</f>
        <v>0</v>
      </c>
      <c r="BA230" s="55" t="n">
        <f aca="false">MAX(0,MIN(AX230+AY230-AZ230,$D230-(H230+M230+R230+W230+AB230+AG230+AL230+AQ230+AV230)))</f>
        <v>0</v>
      </c>
      <c r="BB230" s="55" t="n">
        <f aca="false">AZ230+BA230</f>
        <v>0</v>
      </c>
      <c r="BC230" s="55" t="n">
        <f aca="false">I230+N230+S230+X230+AC230+AH230+AM230+AR230+AW230+BB230</f>
        <v>0</v>
      </c>
      <c r="BD230" s="55" t="n">
        <f aca="false">ROUND((E230+F230-I230)+(J230+K230-N230)+(O230+P230-S230)+(T230+U230-X230)+(Y230+Z230-AC230)+(AD230+AE230-AH230)+(AI230+AJ230-AM230)+(AN230+AO230-AR230)+(AS230+AT230-AW230)+(AX230+AY230-BB230),2)</f>
        <v>0</v>
      </c>
      <c r="BE230" s="25" t="str">
        <f aca="false">IF(H230&gt;0.005,$C$5,IF(M230&gt;0.005,$C$6,IF(R230&gt;0.005,$C$7,IF(W230&gt;0.005,$C$8,IF(AB230&gt;0.005,$C$9,IF(AG230&gt;0.005,$C$10,IF(AL230&gt;0.005,$C$11,IF(AQ230&gt;0.005,$C$12,IF(AV230&gt;0.005,$C$13,IF(BA230&gt;0.005,$C$14,""))))))))))</f>
        <v/>
      </c>
    </row>
    <row r="231" customFormat="false" ht="15" hidden="false" customHeight="false" outlineLevel="0" collapsed="false">
      <c r="A231" s="24" t="n">
        <v>208</v>
      </c>
      <c r="B231" s="54" t="n">
        <f aca="false">EDATE($C$17,A231-1)</f>
        <v>52628</v>
      </c>
      <c r="C231" s="55" t="n">
        <f aca="false">G231+L231+Q231+V231+AA231+AF231+AK231+AP231+AU231+AZ231</f>
        <v>0</v>
      </c>
      <c r="D231" s="55" t="n">
        <f aca="false">MAX(0,$C$16-C231)</f>
        <v>5822</v>
      </c>
      <c r="E231" s="55" t="n">
        <f aca="false">ROUND(MAX(0,E230+F230-I230),2)</f>
        <v>0</v>
      </c>
      <c r="F231" s="55" t="n">
        <f aca="false">ROUND(E231*$E$5/12,2)</f>
        <v>0</v>
      </c>
      <c r="G231" s="55" t="n">
        <f aca="false">MIN($F$5,E231+F231)</f>
        <v>0</v>
      </c>
      <c r="H231" s="55" t="n">
        <f aca="false">MAX(0,MIN(E231+F231-G231,$D231))</f>
        <v>0</v>
      </c>
      <c r="I231" s="55" t="n">
        <f aca="false">G231+H231</f>
        <v>0</v>
      </c>
      <c r="J231" s="55" t="n">
        <f aca="false">ROUND(MAX(0,J230+K230-N230),2)</f>
        <v>0</v>
      </c>
      <c r="K231" s="55" t="n">
        <f aca="false">ROUND(J231*$E$6/12,2)</f>
        <v>0</v>
      </c>
      <c r="L231" s="55" t="n">
        <f aca="false">MIN($F$6,J231+K231)</f>
        <v>0</v>
      </c>
      <c r="M231" s="55" t="n">
        <f aca="false">MAX(0,MIN(J231+K231-L231,$D231-(H231)))</f>
        <v>0</v>
      </c>
      <c r="N231" s="55" t="n">
        <f aca="false">L231+M231</f>
        <v>0</v>
      </c>
      <c r="O231" s="55" t="n">
        <f aca="false">ROUND(MAX(0,O230+P230-S230),2)</f>
        <v>0</v>
      </c>
      <c r="P231" s="55" t="n">
        <f aca="false">ROUND(O231*$E$7/12,2)</f>
        <v>0</v>
      </c>
      <c r="Q231" s="55" t="n">
        <f aca="false">MIN($F$7,O231+P231)</f>
        <v>0</v>
      </c>
      <c r="R231" s="55" t="n">
        <f aca="false">MAX(0,MIN(O231+P231-Q231,$D231-(H231+M231)))</f>
        <v>0</v>
      </c>
      <c r="S231" s="55" t="n">
        <f aca="false">Q231+R231</f>
        <v>0</v>
      </c>
      <c r="T231" s="55" t="n">
        <f aca="false">ROUND(MAX(0,T230+U230-X230),2)</f>
        <v>0</v>
      </c>
      <c r="U231" s="55" t="n">
        <f aca="false">ROUND(T231*$E$8/12,2)</f>
        <v>0</v>
      </c>
      <c r="V231" s="55" t="n">
        <f aca="false">MIN($F$8,T231+U231)</f>
        <v>0</v>
      </c>
      <c r="W231" s="55" t="n">
        <f aca="false">MAX(0,MIN(T231+U231-V231,$D231-(H231+M231+R231)))</f>
        <v>0</v>
      </c>
      <c r="X231" s="55" t="n">
        <f aca="false">V231+W231</f>
        <v>0</v>
      </c>
      <c r="Y231" s="55" t="n">
        <f aca="false">ROUND(MAX(0,Y230+Z230-AC230),2)</f>
        <v>0</v>
      </c>
      <c r="Z231" s="55" t="n">
        <f aca="false">ROUND(Y231*$E$9/12,2)</f>
        <v>0</v>
      </c>
      <c r="AA231" s="55" t="n">
        <f aca="false">MIN($F$9,Y231+Z231)</f>
        <v>0</v>
      </c>
      <c r="AB231" s="55" t="n">
        <f aca="false">MAX(0,MIN(Y231+Z231-AA231,$D231-(H231+M231+R231+W231)))</f>
        <v>0</v>
      </c>
      <c r="AC231" s="55" t="n">
        <f aca="false">AA231+AB231</f>
        <v>0</v>
      </c>
      <c r="AD231" s="55" t="n">
        <f aca="false">ROUND(MAX(0,AD230+AE230-AH230),2)</f>
        <v>0</v>
      </c>
      <c r="AE231" s="55" t="n">
        <f aca="false">ROUND(AD231*$E$10/12,2)</f>
        <v>0</v>
      </c>
      <c r="AF231" s="55" t="n">
        <f aca="false">MIN($F$10,AD231+AE231)</f>
        <v>0</v>
      </c>
      <c r="AG231" s="55" t="n">
        <f aca="false">MAX(0,MIN(AD231+AE231-AF231,$D231-(H231+M231+R231+W231+AB231)))</f>
        <v>0</v>
      </c>
      <c r="AH231" s="55" t="n">
        <f aca="false">AF231+AG231</f>
        <v>0</v>
      </c>
      <c r="AI231" s="55" t="n">
        <f aca="false">ROUND(MAX(0,AI230+AJ230-AM230),2)</f>
        <v>0</v>
      </c>
      <c r="AJ231" s="55" t="n">
        <f aca="false">ROUND(AI231*$E$11/12,2)</f>
        <v>0</v>
      </c>
      <c r="AK231" s="55" t="n">
        <f aca="false">MIN($F$11,AI231+AJ231)</f>
        <v>0</v>
      </c>
      <c r="AL231" s="55" t="n">
        <f aca="false">MAX(0,MIN(AI231+AJ231-AK231,$D231-(H231+M231+R231+W231+AB231+AG231)))</f>
        <v>0</v>
      </c>
      <c r="AM231" s="55" t="n">
        <f aca="false">AK231+AL231</f>
        <v>0</v>
      </c>
      <c r="AN231" s="55" t="n">
        <f aca="false">ROUND(MAX(0,AN230+AO230-AR230),2)</f>
        <v>0</v>
      </c>
      <c r="AO231" s="55" t="n">
        <f aca="false">ROUND(AN231*$E$12/12,2)</f>
        <v>0</v>
      </c>
      <c r="AP231" s="55" t="n">
        <f aca="false">MIN($F$12,AN231+AO231)</f>
        <v>0</v>
      </c>
      <c r="AQ231" s="55" t="n">
        <f aca="false">MAX(0,MIN(AN231+AO231-AP231,$D231-(H231+M231+R231+W231+AB231+AG231+AL231)))</f>
        <v>0</v>
      </c>
      <c r="AR231" s="55" t="n">
        <f aca="false">AP231+AQ231</f>
        <v>0</v>
      </c>
      <c r="AS231" s="55" t="n">
        <f aca="false">ROUND(MAX(0,AS230+AT230-AW230),2)</f>
        <v>0</v>
      </c>
      <c r="AT231" s="55" t="n">
        <f aca="false">ROUND(AS231*$E$13/12,2)</f>
        <v>0</v>
      </c>
      <c r="AU231" s="55" t="n">
        <f aca="false">MIN($F$13,AS231+AT231)</f>
        <v>0</v>
      </c>
      <c r="AV231" s="55" t="n">
        <f aca="false">MAX(0,MIN(AS231+AT231-AU231,$D231-(H231+M231+R231+W231+AB231+AG231+AL231+AQ231)))</f>
        <v>0</v>
      </c>
      <c r="AW231" s="55" t="n">
        <f aca="false">AU231+AV231</f>
        <v>0</v>
      </c>
      <c r="AX231" s="55" t="n">
        <f aca="false">ROUND(MAX(0,AX230+AY230-BB230),2)</f>
        <v>0</v>
      </c>
      <c r="AY231" s="55" t="n">
        <f aca="false">ROUND(AX231*$E$14/12,2)</f>
        <v>0</v>
      </c>
      <c r="AZ231" s="55" t="n">
        <f aca="false">MIN($F$14,AX231+AY231)</f>
        <v>0</v>
      </c>
      <c r="BA231" s="55" t="n">
        <f aca="false">MAX(0,MIN(AX231+AY231-AZ231,$D231-(H231+M231+R231+W231+AB231+AG231+AL231+AQ231+AV231)))</f>
        <v>0</v>
      </c>
      <c r="BB231" s="55" t="n">
        <f aca="false">AZ231+BA231</f>
        <v>0</v>
      </c>
      <c r="BC231" s="55" t="n">
        <f aca="false">I231+N231+S231+X231+AC231+AH231+AM231+AR231+AW231+BB231</f>
        <v>0</v>
      </c>
      <c r="BD231" s="55" t="n">
        <f aca="false">ROUND((E231+F231-I231)+(J231+K231-N231)+(O231+P231-S231)+(T231+U231-X231)+(Y231+Z231-AC231)+(AD231+AE231-AH231)+(AI231+AJ231-AM231)+(AN231+AO231-AR231)+(AS231+AT231-AW231)+(AX231+AY231-BB231),2)</f>
        <v>0</v>
      </c>
      <c r="BE231" s="25" t="str">
        <f aca="false">IF(H231&gt;0.005,$C$5,IF(M231&gt;0.005,$C$6,IF(R231&gt;0.005,$C$7,IF(W231&gt;0.005,$C$8,IF(AB231&gt;0.005,$C$9,IF(AG231&gt;0.005,$C$10,IF(AL231&gt;0.005,$C$11,IF(AQ231&gt;0.005,$C$12,IF(AV231&gt;0.005,$C$13,IF(BA231&gt;0.005,$C$14,""))))))))))</f>
        <v/>
      </c>
    </row>
    <row r="232" customFormat="false" ht="15" hidden="false" customHeight="false" outlineLevel="0" collapsed="false">
      <c r="A232" s="24" t="n">
        <v>209</v>
      </c>
      <c r="B232" s="54" t="n">
        <f aca="false">EDATE($C$17,A232-1)</f>
        <v>52657</v>
      </c>
      <c r="C232" s="55" t="n">
        <f aca="false">G232+L232+Q232+V232+AA232+AF232+AK232+AP232+AU232+AZ232</f>
        <v>0</v>
      </c>
      <c r="D232" s="55" t="n">
        <f aca="false">MAX(0,$C$16-C232)</f>
        <v>5822</v>
      </c>
      <c r="E232" s="55" t="n">
        <f aca="false">ROUND(MAX(0,E231+F231-I231),2)</f>
        <v>0</v>
      </c>
      <c r="F232" s="55" t="n">
        <f aca="false">ROUND(E232*$E$5/12,2)</f>
        <v>0</v>
      </c>
      <c r="G232" s="55" t="n">
        <f aca="false">MIN($F$5,E232+F232)</f>
        <v>0</v>
      </c>
      <c r="H232" s="55" t="n">
        <f aca="false">MAX(0,MIN(E232+F232-G232,$D232))</f>
        <v>0</v>
      </c>
      <c r="I232" s="55" t="n">
        <f aca="false">G232+H232</f>
        <v>0</v>
      </c>
      <c r="J232" s="55" t="n">
        <f aca="false">ROUND(MAX(0,J231+K231-N231),2)</f>
        <v>0</v>
      </c>
      <c r="K232" s="55" t="n">
        <f aca="false">ROUND(J232*$E$6/12,2)</f>
        <v>0</v>
      </c>
      <c r="L232" s="55" t="n">
        <f aca="false">MIN($F$6,J232+K232)</f>
        <v>0</v>
      </c>
      <c r="M232" s="55" t="n">
        <f aca="false">MAX(0,MIN(J232+K232-L232,$D232-(H232)))</f>
        <v>0</v>
      </c>
      <c r="N232" s="55" t="n">
        <f aca="false">L232+M232</f>
        <v>0</v>
      </c>
      <c r="O232" s="55" t="n">
        <f aca="false">ROUND(MAX(0,O231+P231-S231),2)</f>
        <v>0</v>
      </c>
      <c r="P232" s="55" t="n">
        <f aca="false">ROUND(O232*$E$7/12,2)</f>
        <v>0</v>
      </c>
      <c r="Q232" s="55" t="n">
        <f aca="false">MIN($F$7,O232+P232)</f>
        <v>0</v>
      </c>
      <c r="R232" s="55" t="n">
        <f aca="false">MAX(0,MIN(O232+P232-Q232,$D232-(H232+M232)))</f>
        <v>0</v>
      </c>
      <c r="S232" s="55" t="n">
        <f aca="false">Q232+R232</f>
        <v>0</v>
      </c>
      <c r="T232" s="55" t="n">
        <f aca="false">ROUND(MAX(0,T231+U231-X231),2)</f>
        <v>0</v>
      </c>
      <c r="U232" s="55" t="n">
        <f aca="false">ROUND(T232*$E$8/12,2)</f>
        <v>0</v>
      </c>
      <c r="V232" s="55" t="n">
        <f aca="false">MIN($F$8,T232+U232)</f>
        <v>0</v>
      </c>
      <c r="W232" s="55" t="n">
        <f aca="false">MAX(0,MIN(T232+U232-V232,$D232-(H232+M232+R232)))</f>
        <v>0</v>
      </c>
      <c r="X232" s="55" t="n">
        <f aca="false">V232+W232</f>
        <v>0</v>
      </c>
      <c r="Y232" s="55" t="n">
        <f aca="false">ROUND(MAX(0,Y231+Z231-AC231),2)</f>
        <v>0</v>
      </c>
      <c r="Z232" s="55" t="n">
        <f aca="false">ROUND(Y232*$E$9/12,2)</f>
        <v>0</v>
      </c>
      <c r="AA232" s="55" t="n">
        <f aca="false">MIN($F$9,Y232+Z232)</f>
        <v>0</v>
      </c>
      <c r="AB232" s="55" t="n">
        <f aca="false">MAX(0,MIN(Y232+Z232-AA232,$D232-(H232+M232+R232+W232)))</f>
        <v>0</v>
      </c>
      <c r="AC232" s="55" t="n">
        <f aca="false">AA232+AB232</f>
        <v>0</v>
      </c>
      <c r="AD232" s="55" t="n">
        <f aca="false">ROUND(MAX(0,AD231+AE231-AH231),2)</f>
        <v>0</v>
      </c>
      <c r="AE232" s="55" t="n">
        <f aca="false">ROUND(AD232*$E$10/12,2)</f>
        <v>0</v>
      </c>
      <c r="AF232" s="55" t="n">
        <f aca="false">MIN($F$10,AD232+AE232)</f>
        <v>0</v>
      </c>
      <c r="AG232" s="55" t="n">
        <f aca="false">MAX(0,MIN(AD232+AE232-AF232,$D232-(H232+M232+R232+W232+AB232)))</f>
        <v>0</v>
      </c>
      <c r="AH232" s="55" t="n">
        <f aca="false">AF232+AG232</f>
        <v>0</v>
      </c>
      <c r="AI232" s="55" t="n">
        <f aca="false">ROUND(MAX(0,AI231+AJ231-AM231),2)</f>
        <v>0</v>
      </c>
      <c r="AJ232" s="55" t="n">
        <f aca="false">ROUND(AI232*$E$11/12,2)</f>
        <v>0</v>
      </c>
      <c r="AK232" s="55" t="n">
        <f aca="false">MIN($F$11,AI232+AJ232)</f>
        <v>0</v>
      </c>
      <c r="AL232" s="55" t="n">
        <f aca="false">MAX(0,MIN(AI232+AJ232-AK232,$D232-(H232+M232+R232+W232+AB232+AG232)))</f>
        <v>0</v>
      </c>
      <c r="AM232" s="55" t="n">
        <f aca="false">AK232+AL232</f>
        <v>0</v>
      </c>
      <c r="AN232" s="55" t="n">
        <f aca="false">ROUND(MAX(0,AN231+AO231-AR231),2)</f>
        <v>0</v>
      </c>
      <c r="AO232" s="55" t="n">
        <f aca="false">ROUND(AN232*$E$12/12,2)</f>
        <v>0</v>
      </c>
      <c r="AP232" s="55" t="n">
        <f aca="false">MIN($F$12,AN232+AO232)</f>
        <v>0</v>
      </c>
      <c r="AQ232" s="55" t="n">
        <f aca="false">MAX(0,MIN(AN232+AO232-AP232,$D232-(H232+M232+R232+W232+AB232+AG232+AL232)))</f>
        <v>0</v>
      </c>
      <c r="AR232" s="55" t="n">
        <f aca="false">AP232+AQ232</f>
        <v>0</v>
      </c>
      <c r="AS232" s="55" t="n">
        <f aca="false">ROUND(MAX(0,AS231+AT231-AW231),2)</f>
        <v>0</v>
      </c>
      <c r="AT232" s="55" t="n">
        <f aca="false">ROUND(AS232*$E$13/12,2)</f>
        <v>0</v>
      </c>
      <c r="AU232" s="55" t="n">
        <f aca="false">MIN($F$13,AS232+AT232)</f>
        <v>0</v>
      </c>
      <c r="AV232" s="55" t="n">
        <f aca="false">MAX(0,MIN(AS232+AT232-AU232,$D232-(H232+M232+R232+W232+AB232+AG232+AL232+AQ232)))</f>
        <v>0</v>
      </c>
      <c r="AW232" s="55" t="n">
        <f aca="false">AU232+AV232</f>
        <v>0</v>
      </c>
      <c r="AX232" s="55" t="n">
        <f aca="false">ROUND(MAX(0,AX231+AY231-BB231),2)</f>
        <v>0</v>
      </c>
      <c r="AY232" s="55" t="n">
        <f aca="false">ROUND(AX232*$E$14/12,2)</f>
        <v>0</v>
      </c>
      <c r="AZ232" s="55" t="n">
        <f aca="false">MIN($F$14,AX232+AY232)</f>
        <v>0</v>
      </c>
      <c r="BA232" s="55" t="n">
        <f aca="false">MAX(0,MIN(AX232+AY232-AZ232,$D232-(H232+M232+R232+W232+AB232+AG232+AL232+AQ232+AV232)))</f>
        <v>0</v>
      </c>
      <c r="BB232" s="55" t="n">
        <f aca="false">AZ232+BA232</f>
        <v>0</v>
      </c>
      <c r="BC232" s="55" t="n">
        <f aca="false">I232+N232+S232+X232+AC232+AH232+AM232+AR232+AW232+BB232</f>
        <v>0</v>
      </c>
      <c r="BD232" s="55" t="n">
        <f aca="false">ROUND((E232+F232-I232)+(J232+K232-N232)+(O232+P232-S232)+(T232+U232-X232)+(Y232+Z232-AC232)+(AD232+AE232-AH232)+(AI232+AJ232-AM232)+(AN232+AO232-AR232)+(AS232+AT232-AW232)+(AX232+AY232-BB232),2)</f>
        <v>0</v>
      </c>
      <c r="BE232" s="25" t="str">
        <f aca="false">IF(H232&gt;0.005,$C$5,IF(M232&gt;0.005,$C$6,IF(R232&gt;0.005,$C$7,IF(W232&gt;0.005,$C$8,IF(AB232&gt;0.005,$C$9,IF(AG232&gt;0.005,$C$10,IF(AL232&gt;0.005,$C$11,IF(AQ232&gt;0.005,$C$12,IF(AV232&gt;0.005,$C$13,IF(BA232&gt;0.005,$C$14,""))))))))))</f>
        <v/>
      </c>
    </row>
    <row r="233" customFormat="false" ht="15" hidden="false" customHeight="false" outlineLevel="0" collapsed="false">
      <c r="A233" s="24" t="n">
        <v>210</v>
      </c>
      <c r="B233" s="54" t="n">
        <f aca="false">EDATE($C$17,A233-1)</f>
        <v>52688</v>
      </c>
      <c r="C233" s="55" t="n">
        <f aca="false">G233+L233+Q233+V233+AA233+AF233+AK233+AP233+AU233+AZ233</f>
        <v>0</v>
      </c>
      <c r="D233" s="55" t="n">
        <f aca="false">MAX(0,$C$16-C233)</f>
        <v>5822</v>
      </c>
      <c r="E233" s="55" t="n">
        <f aca="false">ROUND(MAX(0,E232+F232-I232),2)</f>
        <v>0</v>
      </c>
      <c r="F233" s="55" t="n">
        <f aca="false">ROUND(E233*$E$5/12,2)</f>
        <v>0</v>
      </c>
      <c r="G233" s="55" t="n">
        <f aca="false">MIN($F$5,E233+F233)</f>
        <v>0</v>
      </c>
      <c r="H233" s="55" t="n">
        <f aca="false">MAX(0,MIN(E233+F233-G233,$D233))</f>
        <v>0</v>
      </c>
      <c r="I233" s="55" t="n">
        <f aca="false">G233+H233</f>
        <v>0</v>
      </c>
      <c r="J233" s="55" t="n">
        <f aca="false">ROUND(MAX(0,J232+K232-N232),2)</f>
        <v>0</v>
      </c>
      <c r="K233" s="55" t="n">
        <f aca="false">ROUND(J233*$E$6/12,2)</f>
        <v>0</v>
      </c>
      <c r="L233" s="55" t="n">
        <f aca="false">MIN($F$6,J233+K233)</f>
        <v>0</v>
      </c>
      <c r="M233" s="55" t="n">
        <f aca="false">MAX(0,MIN(J233+K233-L233,$D233-(H233)))</f>
        <v>0</v>
      </c>
      <c r="N233" s="55" t="n">
        <f aca="false">L233+M233</f>
        <v>0</v>
      </c>
      <c r="O233" s="55" t="n">
        <f aca="false">ROUND(MAX(0,O232+P232-S232),2)</f>
        <v>0</v>
      </c>
      <c r="P233" s="55" t="n">
        <f aca="false">ROUND(O233*$E$7/12,2)</f>
        <v>0</v>
      </c>
      <c r="Q233" s="55" t="n">
        <f aca="false">MIN($F$7,O233+P233)</f>
        <v>0</v>
      </c>
      <c r="R233" s="55" t="n">
        <f aca="false">MAX(0,MIN(O233+P233-Q233,$D233-(H233+M233)))</f>
        <v>0</v>
      </c>
      <c r="S233" s="55" t="n">
        <f aca="false">Q233+R233</f>
        <v>0</v>
      </c>
      <c r="T233" s="55" t="n">
        <f aca="false">ROUND(MAX(0,T232+U232-X232),2)</f>
        <v>0</v>
      </c>
      <c r="U233" s="55" t="n">
        <f aca="false">ROUND(T233*$E$8/12,2)</f>
        <v>0</v>
      </c>
      <c r="V233" s="55" t="n">
        <f aca="false">MIN($F$8,T233+U233)</f>
        <v>0</v>
      </c>
      <c r="W233" s="55" t="n">
        <f aca="false">MAX(0,MIN(T233+U233-V233,$D233-(H233+M233+R233)))</f>
        <v>0</v>
      </c>
      <c r="X233" s="55" t="n">
        <f aca="false">V233+W233</f>
        <v>0</v>
      </c>
      <c r="Y233" s="55" t="n">
        <f aca="false">ROUND(MAX(0,Y232+Z232-AC232),2)</f>
        <v>0</v>
      </c>
      <c r="Z233" s="55" t="n">
        <f aca="false">ROUND(Y233*$E$9/12,2)</f>
        <v>0</v>
      </c>
      <c r="AA233" s="55" t="n">
        <f aca="false">MIN($F$9,Y233+Z233)</f>
        <v>0</v>
      </c>
      <c r="AB233" s="55" t="n">
        <f aca="false">MAX(0,MIN(Y233+Z233-AA233,$D233-(H233+M233+R233+W233)))</f>
        <v>0</v>
      </c>
      <c r="AC233" s="55" t="n">
        <f aca="false">AA233+AB233</f>
        <v>0</v>
      </c>
      <c r="AD233" s="55" t="n">
        <f aca="false">ROUND(MAX(0,AD232+AE232-AH232),2)</f>
        <v>0</v>
      </c>
      <c r="AE233" s="55" t="n">
        <f aca="false">ROUND(AD233*$E$10/12,2)</f>
        <v>0</v>
      </c>
      <c r="AF233" s="55" t="n">
        <f aca="false">MIN($F$10,AD233+AE233)</f>
        <v>0</v>
      </c>
      <c r="AG233" s="55" t="n">
        <f aca="false">MAX(0,MIN(AD233+AE233-AF233,$D233-(H233+M233+R233+W233+AB233)))</f>
        <v>0</v>
      </c>
      <c r="AH233" s="55" t="n">
        <f aca="false">AF233+AG233</f>
        <v>0</v>
      </c>
      <c r="AI233" s="55" t="n">
        <f aca="false">ROUND(MAX(0,AI232+AJ232-AM232),2)</f>
        <v>0</v>
      </c>
      <c r="AJ233" s="55" t="n">
        <f aca="false">ROUND(AI233*$E$11/12,2)</f>
        <v>0</v>
      </c>
      <c r="AK233" s="55" t="n">
        <f aca="false">MIN($F$11,AI233+AJ233)</f>
        <v>0</v>
      </c>
      <c r="AL233" s="55" t="n">
        <f aca="false">MAX(0,MIN(AI233+AJ233-AK233,$D233-(H233+M233+R233+W233+AB233+AG233)))</f>
        <v>0</v>
      </c>
      <c r="AM233" s="55" t="n">
        <f aca="false">AK233+AL233</f>
        <v>0</v>
      </c>
      <c r="AN233" s="55" t="n">
        <f aca="false">ROUND(MAX(0,AN232+AO232-AR232),2)</f>
        <v>0</v>
      </c>
      <c r="AO233" s="55" t="n">
        <f aca="false">ROUND(AN233*$E$12/12,2)</f>
        <v>0</v>
      </c>
      <c r="AP233" s="55" t="n">
        <f aca="false">MIN($F$12,AN233+AO233)</f>
        <v>0</v>
      </c>
      <c r="AQ233" s="55" t="n">
        <f aca="false">MAX(0,MIN(AN233+AO233-AP233,$D233-(H233+M233+R233+W233+AB233+AG233+AL233)))</f>
        <v>0</v>
      </c>
      <c r="AR233" s="55" t="n">
        <f aca="false">AP233+AQ233</f>
        <v>0</v>
      </c>
      <c r="AS233" s="55" t="n">
        <f aca="false">ROUND(MAX(0,AS232+AT232-AW232),2)</f>
        <v>0</v>
      </c>
      <c r="AT233" s="55" t="n">
        <f aca="false">ROUND(AS233*$E$13/12,2)</f>
        <v>0</v>
      </c>
      <c r="AU233" s="55" t="n">
        <f aca="false">MIN($F$13,AS233+AT233)</f>
        <v>0</v>
      </c>
      <c r="AV233" s="55" t="n">
        <f aca="false">MAX(0,MIN(AS233+AT233-AU233,$D233-(H233+M233+R233+W233+AB233+AG233+AL233+AQ233)))</f>
        <v>0</v>
      </c>
      <c r="AW233" s="55" t="n">
        <f aca="false">AU233+AV233</f>
        <v>0</v>
      </c>
      <c r="AX233" s="55" t="n">
        <f aca="false">ROUND(MAX(0,AX232+AY232-BB232),2)</f>
        <v>0</v>
      </c>
      <c r="AY233" s="55" t="n">
        <f aca="false">ROUND(AX233*$E$14/12,2)</f>
        <v>0</v>
      </c>
      <c r="AZ233" s="55" t="n">
        <f aca="false">MIN($F$14,AX233+AY233)</f>
        <v>0</v>
      </c>
      <c r="BA233" s="55" t="n">
        <f aca="false">MAX(0,MIN(AX233+AY233-AZ233,$D233-(H233+M233+R233+W233+AB233+AG233+AL233+AQ233+AV233)))</f>
        <v>0</v>
      </c>
      <c r="BB233" s="55" t="n">
        <f aca="false">AZ233+BA233</f>
        <v>0</v>
      </c>
      <c r="BC233" s="55" t="n">
        <f aca="false">I233+N233+S233+X233+AC233+AH233+AM233+AR233+AW233+BB233</f>
        <v>0</v>
      </c>
      <c r="BD233" s="55" t="n">
        <f aca="false">ROUND((E233+F233-I233)+(J233+K233-N233)+(O233+P233-S233)+(T233+U233-X233)+(Y233+Z233-AC233)+(AD233+AE233-AH233)+(AI233+AJ233-AM233)+(AN233+AO233-AR233)+(AS233+AT233-AW233)+(AX233+AY233-BB233),2)</f>
        <v>0</v>
      </c>
      <c r="BE233" s="25" t="str">
        <f aca="false">IF(H233&gt;0.005,$C$5,IF(M233&gt;0.005,$C$6,IF(R233&gt;0.005,$C$7,IF(W233&gt;0.005,$C$8,IF(AB233&gt;0.005,$C$9,IF(AG233&gt;0.005,$C$10,IF(AL233&gt;0.005,$C$11,IF(AQ233&gt;0.005,$C$12,IF(AV233&gt;0.005,$C$13,IF(BA233&gt;0.005,$C$14,""))))))))))</f>
        <v/>
      </c>
    </row>
    <row r="234" customFormat="false" ht="15" hidden="false" customHeight="false" outlineLevel="0" collapsed="false">
      <c r="A234" s="24" t="n">
        <v>211</v>
      </c>
      <c r="B234" s="54" t="n">
        <f aca="false">EDATE($C$17,A234-1)</f>
        <v>52718</v>
      </c>
      <c r="C234" s="55" t="n">
        <f aca="false">G234+L234+Q234+V234+AA234+AF234+AK234+AP234+AU234+AZ234</f>
        <v>0</v>
      </c>
      <c r="D234" s="55" t="n">
        <f aca="false">MAX(0,$C$16-C234)</f>
        <v>5822</v>
      </c>
      <c r="E234" s="55" t="n">
        <f aca="false">ROUND(MAX(0,E233+F233-I233),2)</f>
        <v>0</v>
      </c>
      <c r="F234" s="55" t="n">
        <f aca="false">ROUND(E234*$E$5/12,2)</f>
        <v>0</v>
      </c>
      <c r="G234" s="55" t="n">
        <f aca="false">MIN($F$5,E234+F234)</f>
        <v>0</v>
      </c>
      <c r="H234" s="55" t="n">
        <f aca="false">MAX(0,MIN(E234+F234-G234,$D234))</f>
        <v>0</v>
      </c>
      <c r="I234" s="55" t="n">
        <f aca="false">G234+H234</f>
        <v>0</v>
      </c>
      <c r="J234" s="55" t="n">
        <f aca="false">ROUND(MAX(0,J233+K233-N233),2)</f>
        <v>0</v>
      </c>
      <c r="K234" s="55" t="n">
        <f aca="false">ROUND(J234*$E$6/12,2)</f>
        <v>0</v>
      </c>
      <c r="L234" s="55" t="n">
        <f aca="false">MIN($F$6,J234+K234)</f>
        <v>0</v>
      </c>
      <c r="M234" s="55" t="n">
        <f aca="false">MAX(0,MIN(J234+K234-L234,$D234-(H234)))</f>
        <v>0</v>
      </c>
      <c r="N234" s="55" t="n">
        <f aca="false">L234+M234</f>
        <v>0</v>
      </c>
      <c r="O234" s="55" t="n">
        <f aca="false">ROUND(MAX(0,O233+P233-S233),2)</f>
        <v>0</v>
      </c>
      <c r="P234" s="55" t="n">
        <f aca="false">ROUND(O234*$E$7/12,2)</f>
        <v>0</v>
      </c>
      <c r="Q234" s="55" t="n">
        <f aca="false">MIN($F$7,O234+P234)</f>
        <v>0</v>
      </c>
      <c r="R234" s="55" t="n">
        <f aca="false">MAX(0,MIN(O234+P234-Q234,$D234-(H234+M234)))</f>
        <v>0</v>
      </c>
      <c r="S234" s="55" t="n">
        <f aca="false">Q234+R234</f>
        <v>0</v>
      </c>
      <c r="T234" s="55" t="n">
        <f aca="false">ROUND(MAX(0,T233+U233-X233),2)</f>
        <v>0</v>
      </c>
      <c r="U234" s="55" t="n">
        <f aca="false">ROUND(T234*$E$8/12,2)</f>
        <v>0</v>
      </c>
      <c r="V234" s="55" t="n">
        <f aca="false">MIN($F$8,T234+U234)</f>
        <v>0</v>
      </c>
      <c r="W234" s="55" t="n">
        <f aca="false">MAX(0,MIN(T234+U234-V234,$D234-(H234+M234+R234)))</f>
        <v>0</v>
      </c>
      <c r="X234" s="55" t="n">
        <f aca="false">V234+W234</f>
        <v>0</v>
      </c>
      <c r="Y234" s="55" t="n">
        <f aca="false">ROUND(MAX(0,Y233+Z233-AC233),2)</f>
        <v>0</v>
      </c>
      <c r="Z234" s="55" t="n">
        <f aca="false">ROUND(Y234*$E$9/12,2)</f>
        <v>0</v>
      </c>
      <c r="AA234" s="55" t="n">
        <f aca="false">MIN($F$9,Y234+Z234)</f>
        <v>0</v>
      </c>
      <c r="AB234" s="55" t="n">
        <f aca="false">MAX(0,MIN(Y234+Z234-AA234,$D234-(H234+M234+R234+W234)))</f>
        <v>0</v>
      </c>
      <c r="AC234" s="55" t="n">
        <f aca="false">AA234+AB234</f>
        <v>0</v>
      </c>
      <c r="AD234" s="55" t="n">
        <f aca="false">ROUND(MAX(0,AD233+AE233-AH233),2)</f>
        <v>0</v>
      </c>
      <c r="AE234" s="55" t="n">
        <f aca="false">ROUND(AD234*$E$10/12,2)</f>
        <v>0</v>
      </c>
      <c r="AF234" s="55" t="n">
        <f aca="false">MIN($F$10,AD234+AE234)</f>
        <v>0</v>
      </c>
      <c r="AG234" s="55" t="n">
        <f aca="false">MAX(0,MIN(AD234+AE234-AF234,$D234-(H234+M234+R234+W234+AB234)))</f>
        <v>0</v>
      </c>
      <c r="AH234" s="55" t="n">
        <f aca="false">AF234+AG234</f>
        <v>0</v>
      </c>
      <c r="AI234" s="55" t="n">
        <f aca="false">ROUND(MAX(0,AI233+AJ233-AM233),2)</f>
        <v>0</v>
      </c>
      <c r="AJ234" s="55" t="n">
        <f aca="false">ROUND(AI234*$E$11/12,2)</f>
        <v>0</v>
      </c>
      <c r="AK234" s="55" t="n">
        <f aca="false">MIN($F$11,AI234+AJ234)</f>
        <v>0</v>
      </c>
      <c r="AL234" s="55" t="n">
        <f aca="false">MAX(0,MIN(AI234+AJ234-AK234,$D234-(H234+M234+R234+W234+AB234+AG234)))</f>
        <v>0</v>
      </c>
      <c r="AM234" s="55" t="n">
        <f aca="false">AK234+AL234</f>
        <v>0</v>
      </c>
      <c r="AN234" s="55" t="n">
        <f aca="false">ROUND(MAX(0,AN233+AO233-AR233),2)</f>
        <v>0</v>
      </c>
      <c r="AO234" s="55" t="n">
        <f aca="false">ROUND(AN234*$E$12/12,2)</f>
        <v>0</v>
      </c>
      <c r="AP234" s="55" t="n">
        <f aca="false">MIN($F$12,AN234+AO234)</f>
        <v>0</v>
      </c>
      <c r="AQ234" s="55" t="n">
        <f aca="false">MAX(0,MIN(AN234+AO234-AP234,$D234-(H234+M234+R234+W234+AB234+AG234+AL234)))</f>
        <v>0</v>
      </c>
      <c r="AR234" s="55" t="n">
        <f aca="false">AP234+AQ234</f>
        <v>0</v>
      </c>
      <c r="AS234" s="55" t="n">
        <f aca="false">ROUND(MAX(0,AS233+AT233-AW233),2)</f>
        <v>0</v>
      </c>
      <c r="AT234" s="55" t="n">
        <f aca="false">ROUND(AS234*$E$13/12,2)</f>
        <v>0</v>
      </c>
      <c r="AU234" s="55" t="n">
        <f aca="false">MIN($F$13,AS234+AT234)</f>
        <v>0</v>
      </c>
      <c r="AV234" s="55" t="n">
        <f aca="false">MAX(0,MIN(AS234+AT234-AU234,$D234-(H234+M234+R234+W234+AB234+AG234+AL234+AQ234)))</f>
        <v>0</v>
      </c>
      <c r="AW234" s="55" t="n">
        <f aca="false">AU234+AV234</f>
        <v>0</v>
      </c>
      <c r="AX234" s="55" t="n">
        <f aca="false">ROUND(MAX(0,AX233+AY233-BB233),2)</f>
        <v>0</v>
      </c>
      <c r="AY234" s="55" t="n">
        <f aca="false">ROUND(AX234*$E$14/12,2)</f>
        <v>0</v>
      </c>
      <c r="AZ234" s="55" t="n">
        <f aca="false">MIN($F$14,AX234+AY234)</f>
        <v>0</v>
      </c>
      <c r="BA234" s="55" t="n">
        <f aca="false">MAX(0,MIN(AX234+AY234-AZ234,$D234-(H234+M234+R234+W234+AB234+AG234+AL234+AQ234+AV234)))</f>
        <v>0</v>
      </c>
      <c r="BB234" s="55" t="n">
        <f aca="false">AZ234+BA234</f>
        <v>0</v>
      </c>
      <c r="BC234" s="55" t="n">
        <f aca="false">I234+N234+S234+X234+AC234+AH234+AM234+AR234+AW234+BB234</f>
        <v>0</v>
      </c>
      <c r="BD234" s="55" t="n">
        <f aca="false">ROUND((E234+F234-I234)+(J234+K234-N234)+(O234+P234-S234)+(T234+U234-X234)+(Y234+Z234-AC234)+(AD234+AE234-AH234)+(AI234+AJ234-AM234)+(AN234+AO234-AR234)+(AS234+AT234-AW234)+(AX234+AY234-BB234),2)</f>
        <v>0</v>
      </c>
      <c r="BE234" s="25" t="str">
        <f aca="false">IF(H234&gt;0.005,$C$5,IF(M234&gt;0.005,$C$6,IF(R234&gt;0.005,$C$7,IF(W234&gt;0.005,$C$8,IF(AB234&gt;0.005,$C$9,IF(AG234&gt;0.005,$C$10,IF(AL234&gt;0.005,$C$11,IF(AQ234&gt;0.005,$C$12,IF(AV234&gt;0.005,$C$13,IF(BA234&gt;0.005,$C$14,""))))))))))</f>
        <v/>
      </c>
    </row>
    <row r="235" customFormat="false" ht="15" hidden="false" customHeight="false" outlineLevel="0" collapsed="false">
      <c r="A235" s="24" t="n">
        <v>212</v>
      </c>
      <c r="B235" s="54" t="n">
        <f aca="false">EDATE($C$17,A235-1)</f>
        <v>52749</v>
      </c>
      <c r="C235" s="55" t="n">
        <f aca="false">G235+L235+Q235+V235+AA235+AF235+AK235+AP235+AU235+AZ235</f>
        <v>0</v>
      </c>
      <c r="D235" s="55" t="n">
        <f aca="false">MAX(0,$C$16-C235)</f>
        <v>5822</v>
      </c>
      <c r="E235" s="55" t="n">
        <f aca="false">ROUND(MAX(0,E234+F234-I234),2)</f>
        <v>0</v>
      </c>
      <c r="F235" s="55" t="n">
        <f aca="false">ROUND(E235*$E$5/12,2)</f>
        <v>0</v>
      </c>
      <c r="G235" s="55" t="n">
        <f aca="false">MIN($F$5,E235+F235)</f>
        <v>0</v>
      </c>
      <c r="H235" s="55" t="n">
        <f aca="false">MAX(0,MIN(E235+F235-G235,$D235))</f>
        <v>0</v>
      </c>
      <c r="I235" s="55" t="n">
        <f aca="false">G235+H235</f>
        <v>0</v>
      </c>
      <c r="J235" s="55" t="n">
        <f aca="false">ROUND(MAX(0,J234+K234-N234),2)</f>
        <v>0</v>
      </c>
      <c r="K235" s="55" t="n">
        <f aca="false">ROUND(J235*$E$6/12,2)</f>
        <v>0</v>
      </c>
      <c r="L235" s="55" t="n">
        <f aca="false">MIN($F$6,J235+K235)</f>
        <v>0</v>
      </c>
      <c r="M235" s="55" t="n">
        <f aca="false">MAX(0,MIN(J235+K235-L235,$D235-(H235)))</f>
        <v>0</v>
      </c>
      <c r="N235" s="55" t="n">
        <f aca="false">L235+M235</f>
        <v>0</v>
      </c>
      <c r="O235" s="55" t="n">
        <f aca="false">ROUND(MAX(0,O234+P234-S234),2)</f>
        <v>0</v>
      </c>
      <c r="P235" s="55" t="n">
        <f aca="false">ROUND(O235*$E$7/12,2)</f>
        <v>0</v>
      </c>
      <c r="Q235" s="55" t="n">
        <f aca="false">MIN($F$7,O235+P235)</f>
        <v>0</v>
      </c>
      <c r="R235" s="55" t="n">
        <f aca="false">MAX(0,MIN(O235+P235-Q235,$D235-(H235+M235)))</f>
        <v>0</v>
      </c>
      <c r="S235" s="55" t="n">
        <f aca="false">Q235+R235</f>
        <v>0</v>
      </c>
      <c r="T235" s="55" t="n">
        <f aca="false">ROUND(MAX(0,T234+U234-X234),2)</f>
        <v>0</v>
      </c>
      <c r="U235" s="55" t="n">
        <f aca="false">ROUND(T235*$E$8/12,2)</f>
        <v>0</v>
      </c>
      <c r="V235" s="55" t="n">
        <f aca="false">MIN($F$8,T235+U235)</f>
        <v>0</v>
      </c>
      <c r="W235" s="55" t="n">
        <f aca="false">MAX(0,MIN(T235+U235-V235,$D235-(H235+M235+R235)))</f>
        <v>0</v>
      </c>
      <c r="X235" s="55" t="n">
        <f aca="false">V235+W235</f>
        <v>0</v>
      </c>
      <c r="Y235" s="55" t="n">
        <f aca="false">ROUND(MAX(0,Y234+Z234-AC234),2)</f>
        <v>0</v>
      </c>
      <c r="Z235" s="55" t="n">
        <f aca="false">ROUND(Y235*$E$9/12,2)</f>
        <v>0</v>
      </c>
      <c r="AA235" s="55" t="n">
        <f aca="false">MIN($F$9,Y235+Z235)</f>
        <v>0</v>
      </c>
      <c r="AB235" s="55" t="n">
        <f aca="false">MAX(0,MIN(Y235+Z235-AA235,$D235-(H235+M235+R235+W235)))</f>
        <v>0</v>
      </c>
      <c r="AC235" s="55" t="n">
        <f aca="false">AA235+AB235</f>
        <v>0</v>
      </c>
      <c r="AD235" s="55" t="n">
        <f aca="false">ROUND(MAX(0,AD234+AE234-AH234),2)</f>
        <v>0</v>
      </c>
      <c r="AE235" s="55" t="n">
        <f aca="false">ROUND(AD235*$E$10/12,2)</f>
        <v>0</v>
      </c>
      <c r="AF235" s="55" t="n">
        <f aca="false">MIN($F$10,AD235+AE235)</f>
        <v>0</v>
      </c>
      <c r="AG235" s="55" t="n">
        <f aca="false">MAX(0,MIN(AD235+AE235-AF235,$D235-(H235+M235+R235+W235+AB235)))</f>
        <v>0</v>
      </c>
      <c r="AH235" s="55" t="n">
        <f aca="false">AF235+AG235</f>
        <v>0</v>
      </c>
      <c r="AI235" s="55" t="n">
        <f aca="false">ROUND(MAX(0,AI234+AJ234-AM234),2)</f>
        <v>0</v>
      </c>
      <c r="AJ235" s="55" t="n">
        <f aca="false">ROUND(AI235*$E$11/12,2)</f>
        <v>0</v>
      </c>
      <c r="AK235" s="55" t="n">
        <f aca="false">MIN($F$11,AI235+AJ235)</f>
        <v>0</v>
      </c>
      <c r="AL235" s="55" t="n">
        <f aca="false">MAX(0,MIN(AI235+AJ235-AK235,$D235-(H235+M235+R235+W235+AB235+AG235)))</f>
        <v>0</v>
      </c>
      <c r="AM235" s="55" t="n">
        <f aca="false">AK235+AL235</f>
        <v>0</v>
      </c>
      <c r="AN235" s="55" t="n">
        <f aca="false">ROUND(MAX(0,AN234+AO234-AR234),2)</f>
        <v>0</v>
      </c>
      <c r="AO235" s="55" t="n">
        <f aca="false">ROUND(AN235*$E$12/12,2)</f>
        <v>0</v>
      </c>
      <c r="AP235" s="55" t="n">
        <f aca="false">MIN($F$12,AN235+AO235)</f>
        <v>0</v>
      </c>
      <c r="AQ235" s="55" t="n">
        <f aca="false">MAX(0,MIN(AN235+AO235-AP235,$D235-(H235+M235+R235+W235+AB235+AG235+AL235)))</f>
        <v>0</v>
      </c>
      <c r="AR235" s="55" t="n">
        <f aca="false">AP235+AQ235</f>
        <v>0</v>
      </c>
      <c r="AS235" s="55" t="n">
        <f aca="false">ROUND(MAX(0,AS234+AT234-AW234),2)</f>
        <v>0</v>
      </c>
      <c r="AT235" s="55" t="n">
        <f aca="false">ROUND(AS235*$E$13/12,2)</f>
        <v>0</v>
      </c>
      <c r="AU235" s="55" t="n">
        <f aca="false">MIN($F$13,AS235+AT235)</f>
        <v>0</v>
      </c>
      <c r="AV235" s="55" t="n">
        <f aca="false">MAX(0,MIN(AS235+AT235-AU235,$D235-(H235+M235+R235+W235+AB235+AG235+AL235+AQ235)))</f>
        <v>0</v>
      </c>
      <c r="AW235" s="55" t="n">
        <f aca="false">AU235+AV235</f>
        <v>0</v>
      </c>
      <c r="AX235" s="55" t="n">
        <f aca="false">ROUND(MAX(0,AX234+AY234-BB234),2)</f>
        <v>0</v>
      </c>
      <c r="AY235" s="55" t="n">
        <f aca="false">ROUND(AX235*$E$14/12,2)</f>
        <v>0</v>
      </c>
      <c r="AZ235" s="55" t="n">
        <f aca="false">MIN($F$14,AX235+AY235)</f>
        <v>0</v>
      </c>
      <c r="BA235" s="55" t="n">
        <f aca="false">MAX(0,MIN(AX235+AY235-AZ235,$D235-(H235+M235+R235+W235+AB235+AG235+AL235+AQ235+AV235)))</f>
        <v>0</v>
      </c>
      <c r="BB235" s="55" t="n">
        <f aca="false">AZ235+BA235</f>
        <v>0</v>
      </c>
      <c r="BC235" s="55" t="n">
        <f aca="false">I235+N235+S235+X235+AC235+AH235+AM235+AR235+AW235+BB235</f>
        <v>0</v>
      </c>
      <c r="BD235" s="55" t="n">
        <f aca="false">ROUND((E235+F235-I235)+(J235+K235-N235)+(O235+P235-S235)+(T235+U235-X235)+(Y235+Z235-AC235)+(AD235+AE235-AH235)+(AI235+AJ235-AM235)+(AN235+AO235-AR235)+(AS235+AT235-AW235)+(AX235+AY235-BB235),2)</f>
        <v>0</v>
      </c>
      <c r="BE235" s="25" t="str">
        <f aca="false">IF(H235&gt;0.005,$C$5,IF(M235&gt;0.005,$C$6,IF(R235&gt;0.005,$C$7,IF(W235&gt;0.005,$C$8,IF(AB235&gt;0.005,$C$9,IF(AG235&gt;0.005,$C$10,IF(AL235&gt;0.005,$C$11,IF(AQ235&gt;0.005,$C$12,IF(AV235&gt;0.005,$C$13,IF(BA235&gt;0.005,$C$14,""))))))))))</f>
        <v/>
      </c>
    </row>
    <row r="236" customFormat="false" ht="15" hidden="false" customHeight="false" outlineLevel="0" collapsed="false">
      <c r="A236" s="24" t="n">
        <v>213</v>
      </c>
      <c r="B236" s="54" t="n">
        <f aca="false">EDATE($C$17,A236-1)</f>
        <v>52779</v>
      </c>
      <c r="C236" s="55" t="n">
        <f aca="false">G236+L236+Q236+V236+AA236+AF236+AK236+AP236+AU236+AZ236</f>
        <v>0</v>
      </c>
      <c r="D236" s="55" t="n">
        <f aca="false">MAX(0,$C$16-C236)</f>
        <v>5822</v>
      </c>
      <c r="E236" s="55" t="n">
        <f aca="false">ROUND(MAX(0,E235+F235-I235),2)</f>
        <v>0</v>
      </c>
      <c r="F236" s="55" t="n">
        <f aca="false">ROUND(E236*$E$5/12,2)</f>
        <v>0</v>
      </c>
      <c r="G236" s="55" t="n">
        <f aca="false">MIN($F$5,E236+F236)</f>
        <v>0</v>
      </c>
      <c r="H236" s="55" t="n">
        <f aca="false">MAX(0,MIN(E236+F236-G236,$D236))</f>
        <v>0</v>
      </c>
      <c r="I236" s="55" t="n">
        <f aca="false">G236+H236</f>
        <v>0</v>
      </c>
      <c r="J236" s="55" t="n">
        <f aca="false">ROUND(MAX(0,J235+K235-N235),2)</f>
        <v>0</v>
      </c>
      <c r="K236" s="55" t="n">
        <f aca="false">ROUND(J236*$E$6/12,2)</f>
        <v>0</v>
      </c>
      <c r="L236" s="55" t="n">
        <f aca="false">MIN($F$6,J236+K236)</f>
        <v>0</v>
      </c>
      <c r="M236" s="55" t="n">
        <f aca="false">MAX(0,MIN(J236+K236-L236,$D236-(H236)))</f>
        <v>0</v>
      </c>
      <c r="N236" s="55" t="n">
        <f aca="false">L236+M236</f>
        <v>0</v>
      </c>
      <c r="O236" s="55" t="n">
        <f aca="false">ROUND(MAX(0,O235+P235-S235),2)</f>
        <v>0</v>
      </c>
      <c r="P236" s="55" t="n">
        <f aca="false">ROUND(O236*$E$7/12,2)</f>
        <v>0</v>
      </c>
      <c r="Q236" s="55" t="n">
        <f aca="false">MIN($F$7,O236+P236)</f>
        <v>0</v>
      </c>
      <c r="R236" s="55" t="n">
        <f aca="false">MAX(0,MIN(O236+P236-Q236,$D236-(H236+M236)))</f>
        <v>0</v>
      </c>
      <c r="S236" s="55" t="n">
        <f aca="false">Q236+R236</f>
        <v>0</v>
      </c>
      <c r="T236" s="55" t="n">
        <f aca="false">ROUND(MAX(0,T235+U235-X235),2)</f>
        <v>0</v>
      </c>
      <c r="U236" s="55" t="n">
        <f aca="false">ROUND(T236*$E$8/12,2)</f>
        <v>0</v>
      </c>
      <c r="V236" s="55" t="n">
        <f aca="false">MIN($F$8,T236+U236)</f>
        <v>0</v>
      </c>
      <c r="W236" s="55" t="n">
        <f aca="false">MAX(0,MIN(T236+U236-V236,$D236-(H236+M236+R236)))</f>
        <v>0</v>
      </c>
      <c r="X236" s="55" t="n">
        <f aca="false">V236+W236</f>
        <v>0</v>
      </c>
      <c r="Y236" s="55" t="n">
        <f aca="false">ROUND(MAX(0,Y235+Z235-AC235),2)</f>
        <v>0</v>
      </c>
      <c r="Z236" s="55" t="n">
        <f aca="false">ROUND(Y236*$E$9/12,2)</f>
        <v>0</v>
      </c>
      <c r="AA236" s="55" t="n">
        <f aca="false">MIN($F$9,Y236+Z236)</f>
        <v>0</v>
      </c>
      <c r="AB236" s="55" t="n">
        <f aca="false">MAX(0,MIN(Y236+Z236-AA236,$D236-(H236+M236+R236+W236)))</f>
        <v>0</v>
      </c>
      <c r="AC236" s="55" t="n">
        <f aca="false">AA236+AB236</f>
        <v>0</v>
      </c>
      <c r="AD236" s="55" t="n">
        <f aca="false">ROUND(MAX(0,AD235+AE235-AH235),2)</f>
        <v>0</v>
      </c>
      <c r="AE236" s="55" t="n">
        <f aca="false">ROUND(AD236*$E$10/12,2)</f>
        <v>0</v>
      </c>
      <c r="AF236" s="55" t="n">
        <f aca="false">MIN($F$10,AD236+AE236)</f>
        <v>0</v>
      </c>
      <c r="AG236" s="55" t="n">
        <f aca="false">MAX(0,MIN(AD236+AE236-AF236,$D236-(H236+M236+R236+W236+AB236)))</f>
        <v>0</v>
      </c>
      <c r="AH236" s="55" t="n">
        <f aca="false">AF236+AG236</f>
        <v>0</v>
      </c>
      <c r="AI236" s="55" t="n">
        <f aca="false">ROUND(MAX(0,AI235+AJ235-AM235),2)</f>
        <v>0</v>
      </c>
      <c r="AJ236" s="55" t="n">
        <f aca="false">ROUND(AI236*$E$11/12,2)</f>
        <v>0</v>
      </c>
      <c r="AK236" s="55" t="n">
        <f aca="false">MIN($F$11,AI236+AJ236)</f>
        <v>0</v>
      </c>
      <c r="AL236" s="55" t="n">
        <f aca="false">MAX(0,MIN(AI236+AJ236-AK236,$D236-(H236+M236+R236+W236+AB236+AG236)))</f>
        <v>0</v>
      </c>
      <c r="AM236" s="55" t="n">
        <f aca="false">AK236+AL236</f>
        <v>0</v>
      </c>
      <c r="AN236" s="55" t="n">
        <f aca="false">ROUND(MAX(0,AN235+AO235-AR235),2)</f>
        <v>0</v>
      </c>
      <c r="AO236" s="55" t="n">
        <f aca="false">ROUND(AN236*$E$12/12,2)</f>
        <v>0</v>
      </c>
      <c r="AP236" s="55" t="n">
        <f aca="false">MIN($F$12,AN236+AO236)</f>
        <v>0</v>
      </c>
      <c r="AQ236" s="55" t="n">
        <f aca="false">MAX(0,MIN(AN236+AO236-AP236,$D236-(H236+M236+R236+W236+AB236+AG236+AL236)))</f>
        <v>0</v>
      </c>
      <c r="AR236" s="55" t="n">
        <f aca="false">AP236+AQ236</f>
        <v>0</v>
      </c>
      <c r="AS236" s="55" t="n">
        <f aca="false">ROUND(MAX(0,AS235+AT235-AW235),2)</f>
        <v>0</v>
      </c>
      <c r="AT236" s="55" t="n">
        <f aca="false">ROUND(AS236*$E$13/12,2)</f>
        <v>0</v>
      </c>
      <c r="AU236" s="55" t="n">
        <f aca="false">MIN($F$13,AS236+AT236)</f>
        <v>0</v>
      </c>
      <c r="AV236" s="55" t="n">
        <f aca="false">MAX(0,MIN(AS236+AT236-AU236,$D236-(H236+M236+R236+W236+AB236+AG236+AL236+AQ236)))</f>
        <v>0</v>
      </c>
      <c r="AW236" s="55" t="n">
        <f aca="false">AU236+AV236</f>
        <v>0</v>
      </c>
      <c r="AX236" s="55" t="n">
        <f aca="false">ROUND(MAX(0,AX235+AY235-BB235),2)</f>
        <v>0</v>
      </c>
      <c r="AY236" s="55" t="n">
        <f aca="false">ROUND(AX236*$E$14/12,2)</f>
        <v>0</v>
      </c>
      <c r="AZ236" s="55" t="n">
        <f aca="false">MIN($F$14,AX236+AY236)</f>
        <v>0</v>
      </c>
      <c r="BA236" s="55" t="n">
        <f aca="false">MAX(0,MIN(AX236+AY236-AZ236,$D236-(H236+M236+R236+W236+AB236+AG236+AL236+AQ236+AV236)))</f>
        <v>0</v>
      </c>
      <c r="BB236" s="55" t="n">
        <f aca="false">AZ236+BA236</f>
        <v>0</v>
      </c>
      <c r="BC236" s="55" t="n">
        <f aca="false">I236+N236+S236+X236+AC236+AH236+AM236+AR236+AW236+BB236</f>
        <v>0</v>
      </c>
      <c r="BD236" s="55" t="n">
        <f aca="false">ROUND((E236+F236-I236)+(J236+K236-N236)+(O236+P236-S236)+(T236+U236-X236)+(Y236+Z236-AC236)+(AD236+AE236-AH236)+(AI236+AJ236-AM236)+(AN236+AO236-AR236)+(AS236+AT236-AW236)+(AX236+AY236-BB236),2)</f>
        <v>0</v>
      </c>
      <c r="BE236" s="25" t="str">
        <f aca="false">IF(H236&gt;0.005,$C$5,IF(M236&gt;0.005,$C$6,IF(R236&gt;0.005,$C$7,IF(W236&gt;0.005,$C$8,IF(AB236&gt;0.005,$C$9,IF(AG236&gt;0.005,$C$10,IF(AL236&gt;0.005,$C$11,IF(AQ236&gt;0.005,$C$12,IF(AV236&gt;0.005,$C$13,IF(BA236&gt;0.005,$C$14,""))))))))))</f>
        <v/>
      </c>
    </row>
    <row r="237" customFormat="false" ht="15" hidden="false" customHeight="false" outlineLevel="0" collapsed="false">
      <c r="A237" s="24" t="n">
        <v>214</v>
      </c>
      <c r="B237" s="54" t="n">
        <f aca="false">EDATE($C$17,A237-1)</f>
        <v>52810</v>
      </c>
      <c r="C237" s="55" t="n">
        <f aca="false">G237+L237+Q237+V237+AA237+AF237+AK237+AP237+AU237+AZ237</f>
        <v>0</v>
      </c>
      <c r="D237" s="55" t="n">
        <f aca="false">MAX(0,$C$16-C237)</f>
        <v>5822</v>
      </c>
      <c r="E237" s="55" t="n">
        <f aca="false">ROUND(MAX(0,E236+F236-I236),2)</f>
        <v>0</v>
      </c>
      <c r="F237" s="55" t="n">
        <f aca="false">ROUND(E237*$E$5/12,2)</f>
        <v>0</v>
      </c>
      <c r="G237" s="55" t="n">
        <f aca="false">MIN($F$5,E237+F237)</f>
        <v>0</v>
      </c>
      <c r="H237" s="55" t="n">
        <f aca="false">MAX(0,MIN(E237+F237-G237,$D237))</f>
        <v>0</v>
      </c>
      <c r="I237" s="55" t="n">
        <f aca="false">G237+H237</f>
        <v>0</v>
      </c>
      <c r="J237" s="55" t="n">
        <f aca="false">ROUND(MAX(0,J236+K236-N236),2)</f>
        <v>0</v>
      </c>
      <c r="K237" s="55" t="n">
        <f aca="false">ROUND(J237*$E$6/12,2)</f>
        <v>0</v>
      </c>
      <c r="L237" s="55" t="n">
        <f aca="false">MIN($F$6,J237+K237)</f>
        <v>0</v>
      </c>
      <c r="M237" s="55" t="n">
        <f aca="false">MAX(0,MIN(J237+K237-L237,$D237-(H237)))</f>
        <v>0</v>
      </c>
      <c r="N237" s="55" t="n">
        <f aca="false">L237+M237</f>
        <v>0</v>
      </c>
      <c r="O237" s="55" t="n">
        <f aca="false">ROUND(MAX(0,O236+P236-S236),2)</f>
        <v>0</v>
      </c>
      <c r="P237" s="55" t="n">
        <f aca="false">ROUND(O237*$E$7/12,2)</f>
        <v>0</v>
      </c>
      <c r="Q237" s="55" t="n">
        <f aca="false">MIN($F$7,O237+P237)</f>
        <v>0</v>
      </c>
      <c r="R237" s="55" t="n">
        <f aca="false">MAX(0,MIN(O237+P237-Q237,$D237-(H237+M237)))</f>
        <v>0</v>
      </c>
      <c r="S237" s="55" t="n">
        <f aca="false">Q237+R237</f>
        <v>0</v>
      </c>
      <c r="T237" s="55" t="n">
        <f aca="false">ROUND(MAX(0,T236+U236-X236),2)</f>
        <v>0</v>
      </c>
      <c r="U237" s="55" t="n">
        <f aca="false">ROUND(T237*$E$8/12,2)</f>
        <v>0</v>
      </c>
      <c r="V237" s="55" t="n">
        <f aca="false">MIN($F$8,T237+U237)</f>
        <v>0</v>
      </c>
      <c r="W237" s="55" t="n">
        <f aca="false">MAX(0,MIN(T237+U237-V237,$D237-(H237+M237+R237)))</f>
        <v>0</v>
      </c>
      <c r="X237" s="55" t="n">
        <f aca="false">V237+W237</f>
        <v>0</v>
      </c>
      <c r="Y237" s="55" t="n">
        <f aca="false">ROUND(MAX(0,Y236+Z236-AC236),2)</f>
        <v>0</v>
      </c>
      <c r="Z237" s="55" t="n">
        <f aca="false">ROUND(Y237*$E$9/12,2)</f>
        <v>0</v>
      </c>
      <c r="AA237" s="55" t="n">
        <f aca="false">MIN($F$9,Y237+Z237)</f>
        <v>0</v>
      </c>
      <c r="AB237" s="55" t="n">
        <f aca="false">MAX(0,MIN(Y237+Z237-AA237,$D237-(H237+M237+R237+W237)))</f>
        <v>0</v>
      </c>
      <c r="AC237" s="55" t="n">
        <f aca="false">AA237+AB237</f>
        <v>0</v>
      </c>
      <c r="AD237" s="55" t="n">
        <f aca="false">ROUND(MAX(0,AD236+AE236-AH236),2)</f>
        <v>0</v>
      </c>
      <c r="AE237" s="55" t="n">
        <f aca="false">ROUND(AD237*$E$10/12,2)</f>
        <v>0</v>
      </c>
      <c r="AF237" s="55" t="n">
        <f aca="false">MIN($F$10,AD237+AE237)</f>
        <v>0</v>
      </c>
      <c r="AG237" s="55" t="n">
        <f aca="false">MAX(0,MIN(AD237+AE237-AF237,$D237-(H237+M237+R237+W237+AB237)))</f>
        <v>0</v>
      </c>
      <c r="AH237" s="55" t="n">
        <f aca="false">AF237+AG237</f>
        <v>0</v>
      </c>
      <c r="AI237" s="55" t="n">
        <f aca="false">ROUND(MAX(0,AI236+AJ236-AM236),2)</f>
        <v>0</v>
      </c>
      <c r="AJ237" s="55" t="n">
        <f aca="false">ROUND(AI237*$E$11/12,2)</f>
        <v>0</v>
      </c>
      <c r="AK237" s="55" t="n">
        <f aca="false">MIN($F$11,AI237+AJ237)</f>
        <v>0</v>
      </c>
      <c r="AL237" s="55" t="n">
        <f aca="false">MAX(0,MIN(AI237+AJ237-AK237,$D237-(H237+M237+R237+W237+AB237+AG237)))</f>
        <v>0</v>
      </c>
      <c r="AM237" s="55" t="n">
        <f aca="false">AK237+AL237</f>
        <v>0</v>
      </c>
      <c r="AN237" s="55" t="n">
        <f aca="false">ROUND(MAX(0,AN236+AO236-AR236),2)</f>
        <v>0</v>
      </c>
      <c r="AO237" s="55" t="n">
        <f aca="false">ROUND(AN237*$E$12/12,2)</f>
        <v>0</v>
      </c>
      <c r="AP237" s="55" t="n">
        <f aca="false">MIN($F$12,AN237+AO237)</f>
        <v>0</v>
      </c>
      <c r="AQ237" s="55" t="n">
        <f aca="false">MAX(0,MIN(AN237+AO237-AP237,$D237-(H237+M237+R237+W237+AB237+AG237+AL237)))</f>
        <v>0</v>
      </c>
      <c r="AR237" s="55" t="n">
        <f aca="false">AP237+AQ237</f>
        <v>0</v>
      </c>
      <c r="AS237" s="55" t="n">
        <f aca="false">ROUND(MAX(0,AS236+AT236-AW236),2)</f>
        <v>0</v>
      </c>
      <c r="AT237" s="55" t="n">
        <f aca="false">ROUND(AS237*$E$13/12,2)</f>
        <v>0</v>
      </c>
      <c r="AU237" s="55" t="n">
        <f aca="false">MIN($F$13,AS237+AT237)</f>
        <v>0</v>
      </c>
      <c r="AV237" s="55" t="n">
        <f aca="false">MAX(0,MIN(AS237+AT237-AU237,$D237-(H237+M237+R237+W237+AB237+AG237+AL237+AQ237)))</f>
        <v>0</v>
      </c>
      <c r="AW237" s="55" t="n">
        <f aca="false">AU237+AV237</f>
        <v>0</v>
      </c>
      <c r="AX237" s="55" t="n">
        <f aca="false">ROUND(MAX(0,AX236+AY236-BB236),2)</f>
        <v>0</v>
      </c>
      <c r="AY237" s="55" t="n">
        <f aca="false">ROUND(AX237*$E$14/12,2)</f>
        <v>0</v>
      </c>
      <c r="AZ237" s="55" t="n">
        <f aca="false">MIN($F$14,AX237+AY237)</f>
        <v>0</v>
      </c>
      <c r="BA237" s="55" t="n">
        <f aca="false">MAX(0,MIN(AX237+AY237-AZ237,$D237-(H237+M237+R237+W237+AB237+AG237+AL237+AQ237+AV237)))</f>
        <v>0</v>
      </c>
      <c r="BB237" s="55" t="n">
        <f aca="false">AZ237+BA237</f>
        <v>0</v>
      </c>
      <c r="BC237" s="55" t="n">
        <f aca="false">I237+N237+S237+X237+AC237+AH237+AM237+AR237+AW237+BB237</f>
        <v>0</v>
      </c>
      <c r="BD237" s="55" t="n">
        <f aca="false">ROUND((E237+F237-I237)+(J237+K237-N237)+(O237+P237-S237)+(T237+U237-X237)+(Y237+Z237-AC237)+(AD237+AE237-AH237)+(AI237+AJ237-AM237)+(AN237+AO237-AR237)+(AS237+AT237-AW237)+(AX237+AY237-BB237),2)</f>
        <v>0</v>
      </c>
      <c r="BE237" s="25" t="str">
        <f aca="false">IF(H237&gt;0.005,$C$5,IF(M237&gt;0.005,$C$6,IF(R237&gt;0.005,$C$7,IF(W237&gt;0.005,$C$8,IF(AB237&gt;0.005,$C$9,IF(AG237&gt;0.005,$C$10,IF(AL237&gt;0.005,$C$11,IF(AQ237&gt;0.005,$C$12,IF(AV237&gt;0.005,$C$13,IF(BA237&gt;0.005,$C$14,""))))))))))</f>
        <v/>
      </c>
    </row>
    <row r="238" customFormat="false" ht="15" hidden="false" customHeight="false" outlineLevel="0" collapsed="false">
      <c r="A238" s="24" t="n">
        <v>215</v>
      </c>
      <c r="B238" s="54" t="n">
        <f aca="false">EDATE($C$17,A238-1)</f>
        <v>52841</v>
      </c>
      <c r="C238" s="55" t="n">
        <f aca="false">G238+L238+Q238+V238+AA238+AF238+AK238+AP238+AU238+AZ238</f>
        <v>0</v>
      </c>
      <c r="D238" s="55" t="n">
        <f aca="false">MAX(0,$C$16-C238)</f>
        <v>5822</v>
      </c>
      <c r="E238" s="55" t="n">
        <f aca="false">ROUND(MAX(0,E237+F237-I237),2)</f>
        <v>0</v>
      </c>
      <c r="F238" s="55" t="n">
        <f aca="false">ROUND(E238*$E$5/12,2)</f>
        <v>0</v>
      </c>
      <c r="G238" s="55" t="n">
        <f aca="false">MIN($F$5,E238+F238)</f>
        <v>0</v>
      </c>
      <c r="H238" s="55" t="n">
        <f aca="false">MAX(0,MIN(E238+F238-G238,$D238))</f>
        <v>0</v>
      </c>
      <c r="I238" s="55" t="n">
        <f aca="false">G238+H238</f>
        <v>0</v>
      </c>
      <c r="J238" s="55" t="n">
        <f aca="false">ROUND(MAX(0,J237+K237-N237),2)</f>
        <v>0</v>
      </c>
      <c r="K238" s="55" t="n">
        <f aca="false">ROUND(J238*$E$6/12,2)</f>
        <v>0</v>
      </c>
      <c r="L238" s="55" t="n">
        <f aca="false">MIN($F$6,J238+K238)</f>
        <v>0</v>
      </c>
      <c r="M238" s="55" t="n">
        <f aca="false">MAX(0,MIN(J238+K238-L238,$D238-(H238)))</f>
        <v>0</v>
      </c>
      <c r="N238" s="55" t="n">
        <f aca="false">L238+M238</f>
        <v>0</v>
      </c>
      <c r="O238" s="55" t="n">
        <f aca="false">ROUND(MAX(0,O237+P237-S237),2)</f>
        <v>0</v>
      </c>
      <c r="P238" s="55" t="n">
        <f aca="false">ROUND(O238*$E$7/12,2)</f>
        <v>0</v>
      </c>
      <c r="Q238" s="55" t="n">
        <f aca="false">MIN($F$7,O238+P238)</f>
        <v>0</v>
      </c>
      <c r="R238" s="55" t="n">
        <f aca="false">MAX(0,MIN(O238+P238-Q238,$D238-(H238+M238)))</f>
        <v>0</v>
      </c>
      <c r="S238" s="55" t="n">
        <f aca="false">Q238+R238</f>
        <v>0</v>
      </c>
      <c r="T238" s="55" t="n">
        <f aca="false">ROUND(MAX(0,T237+U237-X237),2)</f>
        <v>0</v>
      </c>
      <c r="U238" s="55" t="n">
        <f aca="false">ROUND(T238*$E$8/12,2)</f>
        <v>0</v>
      </c>
      <c r="V238" s="55" t="n">
        <f aca="false">MIN($F$8,T238+U238)</f>
        <v>0</v>
      </c>
      <c r="W238" s="55" t="n">
        <f aca="false">MAX(0,MIN(T238+U238-V238,$D238-(H238+M238+R238)))</f>
        <v>0</v>
      </c>
      <c r="X238" s="55" t="n">
        <f aca="false">V238+W238</f>
        <v>0</v>
      </c>
      <c r="Y238" s="55" t="n">
        <f aca="false">ROUND(MAX(0,Y237+Z237-AC237),2)</f>
        <v>0</v>
      </c>
      <c r="Z238" s="55" t="n">
        <f aca="false">ROUND(Y238*$E$9/12,2)</f>
        <v>0</v>
      </c>
      <c r="AA238" s="55" t="n">
        <f aca="false">MIN($F$9,Y238+Z238)</f>
        <v>0</v>
      </c>
      <c r="AB238" s="55" t="n">
        <f aca="false">MAX(0,MIN(Y238+Z238-AA238,$D238-(H238+M238+R238+W238)))</f>
        <v>0</v>
      </c>
      <c r="AC238" s="55" t="n">
        <f aca="false">AA238+AB238</f>
        <v>0</v>
      </c>
      <c r="AD238" s="55" t="n">
        <f aca="false">ROUND(MAX(0,AD237+AE237-AH237),2)</f>
        <v>0</v>
      </c>
      <c r="AE238" s="55" t="n">
        <f aca="false">ROUND(AD238*$E$10/12,2)</f>
        <v>0</v>
      </c>
      <c r="AF238" s="55" t="n">
        <f aca="false">MIN($F$10,AD238+AE238)</f>
        <v>0</v>
      </c>
      <c r="AG238" s="55" t="n">
        <f aca="false">MAX(0,MIN(AD238+AE238-AF238,$D238-(H238+M238+R238+W238+AB238)))</f>
        <v>0</v>
      </c>
      <c r="AH238" s="55" t="n">
        <f aca="false">AF238+AG238</f>
        <v>0</v>
      </c>
      <c r="AI238" s="55" t="n">
        <f aca="false">ROUND(MAX(0,AI237+AJ237-AM237),2)</f>
        <v>0</v>
      </c>
      <c r="AJ238" s="55" t="n">
        <f aca="false">ROUND(AI238*$E$11/12,2)</f>
        <v>0</v>
      </c>
      <c r="AK238" s="55" t="n">
        <f aca="false">MIN($F$11,AI238+AJ238)</f>
        <v>0</v>
      </c>
      <c r="AL238" s="55" t="n">
        <f aca="false">MAX(0,MIN(AI238+AJ238-AK238,$D238-(H238+M238+R238+W238+AB238+AG238)))</f>
        <v>0</v>
      </c>
      <c r="AM238" s="55" t="n">
        <f aca="false">AK238+AL238</f>
        <v>0</v>
      </c>
      <c r="AN238" s="55" t="n">
        <f aca="false">ROUND(MAX(0,AN237+AO237-AR237),2)</f>
        <v>0</v>
      </c>
      <c r="AO238" s="55" t="n">
        <f aca="false">ROUND(AN238*$E$12/12,2)</f>
        <v>0</v>
      </c>
      <c r="AP238" s="55" t="n">
        <f aca="false">MIN($F$12,AN238+AO238)</f>
        <v>0</v>
      </c>
      <c r="AQ238" s="55" t="n">
        <f aca="false">MAX(0,MIN(AN238+AO238-AP238,$D238-(H238+M238+R238+W238+AB238+AG238+AL238)))</f>
        <v>0</v>
      </c>
      <c r="AR238" s="55" t="n">
        <f aca="false">AP238+AQ238</f>
        <v>0</v>
      </c>
      <c r="AS238" s="55" t="n">
        <f aca="false">ROUND(MAX(0,AS237+AT237-AW237),2)</f>
        <v>0</v>
      </c>
      <c r="AT238" s="55" t="n">
        <f aca="false">ROUND(AS238*$E$13/12,2)</f>
        <v>0</v>
      </c>
      <c r="AU238" s="55" t="n">
        <f aca="false">MIN($F$13,AS238+AT238)</f>
        <v>0</v>
      </c>
      <c r="AV238" s="55" t="n">
        <f aca="false">MAX(0,MIN(AS238+AT238-AU238,$D238-(H238+M238+R238+W238+AB238+AG238+AL238+AQ238)))</f>
        <v>0</v>
      </c>
      <c r="AW238" s="55" t="n">
        <f aca="false">AU238+AV238</f>
        <v>0</v>
      </c>
      <c r="AX238" s="55" t="n">
        <f aca="false">ROUND(MAX(0,AX237+AY237-BB237),2)</f>
        <v>0</v>
      </c>
      <c r="AY238" s="55" t="n">
        <f aca="false">ROUND(AX238*$E$14/12,2)</f>
        <v>0</v>
      </c>
      <c r="AZ238" s="55" t="n">
        <f aca="false">MIN($F$14,AX238+AY238)</f>
        <v>0</v>
      </c>
      <c r="BA238" s="55" t="n">
        <f aca="false">MAX(0,MIN(AX238+AY238-AZ238,$D238-(H238+M238+R238+W238+AB238+AG238+AL238+AQ238+AV238)))</f>
        <v>0</v>
      </c>
      <c r="BB238" s="55" t="n">
        <f aca="false">AZ238+BA238</f>
        <v>0</v>
      </c>
      <c r="BC238" s="55" t="n">
        <f aca="false">I238+N238+S238+X238+AC238+AH238+AM238+AR238+AW238+BB238</f>
        <v>0</v>
      </c>
      <c r="BD238" s="55" t="n">
        <f aca="false">ROUND((E238+F238-I238)+(J238+K238-N238)+(O238+P238-S238)+(T238+U238-X238)+(Y238+Z238-AC238)+(AD238+AE238-AH238)+(AI238+AJ238-AM238)+(AN238+AO238-AR238)+(AS238+AT238-AW238)+(AX238+AY238-BB238),2)</f>
        <v>0</v>
      </c>
      <c r="BE238" s="25" t="str">
        <f aca="false">IF(H238&gt;0.005,$C$5,IF(M238&gt;0.005,$C$6,IF(R238&gt;0.005,$C$7,IF(W238&gt;0.005,$C$8,IF(AB238&gt;0.005,$C$9,IF(AG238&gt;0.005,$C$10,IF(AL238&gt;0.005,$C$11,IF(AQ238&gt;0.005,$C$12,IF(AV238&gt;0.005,$C$13,IF(BA238&gt;0.005,$C$14,""))))))))))</f>
        <v/>
      </c>
    </row>
    <row r="239" customFormat="false" ht="15" hidden="false" customHeight="false" outlineLevel="0" collapsed="false">
      <c r="A239" s="24" t="n">
        <v>216</v>
      </c>
      <c r="B239" s="54" t="n">
        <f aca="false">EDATE($C$17,A239-1)</f>
        <v>52871</v>
      </c>
      <c r="C239" s="55" t="n">
        <f aca="false">G239+L239+Q239+V239+AA239+AF239+AK239+AP239+AU239+AZ239</f>
        <v>0</v>
      </c>
      <c r="D239" s="55" t="n">
        <f aca="false">MAX(0,$C$16-C239)</f>
        <v>5822</v>
      </c>
      <c r="E239" s="55" t="n">
        <f aca="false">ROUND(MAX(0,E238+F238-I238),2)</f>
        <v>0</v>
      </c>
      <c r="F239" s="55" t="n">
        <f aca="false">ROUND(E239*$E$5/12,2)</f>
        <v>0</v>
      </c>
      <c r="G239" s="55" t="n">
        <f aca="false">MIN($F$5,E239+F239)</f>
        <v>0</v>
      </c>
      <c r="H239" s="55" t="n">
        <f aca="false">MAX(0,MIN(E239+F239-G239,$D239))</f>
        <v>0</v>
      </c>
      <c r="I239" s="55" t="n">
        <f aca="false">G239+H239</f>
        <v>0</v>
      </c>
      <c r="J239" s="55" t="n">
        <f aca="false">ROUND(MAX(0,J238+K238-N238),2)</f>
        <v>0</v>
      </c>
      <c r="K239" s="55" t="n">
        <f aca="false">ROUND(J239*$E$6/12,2)</f>
        <v>0</v>
      </c>
      <c r="L239" s="55" t="n">
        <f aca="false">MIN($F$6,J239+K239)</f>
        <v>0</v>
      </c>
      <c r="M239" s="55" t="n">
        <f aca="false">MAX(0,MIN(J239+K239-L239,$D239-(H239)))</f>
        <v>0</v>
      </c>
      <c r="N239" s="55" t="n">
        <f aca="false">L239+M239</f>
        <v>0</v>
      </c>
      <c r="O239" s="55" t="n">
        <f aca="false">ROUND(MAX(0,O238+P238-S238),2)</f>
        <v>0</v>
      </c>
      <c r="P239" s="55" t="n">
        <f aca="false">ROUND(O239*$E$7/12,2)</f>
        <v>0</v>
      </c>
      <c r="Q239" s="55" t="n">
        <f aca="false">MIN($F$7,O239+P239)</f>
        <v>0</v>
      </c>
      <c r="R239" s="55" t="n">
        <f aca="false">MAX(0,MIN(O239+P239-Q239,$D239-(H239+M239)))</f>
        <v>0</v>
      </c>
      <c r="S239" s="55" t="n">
        <f aca="false">Q239+R239</f>
        <v>0</v>
      </c>
      <c r="T239" s="55" t="n">
        <f aca="false">ROUND(MAX(0,T238+U238-X238),2)</f>
        <v>0</v>
      </c>
      <c r="U239" s="55" t="n">
        <f aca="false">ROUND(T239*$E$8/12,2)</f>
        <v>0</v>
      </c>
      <c r="V239" s="55" t="n">
        <f aca="false">MIN($F$8,T239+U239)</f>
        <v>0</v>
      </c>
      <c r="W239" s="55" t="n">
        <f aca="false">MAX(0,MIN(T239+U239-V239,$D239-(H239+M239+R239)))</f>
        <v>0</v>
      </c>
      <c r="X239" s="55" t="n">
        <f aca="false">V239+W239</f>
        <v>0</v>
      </c>
      <c r="Y239" s="55" t="n">
        <f aca="false">ROUND(MAX(0,Y238+Z238-AC238),2)</f>
        <v>0</v>
      </c>
      <c r="Z239" s="55" t="n">
        <f aca="false">ROUND(Y239*$E$9/12,2)</f>
        <v>0</v>
      </c>
      <c r="AA239" s="55" t="n">
        <f aca="false">MIN($F$9,Y239+Z239)</f>
        <v>0</v>
      </c>
      <c r="AB239" s="55" t="n">
        <f aca="false">MAX(0,MIN(Y239+Z239-AA239,$D239-(H239+M239+R239+W239)))</f>
        <v>0</v>
      </c>
      <c r="AC239" s="55" t="n">
        <f aca="false">AA239+AB239</f>
        <v>0</v>
      </c>
      <c r="AD239" s="55" t="n">
        <f aca="false">ROUND(MAX(0,AD238+AE238-AH238),2)</f>
        <v>0</v>
      </c>
      <c r="AE239" s="55" t="n">
        <f aca="false">ROUND(AD239*$E$10/12,2)</f>
        <v>0</v>
      </c>
      <c r="AF239" s="55" t="n">
        <f aca="false">MIN($F$10,AD239+AE239)</f>
        <v>0</v>
      </c>
      <c r="AG239" s="55" t="n">
        <f aca="false">MAX(0,MIN(AD239+AE239-AF239,$D239-(H239+M239+R239+W239+AB239)))</f>
        <v>0</v>
      </c>
      <c r="AH239" s="55" t="n">
        <f aca="false">AF239+AG239</f>
        <v>0</v>
      </c>
      <c r="AI239" s="55" t="n">
        <f aca="false">ROUND(MAX(0,AI238+AJ238-AM238),2)</f>
        <v>0</v>
      </c>
      <c r="AJ239" s="55" t="n">
        <f aca="false">ROUND(AI239*$E$11/12,2)</f>
        <v>0</v>
      </c>
      <c r="AK239" s="55" t="n">
        <f aca="false">MIN($F$11,AI239+AJ239)</f>
        <v>0</v>
      </c>
      <c r="AL239" s="55" t="n">
        <f aca="false">MAX(0,MIN(AI239+AJ239-AK239,$D239-(H239+M239+R239+W239+AB239+AG239)))</f>
        <v>0</v>
      </c>
      <c r="AM239" s="55" t="n">
        <f aca="false">AK239+AL239</f>
        <v>0</v>
      </c>
      <c r="AN239" s="55" t="n">
        <f aca="false">ROUND(MAX(0,AN238+AO238-AR238),2)</f>
        <v>0</v>
      </c>
      <c r="AO239" s="55" t="n">
        <f aca="false">ROUND(AN239*$E$12/12,2)</f>
        <v>0</v>
      </c>
      <c r="AP239" s="55" t="n">
        <f aca="false">MIN($F$12,AN239+AO239)</f>
        <v>0</v>
      </c>
      <c r="AQ239" s="55" t="n">
        <f aca="false">MAX(0,MIN(AN239+AO239-AP239,$D239-(H239+M239+R239+W239+AB239+AG239+AL239)))</f>
        <v>0</v>
      </c>
      <c r="AR239" s="55" t="n">
        <f aca="false">AP239+AQ239</f>
        <v>0</v>
      </c>
      <c r="AS239" s="55" t="n">
        <f aca="false">ROUND(MAX(0,AS238+AT238-AW238),2)</f>
        <v>0</v>
      </c>
      <c r="AT239" s="55" t="n">
        <f aca="false">ROUND(AS239*$E$13/12,2)</f>
        <v>0</v>
      </c>
      <c r="AU239" s="55" t="n">
        <f aca="false">MIN($F$13,AS239+AT239)</f>
        <v>0</v>
      </c>
      <c r="AV239" s="55" t="n">
        <f aca="false">MAX(0,MIN(AS239+AT239-AU239,$D239-(H239+M239+R239+W239+AB239+AG239+AL239+AQ239)))</f>
        <v>0</v>
      </c>
      <c r="AW239" s="55" t="n">
        <f aca="false">AU239+AV239</f>
        <v>0</v>
      </c>
      <c r="AX239" s="55" t="n">
        <f aca="false">ROUND(MAX(0,AX238+AY238-BB238),2)</f>
        <v>0</v>
      </c>
      <c r="AY239" s="55" t="n">
        <f aca="false">ROUND(AX239*$E$14/12,2)</f>
        <v>0</v>
      </c>
      <c r="AZ239" s="55" t="n">
        <f aca="false">MIN($F$14,AX239+AY239)</f>
        <v>0</v>
      </c>
      <c r="BA239" s="55" t="n">
        <f aca="false">MAX(0,MIN(AX239+AY239-AZ239,$D239-(H239+M239+R239+W239+AB239+AG239+AL239+AQ239+AV239)))</f>
        <v>0</v>
      </c>
      <c r="BB239" s="55" t="n">
        <f aca="false">AZ239+BA239</f>
        <v>0</v>
      </c>
      <c r="BC239" s="55" t="n">
        <f aca="false">I239+N239+S239+X239+AC239+AH239+AM239+AR239+AW239+BB239</f>
        <v>0</v>
      </c>
      <c r="BD239" s="55" t="n">
        <f aca="false">ROUND((E239+F239-I239)+(J239+K239-N239)+(O239+P239-S239)+(T239+U239-X239)+(Y239+Z239-AC239)+(AD239+AE239-AH239)+(AI239+AJ239-AM239)+(AN239+AO239-AR239)+(AS239+AT239-AW239)+(AX239+AY239-BB239),2)</f>
        <v>0</v>
      </c>
      <c r="BE239" s="25" t="str">
        <f aca="false">IF(H239&gt;0.005,$C$5,IF(M239&gt;0.005,$C$6,IF(R239&gt;0.005,$C$7,IF(W239&gt;0.005,$C$8,IF(AB239&gt;0.005,$C$9,IF(AG239&gt;0.005,$C$10,IF(AL239&gt;0.005,$C$11,IF(AQ239&gt;0.005,$C$12,IF(AV239&gt;0.005,$C$13,IF(BA239&gt;0.005,$C$14,""))))))))))</f>
        <v/>
      </c>
    </row>
    <row r="240" customFormat="false" ht="15" hidden="false" customHeight="false" outlineLevel="0" collapsed="false">
      <c r="A240" s="24" t="n">
        <v>217</v>
      </c>
      <c r="B240" s="54" t="n">
        <f aca="false">EDATE($C$17,A240-1)</f>
        <v>52902</v>
      </c>
      <c r="C240" s="55" t="n">
        <f aca="false">G240+L240+Q240+V240+AA240+AF240+AK240+AP240+AU240+AZ240</f>
        <v>0</v>
      </c>
      <c r="D240" s="55" t="n">
        <f aca="false">MAX(0,$C$16-C240)</f>
        <v>5822</v>
      </c>
      <c r="E240" s="55" t="n">
        <f aca="false">ROUND(MAX(0,E239+F239-I239),2)</f>
        <v>0</v>
      </c>
      <c r="F240" s="55" t="n">
        <f aca="false">ROUND(E240*$E$5/12,2)</f>
        <v>0</v>
      </c>
      <c r="G240" s="55" t="n">
        <f aca="false">MIN($F$5,E240+F240)</f>
        <v>0</v>
      </c>
      <c r="H240" s="55" t="n">
        <f aca="false">MAX(0,MIN(E240+F240-G240,$D240))</f>
        <v>0</v>
      </c>
      <c r="I240" s="55" t="n">
        <f aca="false">G240+H240</f>
        <v>0</v>
      </c>
      <c r="J240" s="55" t="n">
        <f aca="false">ROUND(MAX(0,J239+K239-N239),2)</f>
        <v>0</v>
      </c>
      <c r="K240" s="55" t="n">
        <f aca="false">ROUND(J240*$E$6/12,2)</f>
        <v>0</v>
      </c>
      <c r="L240" s="55" t="n">
        <f aca="false">MIN($F$6,J240+K240)</f>
        <v>0</v>
      </c>
      <c r="M240" s="55" t="n">
        <f aca="false">MAX(0,MIN(J240+K240-L240,$D240-(H240)))</f>
        <v>0</v>
      </c>
      <c r="N240" s="55" t="n">
        <f aca="false">L240+M240</f>
        <v>0</v>
      </c>
      <c r="O240" s="55" t="n">
        <f aca="false">ROUND(MAX(0,O239+P239-S239),2)</f>
        <v>0</v>
      </c>
      <c r="P240" s="55" t="n">
        <f aca="false">ROUND(O240*$E$7/12,2)</f>
        <v>0</v>
      </c>
      <c r="Q240" s="55" t="n">
        <f aca="false">MIN($F$7,O240+P240)</f>
        <v>0</v>
      </c>
      <c r="R240" s="55" t="n">
        <f aca="false">MAX(0,MIN(O240+P240-Q240,$D240-(H240+M240)))</f>
        <v>0</v>
      </c>
      <c r="S240" s="55" t="n">
        <f aca="false">Q240+R240</f>
        <v>0</v>
      </c>
      <c r="T240" s="55" t="n">
        <f aca="false">ROUND(MAX(0,T239+U239-X239),2)</f>
        <v>0</v>
      </c>
      <c r="U240" s="55" t="n">
        <f aca="false">ROUND(T240*$E$8/12,2)</f>
        <v>0</v>
      </c>
      <c r="V240" s="55" t="n">
        <f aca="false">MIN($F$8,T240+U240)</f>
        <v>0</v>
      </c>
      <c r="W240" s="55" t="n">
        <f aca="false">MAX(0,MIN(T240+U240-V240,$D240-(H240+M240+R240)))</f>
        <v>0</v>
      </c>
      <c r="X240" s="55" t="n">
        <f aca="false">V240+W240</f>
        <v>0</v>
      </c>
      <c r="Y240" s="55" t="n">
        <f aca="false">ROUND(MAX(0,Y239+Z239-AC239),2)</f>
        <v>0</v>
      </c>
      <c r="Z240" s="55" t="n">
        <f aca="false">ROUND(Y240*$E$9/12,2)</f>
        <v>0</v>
      </c>
      <c r="AA240" s="55" t="n">
        <f aca="false">MIN($F$9,Y240+Z240)</f>
        <v>0</v>
      </c>
      <c r="AB240" s="55" t="n">
        <f aca="false">MAX(0,MIN(Y240+Z240-AA240,$D240-(H240+M240+R240+W240)))</f>
        <v>0</v>
      </c>
      <c r="AC240" s="55" t="n">
        <f aca="false">AA240+AB240</f>
        <v>0</v>
      </c>
      <c r="AD240" s="55" t="n">
        <f aca="false">ROUND(MAX(0,AD239+AE239-AH239),2)</f>
        <v>0</v>
      </c>
      <c r="AE240" s="55" t="n">
        <f aca="false">ROUND(AD240*$E$10/12,2)</f>
        <v>0</v>
      </c>
      <c r="AF240" s="55" t="n">
        <f aca="false">MIN($F$10,AD240+AE240)</f>
        <v>0</v>
      </c>
      <c r="AG240" s="55" t="n">
        <f aca="false">MAX(0,MIN(AD240+AE240-AF240,$D240-(H240+M240+R240+W240+AB240)))</f>
        <v>0</v>
      </c>
      <c r="AH240" s="55" t="n">
        <f aca="false">AF240+AG240</f>
        <v>0</v>
      </c>
      <c r="AI240" s="55" t="n">
        <f aca="false">ROUND(MAX(0,AI239+AJ239-AM239),2)</f>
        <v>0</v>
      </c>
      <c r="AJ240" s="55" t="n">
        <f aca="false">ROUND(AI240*$E$11/12,2)</f>
        <v>0</v>
      </c>
      <c r="AK240" s="55" t="n">
        <f aca="false">MIN($F$11,AI240+AJ240)</f>
        <v>0</v>
      </c>
      <c r="AL240" s="55" t="n">
        <f aca="false">MAX(0,MIN(AI240+AJ240-AK240,$D240-(H240+M240+R240+W240+AB240+AG240)))</f>
        <v>0</v>
      </c>
      <c r="AM240" s="55" t="n">
        <f aca="false">AK240+AL240</f>
        <v>0</v>
      </c>
      <c r="AN240" s="55" t="n">
        <f aca="false">ROUND(MAX(0,AN239+AO239-AR239),2)</f>
        <v>0</v>
      </c>
      <c r="AO240" s="55" t="n">
        <f aca="false">ROUND(AN240*$E$12/12,2)</f>
        <v>0</v>
      </c>
      <c r="AP240" s="55" t="n">
        <f aca="false">MIN($F$12,AN240+AO240)</f>
        <v>0</v>
      </c>
      <c r="AQ240" s="55" t="n">
        <f aca="false">MAX(0,MIN(AN240+AO240-AP240,$D240-(H240+M240+R240+W240+AB240+AG240+AL240)))</f>
        <v>0</v>
      </c>
      <c r="AR240" s="55" t="n">
        <f aca="false">AP240+AQ240</f>
        <v>0</v>
      </c>
      <c r="AS240" s="55" t="n">
        <f aca="false">ROUND(MAX(0,AS239+AT239-AW239),2)</f>
        <v>0</v>
      </c>
      <c r="AT240" s="55" t="n">
        <f aca="false">ROUND(AS240*$E$13/12,2)</f>
        <v>0</v>
      </c>
      <c r="AU240" s="55" t="n">
        <f aca="false">MIN($F$13,AS240+AT240)</f>
        <v>0</v>
      </c>
      <c r="AV240" s="55" t="n">
        <f aca="false">MAX(0,MIN(AS240+AT240-AU240,$D240-(H240+M240+R240+W240+AB240+AG240+AL240+AQ240)))</f>
        <v>0</v>
      </c>
      <c r="AW240" s="55" t="n">
        <f aca="false">AU240+AV240</f>
        <v>0</v>
      </c>
      <c r="AX240" s="55" t="n">
        <f aca="false">ROUND(MAX(0,AX239+AY239-BB239),2)</f>
        <v>0</v>
      </c>
      <c r="AY240" s="55" t="n">
        <f aca="false">ROUND(AX240*$E$14/12,2)</f>
        <v>0</v>
      </c>
      <c r="AZ240" s="55" t="n">
        <f aca="false">MIN($F$14,AX240+AY240)</f>
        <v>0</v>
      </c>
      <c r="BA240" s="55" t="n">
        <f aca="false">MAX(0,MIN(AX240+AY240-AZ240,$D240-(H240+M240+R240+W240+AB240+AG240+AL240+AQ240+AV240)))</f>
        <v>0</v>
      </c>
      <c r="BB240" s="55" t="n">
        <f aca="false">AZ240+BA240</f>
        <v>0</v>
      </c>
      <c r="BC240" s="55" t="n">
        <f aca="false">I240+N240+S240+X240+AC240+AH240+AM240+AR240+AW240+BB240</f>
        <v>0</v>
      </c>
      <c r="BD240" s="55" t="n">
        <f aca="false">ROUND((E240+F240-I240)+(J240+K240-N240)+(O240+P240-S240)+(T240+U240-X240)+(Y240+Z240-AC240)+(AD240+AE240-AH240)+(AI240+AJ240-AM240)+(AN240+AO240-AR240)+(AS240+AT240-AW240)+(AX240+AY240-BB240),2)</f>
        <v>0</v>
      </c>
      <c r="BE240" s="25" t="str">
        <f aca="false">IF(H240&gt;0.005,$C$5,IF(M240&gt;0.005,$C$6,IF(R240&gt;0.005,$C$7,IF(W240&gt;0.005,$C$8,IF(AB240&gt;0.005,$C$9,IF(AG240&gt;0.005,$C$10,IF(AL240&gt;0.005,$C$11,IF(AQ240&gt;0.005,$C$12,IF(AV240&gt;0.005,$C$13,IF(BA240&gt;0.005,$C$14,""))))))))))</f>
        <v/>
      </c>
    </row>
    <row r="241" customFormat="false" ht="15" hidden="false" customHeight="false" outlineLevel="0" collapsed="false">
      <c r="A241" s="24" t="n">
        <v>218</v>
      </c>
      <c r="B241" s="54" t="n">
        <f aca="false">EDATE($C$17,A241-1)</f>
        <v>52932</v>
      </c>
      <c r="C241" s="55" t="n">
        <f aca="false">G241+L241+Q241+V241+AA241+AF241+AK241+AP241+AU241+AZ241</f>
        <v>0</v>
      </c>
      <c r="D241" s="55" t="n">
        <f aca="false">MAX(0,$C$16-C241)</f>
        <v>5822</v>
      </c>
      <c r="E241" s="55" t="n">
        <f aca="false">ROUND(MAX(0,E240+F240-I240),2)</f>
        <v>0</v>
      </c>
      <c r="F241" s="55" t="n">
        <f aca="false">ROUND(E241*$E$5/12,2)</f>
        <v>0</v>
      </c>
      <c r="G241" s="55" t="n">
        <f aca="false">MIN($F$5,E241+F241)</f>
        <v>0</v>
      </c>
      <c r="H241" s="55" t="n">
        <f aca="false">MAX(0,MIN(E241+F241-G241,$D241))</f>
        <v>0</v>
      </c>
      <c r="I241" s="55" t="n">
        <f aca="false">G241+H241</f>
        <v>0</v>
      </c>
      <c r="J241" s="55" t="n">
        <f aca="false">ROUND(MAX(0,J240+K240-N240),2)</f>
        <v>0</v>
      </c>
      <c r="K241" s="55" t="n">
        <f aca="false">ROUND(J241*$E$6/12,2)</f>
        <v>0</v>
      </c>
      <c r="L241" s="55" t="n">
        <f aca="false">MIN($F$6,J241+K241)</f>
        <v>0</v>
      </c>
      <c r="M241" s="55" t="n">
        <f aca="false">MAX(0,MIN(J241+K241-L241,$D241-(H241)))</f>
        <v>0</v>
      </c>
      <c r="N241" s="55" t="n">
        <f aca="false">L241+M241</f>
        <v>0</v>
      </c>
      <c r="O241" s="55" t="n">
        <f aca="false">ROUND(MAX(0,O240+P240-S240),2)</f>
        <v>0</v>
      </c>
      <c r="P241" s="55" t="n">
        <f aca="false">ROUND(O241*$E$7/12,2)</f>
        <v>0</v>
      </c>
      <c r="Q241" s="55" t="n">
        <f aca="false">MIN($F$7,O241+P241)</f>
        <v>0</v>
      </c>
      <c r="R241" s="55" t="n">
        <f aca="false">MAX(0,MIN(O241+P241-Q241,$D241-(H241+M241)))</f>
        <v>0</v>
      </c>
      <c r="S241" s="55" t="n">
        <f aca="false">Q241+R241</f>
        <v>0</v>
      </c>
      <c r="T241" s="55" t="n">
        <f aca="false">ROUND(MAX(0,T240+U240-X240),2)</f>
        <v>0</v>
      </c>
      <c r="U241" s="55" t="n">
        <f aca="false">ROUND(T241*$E$8/12,2)</f>
        <v>0</v>
      </c>
      <c r="V241" s="55" t="n">
        <f aca="false">MIN($F$8,T241+U241)</f>
        <v>0</v>
      </c>
      <c r="W241" s="55" t="n">
        <f aca="false">MAX(0,MIN(T241+U241-V241,$D241-(H241+M241+R241)))</f>
        <v>0</v>
      </c>
      <c r="X241" s="55" t="n">
        <f aca="false">V241+W241</f>
        <v>0</v>
      </c>
      <c r="Y241" s="55" t="n">
        <f aca="false">ROUND(MAX(0,Y240+Z240-AC240),2)</f>
        <v>0</v>
      </c>
      <c r="Z241" s="55" t="n">
        <f aca="false">ROUND(Y241*$E$9/12,2)</f>
        <v>0</v>
      </c>
      <c r="AA241" s="55" t="n">
        <f aca="false">MIN($F$9,Y241+Z241)</f>
        <v>0</v>
      </c>
      <c r="AB241" s="55" t="n">
        <f aca="false">MAX(0,MIN(Y241+Z241-AA241,$D241-(H241+M241+R241+W241)))</f>
        <v>0</v>
      </c>
      <c r="AC241" s="55" t="n">
        <f aca="false">AA241+AB241</f>
        <v>0</v>
      </c>
      <c r="AD241" s="55" t="n">
        <f aca="false">ROUND(MAX(0,AD240+AE240-AH240),2)</f>
        <v>0</v>
      </c>
      <c r="AE241" s="55" t="n">
        <f aca="false">ROUND(AD241*$E$10/12,2)</f>
        <v>0</v>
      </c>
      <c r="AF241" s="55" t="n">
        <f aca="false">MIN($F$10,AD241+AE241)</f>
        <v>0</v>
      </c>
      <c r="AG241" s="55" t="n">
        <f aca="false">MAX(0,MIN(AD241+AE241-AF241,$D241-(H241+M241+R241+W241+AB241)))</f>
        <v>0</v>
      </c>
      <c r="AH241" s="55" t="n">
        <f aca="false">AF241+AG241</f>
        <v>0</v>
      </c>
      <c r="AI241" s="55" t="n">
        <f aca="false">ROUND(MAX(0,AI240+AJ240-AM240),2)</f>
        <v>0</v>
      </c>
      <c r="AJ241" s="55" t="n">
        <f aca="false">ROUND(AI241*$E$11/12,2)</f>
        <v>0</v>
      </c>
      <c r="AK241" s="55" t="n">
        <f aca="false">MIN($F$11,AI241+AJ241)</f>
        <v>0</v>
      </c>
      <c r="AL241" s="55" t="n">
        <f aca="false">MAX(0,MIN(AI241+AJ241-AK241,$D241-(H241+M241+R241+W241+AB241+AG241)))</f>
        <v>0</v>
      </c>
      <c r="AM241" s="55" t="n">
        <f aca="false">AK241+AL241</f>
        <v>0</v>
      </c>
      <c r="AN241" s="55" t="n">
        <f aca="false">ROUND(MAX(0,AN240+AO240-AR240),2)</f>
        <v>0</v>
      </c>
      <c r="AO241" s="55" t="n">
        <f aca="false">ROUND(AN241*$E$12/12,2)</f>
        <v>0</v>
      </c>
      <c r="AP241" s="55" t="n">
        <f aca="false">MIN($F$12,AN241+AO241)</f>
        <v>0</v>
      </c>
      <c r="AQ241" s="55" t="n">
        <f aca="false">MAX(0,MIN(AN241+AO241-AP241,$D241-(H241+M241+R241+W241+AB241+AG241+AL241)))</f>
        <v>0</v>
      </c>
      <c r="AR241" s="55" t="n">
        <f aca="false">AP241+AQ241</f>
        <v>0</v>
      </c>
      <c r="AS241" s="55" t="n">
        <f aca="false">ROUND(MAX(0,AS240+AT240-AW240),2)</f>
        <v>0</v>
      </c>
      <c r="AT241" s="55" t="n">
        <f aca="false">ROUND(AS241*$E$13/12,2)</f>
        <v>0</v>
      </c>
      <c r="AU241" s="55" t="n">
        <f aca="false">MIN($F$13,AS241+AT241)</f>
        <v>0</v>
      </c>
      <c r="AV241" s="55" t="n">
        <f aca="false">MAX(0,MIN(AS241+AT241-AU241,$D241-(H241+M241+R241+W241+AB241+AG241+AL241+AQ241)))</f>
        <v>0</v>
      </c>
      <c r="AW241" s="55" t="n">
        <f aca="false">AU241+AV241</f>
        <v>0</v>
      </c>
      <c r="AX241" s="55" t="n">
        <f aca="false">ROUND(MAX(0,AX240+AY240-BB240),2)</f>
        <v>0</v>
      </c>
      <c r="AY241" s="55" t="n">
        <f aca="false">ROUND(AX241*$E$14/12,2)</f>
        <v>0</v>
      </c>
      <c r="AZ241" s="55" t="n">
        <f aca="false">MIN($F$14,AX241+AY241)</f>
        <v>0</v>
      </c>
      <c r="BA241" s="55" t="n">
        <f aca="false">MAX(0,MIN(AX241+AY241-AZ241,$D241-(H241+M241+R241+W241+AB241+AG241+AL241+AQ241+AV241)))</f>
        <v>0</v>
      </c>
      <c r="BB241" s="55" t="n">
        <f aca="false">AZ241+BA241</f>
        <v>0</v>
      </c>
      <c r="BC241" s="55" t="n">
        <f aca="false">I241+N241+S241+X241+AC241+AH241+AM241+AR241+AW241+BB241</f>
        <v>0</v>
      </c>
      <c r="BD241" s="55" t="n">
        <f aca="false">ROUND((E241+F241-I241)+(J241+K241-N241)+(O241+P241-S241)+(T241+U241-X241)+(Y241+Z241-AC241)+(AD241+AE241-AH241)+(AI241+AJ241-AM241)+(AN241+AO241-AR241)+(AS241+AT241-AW241)+(AX241+AY241-BB241),2)</f>
        <v>0</v>
      </c>
      <c r="BE241" s="25" t="str">
        <f aca="false">IF(H241&gt;0.005,$C$5,IF(M241&gt;0.005,$C$6,IF(R241&gt;0.005,$C$7,IF(W241&gt;0.005,$C$8,IF(AB241&gt;0.005,$C$9,IF(AG241&gt;0.005,$C$10,IF(AL241&gt;0.005,$C$11,IF(AQ241&gt;0.005,$C$12,IF(AV241&gt;0.005,$C$13,IF(BA241&gt;0.005,$C$14,""))))))))))</f>
        <v/>
      </c>
    </row>
    <row r="242" customFormat="false" ht="15" hidden="false" customHeight="false" outlineLevel="0" collapsed="false">
      <c r="A242" s="24" t="n">
        <v>219</v>
      </c>
      <c r="B242" s="54" t="n">
        <f aca="false">EDATE($C$17,A242-1)</f>
        <v>52963</v>
      </c>
      <c r="C242" s="55" t="n">
        <f aca="false">G242+L242+Q242+V242+AA242+AF242+AK242+AP242+AU242+AZ242</f>
        <v>0</v>
      </c>
      <c r="D242" s="55" t="n">
        <f aca="false">MAX(0,$C$16-C242)</f>
        <v>5822</v>
      </c>
      <c r="E242" s="55" t="n">
        <f aca="false">ROUND(MAX(0,E241+F241-I241),2)</f>
        <v>0</v>
      </c>
      <c r="F242" s="55" t="n">
        <f aca="false">ROUND(E242*$E$5/12,2)</f>
        <v>0</v>
      </c>
      <c r="G242" s="55" t="n">
        <f aca="false">MIN($F$5,E242+F242)</f>
        <v>0</v>
      </c>
      <c r="H242" s="55" t="n">
        <f aca="false">MAX(0,MIN(E242+F242-G242,$D242))</f>
        <v>0</v>
      </c>
      <c r="I242" s="55" t="n">
        <f aca="false">G242+H242</f>
        <v>0</v>
      </c>
      <c r="J242" s="55" t="n">
        <f aca="false">ROUND(MAX(0,J241+K241-N241),2)</f>
        <v>0</v>
      </c>
      <c r="K242" s="55" t="n">
        <f aca="false">ROUND(J242*$E$6/12,2)</f>
        <v>0</v>
      </c>
      <c r="L242" s="55" t="n">
        <f aca="false">MIN($F$6,J242+K242)</f>
        <v>0</v>
      </c>
      <c r="M242" s="55" t="n">
        <f aca="false">MAX(0,MIN(J242+K242-L242,$D242-(H242)))</f>
        <v>0</v>
      </c>
      <c r="N242" s="55" t="n">
        <f aca="false">L242+M242</f>
        <v>0</v>
      </c>
      <c r="O242" s="55" t="n">
        <f aca="false">ROUND(MAX(0,O241+P241-S241),2)</f>
        <v>0</v>
      </c>
      <c r="P242" s="55" t="n">
        <f aca="false">ROUND(O242*$E$7/12,2)</f>
        <v>0</v>
      </c>
      <c r="Q242" s="55" t="n">
        <f aca="false">MIN($F$7,O242+P242)</f>
        <v>0</v>
      </c>
      <c r="R242" s="55" t="n">
        <f aca="false">MAX(0,MIN(O242+P242-Q242,$D242-(H242+M242)))</f>
        <v>0</v>
      </c>
      <c r="S242" s="55" t="n">
        <f aca="false">Q242+R242</f>
        <v>0</v>
      </c>
      <c r="T242" s="55" t="n">
        <f aca="false">ROUND(MAX(0,T241+U241-X241),2)</f>
        <v>0</v>
      </c>
      <c r="U242" s="55" t="n">
        <f aca="false">ROUND(T242*$E$8/12,2)</f>
        <v>0</v>
      </c>
      <c r="V242" s="55" t="n">
        <f aca="false">MIN($F$8,T242+U242)</f>
        <v>0</v>
      </c>
      <c r="W242" s="55" t="n">
        <f aca="false">MAX(0,MIN(T242+U242-V242,$D242-(H242+M242+R242)))</f>
        <v>0</v>
      </c>
      <c r="X242" s="55" t="n">
        <f aca="false">V242+W242</f>
        <v>0</v>
      </c>
      <c r="Y242" s="55" t="n">
        <f aca="false">ROUND(MAX(0,Y241+Z241-AC241),2)</f>
        <v>0</v>
      </c>
      <c r="Z242" s="55" t="n">
        <f aca="false">ROUND(Y242*$E$9/12,2)</f>
        <v>0</v>
      </c>
      <c r="AA242" s="55" t="n">
        <f aca="false">MIN($F$9,Y242+Z242)</f>
        <v>0</v>
      </c>
      <c r="AB242" s="55" t="n">
        <f aca="false">MAX(0,MIN(Y242+Z242-AA242,$D242-(H242+M242+R242+W242)))</f>
        <v>0</v>
      </c>
      <c r="AC242" s="55" t="n">
        <f aca="false">AA242+AB242</f>
        <v>0</v>
      </c>
      <c r="AD242" s="55" t="n">
        <f aca="false">ROUND(MAX(0,AD241+AE241-AH241),2)</f>
        <v>0</v>
      </c>
      <c r="AE242" s="55" t="n">
        <f aca="false">ROUND(AD242*$E$10/12,2)</f>
        <v>0</v>
      </c>
      <c r="AF242" s="55" t="n">
        <f aca="false">MIN($F$10,AD242+AE242)</f>
        <v>0</v>
      </c>
      <c r="AG242" s="55" t="n">
        <f aca="false">MAX(0,MIN(AD242+AE242-AF242,$D242-(H242+M242+R242+W242+AB242)))</f>
        <v>0</v>
      </c>
      <c r="AH242" s="55" t="n">
        <f aca="false">AF242+AG242</f>
        <v>0</v>
      </c>
      <c r="AI242" s="55" t="n">
        <f aca="false">ROUND(MAX(0,AI241+AJ241-AM241),2)</f>
        <v>0</v>
      </c>
      <c r="AJ242" s="55" t="n">
        <f aca="false">ROUND(AI242*$E$11/12,2)</f>
        <v>0</v>
      </c>
      <c r="AK242" s="55" t="n">
        <f aca="false">MIN($F$11,AI242+AJ242)</f>
        <v>0</v>
      </c>
      <c r="AL242" s="55" t="n">
        <f aca="false">MAX(0,MIN(AI242+AJ242-AK242,$D242-(H242+M242+R242+W242+AB242+AG242)))</f>
        <v>0</v>
      </c>
      <c r="AM242" s="55" t="n">
        <f aca="false">AK242+AL242</f>
        <v>0</v>
      </c>
      <c r="AN242" s="55" t="n">
        <f aca="false">ROUND(MAX(0,AN241+AO241-AR241),2)</f>
        <v>0</v>
      </c>
      <c r="AO242" s="55" t="n">
        <f aca="false">ROUND(AN242*$E$12/12,2)</f>
        <v>0</v>
      </c>
      <c r="AP242" s="55" t="n">
        <f aca="false">MIN($F$12,AN242+AO242)</f>
        <v>0</v>
      </c>
      <c r="AQ242" s="55" t="n">
        <f aca="false">MAX(0,MIN(AN242+AO242-AP242,$D242-(H242+M242+R242+W242+AB242+AG242+AL242)))</f>
        <v>0</v>
      </c>
      <c r="AR242" s="55" t="n">
        <f aca="false">AP242+AQ242</f>
        <v>0</v>
      </c>
      <c r="AS242" s="55" t="n">
        <f aca="false">ROUND(MAX(0,AS241+AT241-AW241),2)</f>
        <v>0</v>
      </c>
      <c r="AT242" s="55" t="n">
        <f aca="false">ROUND(AS242*$E$13/12,2)</f>
        <v>0</v>
      </c>
      <c r="AU242" s="55" t="n">
        <f aca="false">MIN($F$13,AS242+AT242)</f>
        <v>0</v>
      </c>
      <c r="AV242" s="55" t="n">
        <f aca="false">MAX(0,MIN(AS242+AT242-AU242,$D242-(H242+M242+R242+W242+AB242+AG242+AL242+AQ242)))</f>
        <v>0</v>
      </c>
      <c r="AW242" s="55" t="n">
        <f aca="false">AU242+AV242</f>
        <v>0</v>
      </c>
      <c r="AX242" s="55" t="n">
        <f aca="false">ROUND(MAX(0,AX241+AY241-BB241),2)</f>
        <v>0</v>
      </c>
      <c r="AY242" s="55" t="n">
        <f aca="false">ROUND(AX242*$E$14/12,2)</f>
        <v>0</v>
      </c>
      <c r="AZ242" s="55" t="n">
        <f aca="false">MIN($F$14,AX242+AY242)</f>
        <v>0</v>
      </c>
      <c r="BA242" s="55" t="n">
        <f aca="false">MAX(0,MIN(AX242+AY242-AZ242,$D242-(H242+M242+R242+W242+AB242+AG242+AL242+AQ242+AV242)))</f>
        <v>0</v>
      </c>
      <c r="BB242" s="55" t="n">
        <f aca="false">AZ242+BA242</f>
        <v>0</v>
      </c>
      <c r="BC242" s="55" t="n">
        <f aca="false">I242+N242+S242+X242+AC242+AH242+AM242+AR242+AW242+BB242</f>
        <v>0</v>
      </c>
      <c r="BD242" s="55" t="n">
        <f aca="false">ROUND((E242+F242-I242)+(J242+K242-N242)+(O242+P242-S242)+(T242+U242-X242)+(Y242+Z242-AC242)+(AD242+AE242-AH242)+(AI242+AJ242-AM242)+(AN242+AO242-AR242)+(AS242+AT242-AW242)+(AX242+AY242-BB242),2)</f>
        <v>0</v>
      </c>
      <c r="BE242" s="25" t="str">
        <f aca="false">IF(H242&gt;0.005,$C$5,IF(M242&gt;0.005,$C$6,IF(R242&gt;0.005,$C$7,IF(W242&gt;0.005,$C$8,IF(AB242&gt;0.005,$C$9,IF(AG242&gt;0.005,$C$10,IF(AL242&gt;0.005,$C$11,IF(AQ242&gt;0.005,$C$12,IF(AV242&gt;0.005,$C$13,IF(BA242&gt;0.005,$C$14,""))))))))))</f>
        <v/>
      </c>
    </row>
    <row r="243" customFormat="false" ht="15" hidden="false" customHeight="false" outlineLevel="0" collapsed="false">
      <c r="A243" s="24" t="n">
        <v>220</v>
      </c>
      <c r="B243" s="54" t="n">
        <f aca="false">EDATE($C$17,A243-1)</f>
        <v>52994</v>
      </c>
      <c r="C243" s="55" t="n">
        <f aca="false">G243+L243+Q243+V243+AA243+AF243+AK243+AP243+AU243+AZ243</f>
        <v>0</v>
      </c>
      <c r="D243" s="55" t="n">
        <f aca="false">MAX(0,$C$16-C243)</f>
        <v>5822</v>
      </c>
      <c r="E243" s="55" t="n">
        <f aca="false">ROUND(MAX(0,E242+F242-I242),2)</f>
        <v>0</v>
      </c>
      <c r="F243" s="55" t="n">
        <f aca="false">ROUND(E243*$E$5/12,2)</f>
        <v>0</v>
      </c>
      <c r="G243" s="55" t="n">
        <f aca="false">MIN($F$5,E243+F243)</f>
        <v>0</v>
      </c>
      <c r="H243" s="55" t="n">
        <f aca="false">MAX(0,MIN(E243+F243-G243,$D243))</f>
        <v>0</v>
      </c>
      <c r="I243" s="55" t="n">
        <f aca="false">G243+H243</f>
        <v>0</v>
      </c>
      <c r="J243" s="55" t="n">
        <f aca="false">ROUND(MAX(0,J242+K242-N242),2)</f>
        <v>0</v>
      </c>
      <c r="K243" s="55" t="n">
        <f aca="false">ROUND(J243*$E$6/12,2)</f>
        <v>0</v>
      </c>
      <c r="L243" s="55" t="n">
        <f aca="false">MIN($F$6,J243+K243)</f>
        <v>0</v>
      </c>
      <c r="M243" s="55" t="n">
        <f aca="false">MAX(0,MIN(J243+K243-L243,$D243-(H243)))</f>
        <v>0</v>
      </c>
      <c r="N243" s="55" t="n">
        <f aca="false">L243+M243</f>
        <v>0</v>
      </c>
      <c r="O243" s="55" t="n">
        <f aca="false">ROUND(MAX(0,O242+P242-S242),2)</f>
        <v>0</v>
      </c>
      <c r="P243" s="55" t="n">
        <f aca="false">ROUND(O243*$E$7/12,2)</f>
        <v>0</v>
      </c>
      <c r="Q243" s="55" t="n">
        <f aca="false">MIN($F$7,O243+P243)</f>
        <v>0</v>
      </c>
      <c r="R243" s="55" t="n">
        <f aca="false">MAX(0,MIN(O243+P243-Q243,$D243-(H243+M243)))</f>
        <v>0</v>
      </c>
      <c r="S243" s="55" t="n">
        <f aca="false">Q243+R243</f>
        <v>0</v>
      </c>
      <c r="T243" s="55" t="n">
        <f aca="false">ROUND(MAX(0,T242+U242-X242),2)</f>
        <v>0</v>
      </c>
      <c r="U243" s="55" t="n">
        <f aca="false">ROUND(T243*$E$8/12,2)</f>
        <v>0</v>
      </c>
      <c r="V243" s="55" t="n">
        <f aca="false">MIN($F$8,T243+U243)</f>
        <v>0</v>
      </c>
      <c r="W243" s="55" t="n">
        <f aca="false">MAX(0,MIN(T243+U243-V243,$D243-(H243+M243+R243)))</f>
        <v>0</v>
      </c>
      <c r="X243" s="55" t="n">
        <f aca="false">V243+W243</f>
        <v>0</v>
      </c>
      <c r="Y243" s="55" t="n">
        <f aca="false">ROUND(MAX(0,Y242+Z242-AC242),2)</f>
        <v>0</v>
      </c>
      <c r="Z243" s="55" t="n">
        <f aca="false">ROUND(Y243*$E$9/12,2)</f>
        <v>0</v>
      </c>
      <c r="AA243" s="55" t="n">
        <f aca="false">MIN($F$9,Y243+Z243)</f>
        <v>0</v>
      </c>
      <c r="AB243" s="55" t="n">
        <f aca="false">MAX(0,MIN(Y243+Z243-AA243,$D243-(H243+M243+R243+W243)))</f>
        <v>0</v>
      </c>
      <c r="AC243" s="55" t="n">
        <f aca="false">AA243+AB243</f>
        <v>0</v>
      </c>
      <c r="AD243" s="55" t="n">
        <f aca="false">ROUND(MAX(0,AD242+AE242-AH242),2)</f>
        <v>0</v>
      </c>
      <c r="AE243" s="55" t="n">
        <f aca="false">ROUND(AD243*$E$10/12,2)</f>
        <v>0</v>
      </c>
      <c r="AF243" s="55" t="n">
        <f aca="false">MIN($F$10,AD243+AE243)</f>
        <v>0</v>
      </c>
      <c r="AG243" s="55" t="n">
        <f aca="false">MAX(0,MIN(AD243+AE243-AF243,$D243-(H243+M243+R243+W243+AB243)))</f>
        <v>0</v>
      </c>
      <c r="AH243" s="55" t="n">
        <f aca="false">AF243+AG243</f>
        <v>0</v>
      </c>
      <c r="AI243" s="55" t="n">
        <f aca="false">ROUND(MAX(0,AI242+AJ242-AM242),2)</f>
        <v>0</v>
      </c>
      <c r="AJ243" s="55" t="n">
        <f aca="false">ROUND(AI243*$E$11/12,2)</f>
        <v>0</v>
      </c>
      <c r="AK243" s="55" t="n">
        <f aca="false">MIN($F$11,AI243+AJ243)</f>
        <v>0</v>
      </c>
      <c r="AL243" s="55" t="n">
        <f aca="false">MAX(0,MIN(AI243+AJ243-AK243,$D243-(H243+M243+R243+W243+AB243+AG243)))</f>
        <v>0</v>
      </c>
      <c r="AM243" s="55" t="n">
        <f aca="false">AK243+AL243</f>
        <v>0</v>
      </c>
      <c r="AN243" s="55" t="n">
        <f aca="false">ROUND(MAX(0,AN242+AO242-AR242),2)</f>
        <v>0</v>
      </c>
      <c r="AO243" s="55" t="n">
        <f aca="false">ROUND(AN243*$E$12/12,2)</f>
        <v>0</v>
      </c>
      <c r="AP243" s="55" t="n">
        <f aca="false">MIN($F$12,AN243+AO243)</f>
        <v>0</v>
      </c>
      <c r="AQ243" s="55" t="n">
        <f aca="false">MAX(0,MIN(AN243+AO243-AP243,$D243-(H243+M243+R243+W243+AB243+AG243+AL243)))</f>
        <v>0</v>
      </c>
      <c r="AR243" s="55" t="n">
        <f aca="false">AP243+AQ243</f>
        <v>0</v>
      </c>
      <c r="AS243" s="55" t="n">
        <f aca="false">ROUND(MAX(0,AS242+AT242-AW242),2)</f>
        <v>0</v>
      </c>
      <c r="AT243" s="55" t="n">
        <f aca="false">ROUND(AS243*$E$13/12,2)</f>
        <v>0</v>
      </c>
      <c r="AU243" s="55" t="n">
        <f aca="false">MIN($F$13,AS243+AT243)</f>
        <v>0</v>
      </c>
      <c r="AV243" s="55" t="n">
        <f aca="false">MAX(0,MIN(AS243+AT243-AU243,$D243-(H243+M243+R243+W243+AB243+AG243+AL243+AQ243)))</f>
        <v>0</v>
      </c>
      <c r="AW243" s="55" t="n">
        <f aca="false">AU243+AV243</f>
        <v>0</v>
      </c>
      <c r="AX243" s="55" t="n">
        <f aca="false">ROUND(MAX(0,AX242+AY242-BB242),2)</f>
        <v>0</v>
      </c>
      <c r="AY243" s="55" t="n">
        <f aca="false">ROUND(AX243*$E$14/12,2)</f>
        <v>0</v>
      </c>
      <c r="AZ243" s="55" t="n">
        <f aca="false">MIN($F$14,AX243+AY243)</f>
        <v>0</v>
      </c>
      <c r="BA243" s="55" t="n">
        <f aca="false">MAX(0,MIN(AX243+AY243-AZ243,$D243-(H243+M243+R243+W243+AB243+AG243+AL243+AQ243+AV243)))</f>
        <v>0</v>
      </c>
      <c r="BB243" s="55" t="n">
        <f aca="false">AZ243+BA243</f>
        <v>0</v>
      </c>
      <c r="BC243" s="55" t="n">
        <f aca="false">I243+N243+S243+X243+AC243+AH243+AM243+AR243+AW243+BB243</f>
        <v>0</v>
      </c>
      <c r="BD243" s="55" t="n">
        <f aca="false">ROUND((E243+F243-I243)+(J243+K243-N243)+(O243+P243-S243)+(T243+U243-X243)+(Y243+Z243-AC243)+(AD243+AE243-AH243)+(AI243+AJ243-AM243)+(AN243+AO243-AR243)+(AS243+AT243-AW243)+(AX243+AY243-BB243),2)</f>
        <v>0</v>
      </c>
      <c r="BE243" s="25" t="str">
        <f aca="false">IF(H243&gt;0.005,$C$5,IF(M243&gt;0.005,$C$6,IF(R243&gt;0.005,$C$7,IF(W243&gt;0.005,$C$8,IF(AB243&gt;0.005,$C$9,IF(AG243&gt;0.005,$C$10,IF(AL243&gt;0.005,$C$11,IF(AQ243&gt;0.005,$C$12,IF(AV243&gt;0.005,$C$13,IF(BA243&gt;0.005,$C$14,""))))))))))</f>
        <v/>
      </c>
    </row>
    <row r="244" customFormat="false" ht="15" hidden="false" customHeight="false" outlineLevel="0" collapsed="false">
      <c r="A244" s="24" t="n">
        <v>221</v>
      </c>
      <c r="B244" s="54" t="n">
        <f aca="false">EDATE($C$17,A244-1)</f>
        <v>53022</v>
      </c>
      <c r="C244" s="55" t="n">
        <f aca="false">G244+L244+Q244+V244+AA244+AF244+AK244+AP244+AU244+AZ244</f>
        <v>0</v>
      </c>
      <c r="D244" s="55" t="n">
        <f aca="false">MAX(0,$C$16-C244)</f>
        <v>5822</v>
      </c>
      <c r="E244" s="55" t="n">
        <f aca="false">ROUND(MAX(0,E243+F243-I243),2)</f>
        <v>0</v>
      </c>
      <c r="F244" s="55" t="n">
        <f aca="false">ROUND(E244*$E$5/12,2)</f>
        <v>0</v>
      </c>
      <c r="G244" s="55" t="n">
        <f aca="false">MIN($F$5,E244+F244)</f>
        <v>0</v>
      </c>
      <c r="H244" s="55" t="n">
        <f aca="false">MAX(0,MIN(E244+F244-G244,$D244))</f>
        <v>0</v>
      </c>
      <c r="I244" s="55" t="n">
        <f aca="false">G244+H244</f>
        <v>0</v>
      </c>
      <c r="J244" s="55" t="n">
        <f aca="false">ROUND(MAX(0,J243+K243-N243),2)</f>
        <v>0</v>
      </c>
      <c r="K244" s="55" t="n">
        <f aca="false">ROUND(J244*$E$6/12,2)</f>
        <v>0</v>
      </c>
      <c r="L244" s="55" t="n">
        <f aca="false">MIN($F$6,J244+K244)</f>
        <v>0</v>
      </c>
      <c r="M244" s="55" t="n">
        <f aca="false">MAX(0,MIN(J244+K244-L244,$D244-(H244)))</f>
        <v>0</v>
      </c>
      <c r="N244" s="55" t="n">
        <f aca="false">L244+M244</f>
        <v>0</v>
      </c>
      <c r="O244" s="55" t="n">
        <f aca="false">ROUND(MAX(0,O243+P243-S243),2)</f>
        <v>0</v>
      </c>
      <c r="P244" s="55" t="n">
        <f aca="false">ROUND(O244*$E$7/12,2)</f>
        <v>0</v>
      </c>
      <c r="Q244" s="55" t="n">
        <f aca="false">MIN($F$7,O244+P244)</f>
        <v>0</v>
      </c>
      <c r="R244" s="55" t="n">
        <f aca="false">MAX(0,MIN(O244+P244-Q244,$D244-(H244+M244)))</f>
        <v>0</v>
      </c>
      <c r="S244" s="55" t="n">
        <f aca="false">Q244+R244</f>
        <v>0</v>
      </c>
      <c r="T244" s="55" t="n">
        <f aca="false">ROUND(MAX(0,T243+U243-X243),2)</f>
        <v>0</v>
      </c>
      <c r="U244" s="55" t="n">
        <f aca="false">ROUND(T244*$E$8/12,2)</f>
        <v>0</v>
      </c>
      <c r="V244" s="55" t="n">
        <f aca="false">MIN($F$8,T244+U244)</f>
        <v>0</v>
      </c>
      <c r="W244" s="55" t="n">
        <f aca="false">MAX(0,MIN(T244+U244-V244,$D244-(H244+M244+R244)))</f>
        <v>0</v>
      </c>
      <c r="X244" s="55" t="n">
        <f aca="false">V244+W244</f>
        <v>0</v>
      </c>
      <c r="Y244" s="55" t="n">
        <f aca="false">ROUND(MAX(0,Y243+Z243-AC243),2)</f>
        <v>0</v>
      </c>
      <c r="Z244" s="55" t="n">
        <f aca="false">ROUND(Y244*$E$9/12,2)</f>
        <v>0</v>
      </c>
      <c r="AA244" s="55" t="n">
        <f aca="false">MIN($F$9,Y244+Z244)</f>
        <v>0</v>
      </c>
      <c r="AB244" s="55" t="n">
        <f aca="false">MAX(0,MIN(Y244+Z244-AA244,$D244-(H244+M244+R244+W244)))</f>
        <v>0</v>
      </c>
      <c r="AC244" s="55" t="n">
        <f aca="false">AA244+AB244</f>
        <v>0</v>
      </c>
      <c r="AD244" s="55" t="n">
        <f aca="false">ROUND(MAX(0,AD243+AE243-AH243),2)</f>
        <v>0</v>
      </c>
      <c r="AE244" s="55" t="n">
        <f aca="false">ROUND(AD244*$E$10/12,2)</f>
        <v>0</v>
      </c>
      <c r="AF244" s="55" t="n">
        <f aca="false">MIN($F$10,AD244+AE244)</f>
        <v>0</v>
      </c>
      <c r="AG244" s="55" t="n">
        <f aca="false">MAX(0,MIN(AD244+AE244-AF244,$D244-(H244+M244+R244+W244+AB244)))</f>
        <v>0</v>
      </c>
      <c r="AH244" s="55" t="n">
        <f aca="false">AF244+AG244</f>
        <v>0</v>
      </c>
      <c r="AI244" s="55" t="n">
        <f aca="false">ROUND(MAX(0,AI243+AJ243-AM243),2)</f>
        <v>0</v>
      </c>
      <c r="AJ244" s="55" t="n">
        <f aca="false">ROUND(AI244*$E$11/12,2)</f>
        <v>0</v>
      </c>
      <c r="AK244" s="55" t="n">
        <f aca="false">MIN($F$11,AI244+AJ244)</f>
        <v>0</v>
      </c>
      <c r="AL244" s="55" t="n">
        <f aca="false">MAX(0,MIN(AI244+AJ244-AK244,$D244-(H244+M244+R244+W244+AB244+AG244)))</f>
        <v>0</v>
      </c>
      <c r="AM244" s="55" t="n">
        <f aca="false">AK244+AL244</f>
        <v>0</v>
      </c>
      <c r="AN244" s="55" t="n">
        <f aca="false">ROUND(MAX(0,AN243+AO243-AR243),2)</f>
        <v>0</v>
      </c>
      <c r="AO244" s="55" t="n">
        <f aca="false">ROUND(AN244*$E$12/12,2)</f>
        <v>0</v>
      </c>
      <c r="AP244" s="55" t="n">
        <f aca="false">MIN($F$12,AN244+AO244)</f>
        <v>0</v>
      </c>
      <c r="AQ244" s="55" t="n">
        <f aca="false">MAX(0,MIN(AN244+AO244-AP244,$D244-(H244+M244+R244+W244+AB244+AG244+AL244)))</f>
        <v>0</v>
      </c>
      <c r="AR244" s="55" t="n">
        <f aca="false">AP244+AQ244</f>
        <v>0</v>
      </c>
      <c r="AS244" s="55" t="n">
        <f aca="false">ROUND(MAX(0,AS243+AT243-AW243),2)</f>
        <v>0</v>
      </c>
      <c r="AT244" s="55" t="n">
        <f aca="false">ROUND(AS244*$E$13/12,2)</f>
        <v>0</v>
      </c>
      <c r="AU244" s="55" t="n">
        <f aca="false">MIN($F$13,AS244+AT244)</f>
        <v>0</v>
      </c>
      <c r="AV244" s="55" t="n">
        <f aca="false">MAX(0,MIN(AS244+AT244-AU244,$D244-(H244+M244+R244+W244+AB244+AG244+AL244+AQ244)))</f>
        <v>0</v>
      </c>
      <c r="AW244" s="55" t="n">
        <f aca="false">AU244+AV244</f>
        <v>0</v>
      </c>
      <c r="AX244" s="55" t="n">
        <f aca="false">ROUND(MAX(0,AX243+AY243-BB243),2)</f>
        <v>0</v>
      </c>
      <c r="AY244" s="55" t="n">
        <f aca="false">ROUND(AX244*$E$14/12,2)</f>
        <v>0</v>
      </c>
      <c r="AZ244" s="55" t="n">
        <f aca="false">MIN($F$14,AX244+AY244)</f>
        <v>0</v>
      </c>
      <c r="BA244" s="55" t="n">
        <f aca="false">MAX(0,MIN(AX244+AY244-AZ244,$D244-(H244+M244+R244+W244+AB244+AG244+AL244+AQ244+AV244)))</f>
        <v>0</v>
      </c>
      <c r="BB244" s="55" t="n">
        <f aca="false">AZ244+BA244</f>
        <v>0</v>
      </c>
      <c r="BC244" s="55" t="n">
        <f aca="false">I244+N244+S244+X244+AC244+AH244+AM244+AR244+AW244+BB244</f>
        <v>0</v>
      </c>
      <c r="BD244" s="55" t="n">
        <f aca="false">ROUND((E244+F244-I244)+(J244+K244-N244)+(O244+P244-S244)+(T244+U244-X244)+(Y244+Z244-AC244)+(AD244+AE244-AH244)+(AI244+AJ244-AM244)+(AN244+AO244-AR244)+(AS244+AT244-AW244)+(AX244+AY244-BB244),2)</f>
        <v>0</v>
      </c>
      <c r="BE244" s="25" t="str">
        <f aca="false">IF(H244&gt;0.005,$C$5,IF(M244&gt;0.005,$C$6,IF(R244&gt;0.005,$C$7,IF(W244&gt;0.005,$C$8,IF(AB244&gt;0.005,$C$9,IF(AG244&gt;0.005,$C$10,IF(AL244&gt;0.005,$C$11,IF(AQ244&gt;0.005,$C$12,IF(AV244&gt;0.005,$C$13,IF(BA244&gt;0.005,$C$14,""))))))))))</f>
        <v/>
      </c>
    </row>
    <row r="245" customFormat="false" ht="15" hidden="false" customHeight="false" outlineLevel="0" collapsed="false">
      <c r="A245" s="24" t="n">
        <v>222</v>
      </c>
      <c r="B245" s="54" t="n">
        <f aca="false">EDATE($C$17,A245-1)</f>
        <v>53053</v>
      </c>
      <c r="C245" s="55" t="n">
        <f aca="false">G245+L245+Q245+V245+AA245+AF245+AK245+AP245+AU245+AZ245</f>
        <v>0</v>
      </c>
      <c r="D245" s="55" t="n">
        <f aca="false">MAX(0,$C$16-C245)</f>
        <v>5822</v>
      </c>
      <c r="E245" s="55" t="n">
        <f aca="false">ROUND(MAX(0,E244+F244-I244),2)</f>
        <v>0</v>
      </c>
      <c r="F245" s="55" t="n">
        <f aca="false">ROUND(E245*$E$5/12,2)</f>
        <v>0</v>
      </c>
      <c r="G245" s="55" t="n">
        <f aca="false">MIN($F$5,E245+F245)</f>
        <v>0</v>
      </c>
      <c r="H245" s="55" t="n">
        <f aca="false">MAX(0,MIN(E245+F245-G245,$D245))</f>
        <v>0</v>
      </c>
      <c r="I245" s="55" t="n">
        <f aca="false">G245+H245</f>
        <v>0</v>
      </c>
      <c r="J245" s="55" t="n">
        <f aca="false">ROUND(MAX(0,J244+K244-N244),2)</f>
        <v>0</v>
      </c>
      <c r="K245" s="55" t="n">
        <f aca="false">ROUND(J245*$E$6/12,2)</f>
        <v>0</v>
      </c>
      <c r="L245" s="55" t="n">
        <f aca="false">MIN($F$6,J245+K245)</f>
        <v>0</v>
      </c>
      <c r="M245" s="55" t="n">
        <f aca="false">MAX(0,MIN(J245+K245-L245,$D245-(H245)))</f>
        <v>0</v>
      </c>
      <c r="N245" s="55" t="n">
        <f aca="false">L245+M245</f>
        <v>0</v>
      </c>
      <c r="O245" s="55" t="n">
        <f aca="false">ROUND(MAX(0,O244+P244-S244),2)</f>
        <v>0</v>
      </c>
      <c r="P245" s="55" t="n">
        <f aca="false">ROUND(O245*$E$7/12,2)</f>
        <v>0</v>
      </c>
      <c r="Q245" s="55" t="n">
        <f aca="false">MIN($F$7,O245+P245)</f>
        <v>0</v>
      </c>
      <c r="R245" s="55" t="n">
        <f aca="false">MAX(0,MIN(O245+P245-Q245,$D245-(H245+M245)))</f>
        <v>0</v>
      </c>
      <c r="S245" s="55" t="n">
        <f aca="false">Q245+R245</f>
        <v>0</v>
      </c>
      <c r="T245" s="55" t="n">
        <f aca="false">ROUND(MAX(0,T244+U244-X244),2)</f>
        <v>0</v>
      </c>
      <c r="U245" s="55" t="n">
        <f aca="false">ROUND(T245*$E$8/12,2)</f>
        <v>0</v>
      </c>
      <c r="V245" s="55" t="n">
        <f aca="false">MIN($F$8,T245+U245)</f>
        <v>0</v>
      </c>
      <c r="W245" s="55" t="n">
        <f aca="false">MAX(0,MIN(T245+U245-V245,$D245-(H245+M245+R245)))</f>
        <v>0</v>
      </c>
      <c r="X245" s="55" t="n">
        <f aca="false">V245+W245</f>
        <v>0</v>
      </c>
      <c r="Y245" s="55" t="n">
        <f aca="false">ROUND(MAX(0,Y244+Z244-AC244),2)</f>
        <v>0</v>
      </c>
      <c r="Z245" s="55" t="n">
        <f aca="false">ROUND(Y245*$E$9/12,2)</f>
        <v>0</v>
      </c>
      <c r="AA245" s="55" t="n">
        <f aca="false">MIN($F$9,Y245+Z245)</f>
        <v>0</v>
      </c>
      <c r="AB245" s="55" t="n">
        <f aca="false">MAX(0,MIN(Y245+Z245-AA245,$D245-(H245+M245+R245+W245)))</f>
        <v>0</v>
      </c>
      <c r="AC245" s="55" t="n">
        <f aca="false">AA245+AB245</f>
        <v>0</v>
      </c>
      <c r="AD245" s="55" t="n">
        <f aca="false">ROUND(MAX(0,AD244+AE244-AH244),2)</f>
        <v>0</v>
      </c>
      <c r="AE245" s="55" t="n">
        <f aca="false">ROUND(AD245*$E$10/12,2)</f>
        <v>0</v>
      </c>
      <c r="AF245" s="55" t="n">
        <f aca="false">MIN($F$10,AD245+AE245)</f>
        <v>0</v>
      </c>
      <c r="AG245" s="55" t="n">
        <f aca="false">MAX(0,MIN(AD245+AE245-AF245,$D245-(H245+M245+R245+W245+AB245)))</f>
        <v>0</v>
      </c>
      <c r="AH245" s="55" t="n">
        <f aca="false">AF245+AG245</f>
        <v>0</v>
      </c>
      <c r="AI245" s="55" t="n">
        <f aca="false">ROUND(MAX(0,AI244+AJ244-AM244),2)</f>
        <v>0</v>
      </c>
      <c r="AJ245" s="55" t="n">
        <f aca="false">ROUND(AI245*$E$11/12,2)</f>
        <v>0</v>
      </c>
      <c r="AK245" s="55" t="n">
        <f aca="false">MIN($F$11,AI245+AJ245)</f>
        <v>0</v>
      </c>
      <c r="AL245" s="55" t="n">
        <f aca="false">MAX(0,MIN(AI245+AJ245-AK245,$D245-(H245+M245+R245+W245+AB245+AG245)))</f>
        <v>0</v>
      </c>
      <c r="AM245" s="55" t="n">
        <f aca="false">AK245+AL245</f>
        <v>0</v>
      </c>
      <c r="AN245" s="55" t="n">
        <f aca="false">ROUND(MAX(0,AN244+AO244-AR244),2)</f>
        <v>0</v>
      </c>
      <c r="AO245" s="55" t="n">
        <f aca="false">ROUND(AN245*$E$12/12,2)</f>
        <v>0</v>
      </c>
      <c r="AP245" s="55" t="n">
        <f aca="false">MIN($F$12,AN245+AO245)</f>
        <v>0</v>
      </c>
      <c r="AQ245" s="55" t="n">
        <f aca="false">MAX(0,MIN(AN245+AO245-AP245,$D245-(H245+M245+R245+W245+AB245+AG245+AL245)))</f>
        <v>0</v>
      </c>
      <c r="AR245" s="55" t="n">
        <f aca="false">AP245+AQ245</f>
        <v>0</v>
      </c>
      <c r="AS245" s="55" t="n">
        <f aca="false">ROUND(MAX(0,AS244+AT244-AW244),2)</f>
        <v>0</v>
      </c>
      <c r="AT245" s="55" t="n">
        <f aca="false">ROUND(AS245*$E$13/12,2)</f>
        <v>0</v>
      </c>
      <c r="AU245" s="55" t="n">
        <f aca="false">MIN($F$13,AS245+AT245)</f>
        <v>0</v>
      </c>
      <c r="AV245" s="55" t="n">
        <f aca="false">MAX(0,MIN(AS245+AT245-AU245,$D245-(H245+M245+R245+W245+AB245+AG245+AL245+AQ245)))</f>
        <v>0</v>
      </c>
      <c r="AW245" s="55" t="n">
        <f aca="false">AU245+AV245</f>
        <v>0</v>
      </c>
      <c r="AX245" s="55" t="n">
        <f aca="false">ROUND(MAX(0,AX244+AY244-BB244),2)</f>
        <v>0</v>
      </c>
      <c r="AY245" s="55" t="n">
        <f aca="false">ROUND(AX245*$E$14/12,2)</f>
        <v>0</v>
      </c>
      <c r="AZ245" s="55" t="n">
        <f aca="false">MIN($F$14,AX245+AY245)</f>
        <v>0</v>
      </c>
      <c r="BA245" s="55" t="n">
        <f aca="false">MAX(0,MIN(AX245+AY245-AZ245,$D245-(H245+M245+R245+W245+AB245+AG245+AL245+AQ245+AV245)))</f>
        <v>0</v>
      </c>
      <c r="BB245" s="55" t="n">
        <f aca="false">AZ245+BA245</f>
        <v>0</v>
      </c>
      <c r="BC245" s="55" t="n">
        <f aca="false">I245+N245+S245+X245+AC245+AH245+AM245+AR245+AW245+BB245</f>
        <v>0</v>
      </c>
      <c r="BD245" s="55" t="n">
        <f aca="false">ROUND((E245+F245-I245)+(J245+K245-N245)+(O245+P245-S245)+(T245+U245-X245)+(Y245+Z245-AC245)+(AD245+AE245-AH245)+(AI245+AJ245-AM245)+(AN245+AO245-AR245)+(AS245+AT245-AW245)+(AX245+AY245-BB245),2)</f>
        <v>0</v>
      </c>
      <c r="BE245" s="25" t="str">
        <f aca="false">IF(H245&gt;0.005,$C$5,IF(M245&gt;0.005,$C$6,IF(R245&gt;0.005,$C$7,IF(W245&gt;0.005,$C$8,IF(AB245&gt;0.005,$C$9,IF(AG245&gt;0.005,$C$10,IF(AL245&gt;0.005,$C$11,IF(AQ245&gt;0.005,$C$12,IF(AV245&gt;0.005,$C$13,IF(BA245&gt;0.005,$C$14,""))))))))))</f>
        <v/>
      </c>
    </row>
    <row r="246" customFormat="false" ht="15" hidden="false" customHeight="false" outlineLevel="0" collapsed="false">
      <c r="A246" s="24" t="n">
        <v>223</v>
      </c>
      <c r="B246" s="54" t="n">
        <f aca="false">EDATE($C$17,A246-1)</f>
        <v>53083</v>
      </c>
      <c r="C246" s="55" t="n">
        <f aca="false">G246+L246+Q246+V246+AA246+AF246+AK246+AP246+AU246+AZ246</f>
        <v>0</v>
      </c>
      <c r="D246" s="55" t="n">
        <f aca="false">MAX(0,$C$16-C246)</f>
        <v>5822</v>
      </c>
      <c r="E246" s="55" t="n">
        <f aca="false">ROUND(MAX(0,E245+F245-I245),2)</f>
        <v>0</v>
      </c>
      <c r="F246" s="55" t="n">
        <f aca="false">ROUND(E246*$E$5/12,2)</f>
        <v>0</v>
      </c>
      <c r="G246" s="55" t="n">
        <f aca="false">MIN($F$5,E246+F246)</f>
        <v>0</v>
      </c>
      <c r="H246" s="55" t="n">
        <f aca="false">MAX(0,MIN(E246+F246-G246,$D246))</f>
        <v>0</v>
      </c>
      <c r="I246" s="55" t="n">
        <f aca="false">G246+H246</f>
        <v>0</v>
      </c>
      <c r="J246" s="55" t="n">
        <f aca="false">ROUND(MAX(0,J245+K245-N245),2)</f>
        <v>0</v>
      </c>
      <c r="K246" s="55" t="n">
        <f aca="false">ROUND(J246*$E$6/12,2)</f>
        <v>0</v>
      </c>
      <c r="L246" s="55" t="n">
        <f aca="false">MIN($F$6,J246+K246)</f>
        <v>0</v>
      </c>
      <c r="M246" s="55" t="n">
        <f aca="false">MAX(0,MIN(J246+K246-L246,$D246-(H246)))</f>
        <v>0</v>
      </c>
      <c r="N246" s="55" t="n">
        <f aca="false">L246+M246</f>
        <v>0</v>
      </c>
      <c r="O246" s="55" t="n">
        <f aca="false">ROUND(MAX(0,O245+P245-S245),2)</f>
        <v>0</v>
      </c>
      <c r="P246" s="55" t="n">
        <f aca="false">ROUND(O246*$E$7/12,2)</f>
        <v>0</v>
      </c>
      <c r="Q246" s="55" t="n">
        <f aca="false">MIN($F$7,O246+P246)</f>
        <v>0</v>
      </c>
      <c r="R246" s="55" t="n">
        <f aca="false">MAX(0,MIN(O246+P246-Q246,$D246-(H246+M246)))</f>
        <v>0</v>
      </c>
      <c r="S246" s="55" t="n">
        <f aca="false">Q246+R246</f>
        <v>0</v>
      </c>
      <c r="T246" s="55" t="n">
        <f aca="false">ROUND(MAX(0,T245+U245-X245),2)</f>
        <v>0</v>
      </c>
      <c r="U246" s="55" t="n">
        <f aca="false">ROUND(T246*$E$8/12,2)</f>
        <v>0</v>
      </c>
      <c r="V246" s="55" t="n">
        <f aca="false">MIN($F$8,T246+U246)</f>
        <v>0</v>
      </c>
      <c r="W246" s="55" t="n">
        <f aca="false">MAX(0,MIN(T246+U246-V246,$D246-(H246+M246+R246)))</f>
        <v>0</v>
      </c>
      <c r="X246" s="55" t="n">
        <f aca="false">V246+W246</f>
        <v>0</v>
      </c>
      <c r="Y246" s="55" t="n">
        <f aca="false">ROUND(MAX(0,Y245+Z245-AC245),2)</f>
        <v>0</v>
      </c>
      <c r="Z246" s="55" t="n">
        <f aca="false">ROUND(Y246*$E$9/12,2)</f>
        <v>0</v>
      </c>
      <c r="AA246" s="55" t="n">
        <f aca="false">MIN($F$9,Y246+Z246)</f>
        <v>0</v>
      </c>
      <c r="AB246" s="55" t="n">
        <f aca="false">MAX(0,MIN(Y246+Z246-AA246,$D246-(H246+M246+R246+W246)))</f>
        <v>0</v>
      </c>
      <c r="AC246" s="55" t="n">
        <f aca="false">AA246+AB246</f>
        <v>0</v>
      </c>
      <c r="AD246" s="55" t="n">
        <f aca="false">ROUND(MAX(0,AD245+AE245-AH245),2)</f>
        <v>0</v>
      </c>
      <c r="AE246" s="55" t="n">
        <f aca="false">ROUND(AD246*$E$10/12,2)</f>
        <v>0</v>
      </c>
      <c r="AF246" s="55" t="n">
        <f aca="false">MIN($F$10,AD246+AE246)</f>
        <v>0</v>
      </c>
      <c r="AG246" s="55" t="n">
        <f aca="false">MAX(0,MIN(AD246+AE246-AF246,$D246-(H246+M246+R246+W246+AB246)))</f>
        <v>0</v>
      </c>
      <c r="AH246" s="55" t="n">
        <f aca="false">AF246+AG246</f>
        <v>0</v>
      </c>
      <c r="AI246" s="55" t="n">
        <f aca="false">ROUND(MAX(0,AI245+AJ245-AM245),2)</f>
        <v>0</v>
      </c>
      <c r="AJ246" s="55" t="n">
        <f aca="false">ROUND(AI246*$E$11/12,2)</f>
        <v>0</v>
      </c>
      <c r="AK246" s="55" t="n">
        <f aca="false">MIN($F$11,AI246+AJ246)</f>
        <v>0</v>
      </c>
      <c r="AL246" s="55" t="n">
        <f aca="false">MAX(0,MIN(AI246+AJ246-AK246,$D246-(H246+M246+R246+W246+AB246+AG246)))</f>
        <v>0</v>
      </c>
      <c r="AM246" s="55" t="n">
        <f aca="false">AK246+AL246</f>
        <v>0</v>
      </c>
      <c r="AN246" s="55" t="n">
        <f aca="false">ROUND(MAX(0,AN245+AO245-AR245),2)</f>
        <v>0</v>
      </c>
      <c r="AO246" s="55" t="n">
        <f aca="false">ROUND(AN246*$E$12/12,2)</f>
        <v>0</v>
      </c>
      <c r="AP246" s="55" t="n">
        <f aca="false">MIN($F$12,AN246+AO246)</f>
        <v>0</v>
      </c>
      <c r="AQ246" s="55" t="n">
        <f aca="false">MAX(0,MIN(AN246+AO246-AP246,$D246-(H246+M246+R246+W246+AB246+AG246+AL246)))</f>
        <v>0</v>
      </c>
      <c r="AR246" s="55" t="n">
        <f aca="false">AP246+AQ246</f>
        <v>0</v>
      </c>
      <c r="AS246" s="55" t="n">
        <f aca="false">ROUND(MAX(0,AS245+AT245-AW245),2)</f>
        <v>0</v>
      </c>
      <c r="AT246" s="55" t="n">
        <f aca="false">ROUND(AS246*$E$13/12,2)</f>
        <v>0</v>
      </c>
      <c r="AU246" s="55" t="n">
        <f aca="false">MIN($F$13,AS246+AT246)</f>
        <v>0</v>
      </c>
      <c r="AV246" s="55" t="n">
        <f aca="false">MAX(0,MIN(AS246+AT246-AU246,$D246-(H246+M246+R246+W246+AB246+AG246+AL246+AQ246)))</f>
        <v>0</v>
      </c>
      <c r="AW246" s="55" t="n">
        <f aca="false">AU246+AV246</f>
        <v>0</v>
      </c>
      <c r="AX246" s="55" t="n">
        <f aca="false">ROUND(MAX(0,AX245+AY245-BB245),2)</f>
        <v>0</v>
      </c>
      <c r="AY246" s="55" t="n">
        <f aca="false">ROUND(AX246*$E$14/12,2)</f>
        <v>0</v>
      </c>
      <c r="AZ246" s="55" t="n">
        <f aca="false">MIN($F$14,AX246+AY246)</f>
        <v>0</v>
      </c>
      <c r="BA246" s="55" t="n">
        <f aca="false">MAX(0,MIN(AX246+AY246-AZ246,$D246-(H246+M246+R246+W246+AB246+AG246+AL246+AQ246+AV246)))</f>
        <v>0</v>
      </c>
      <c r="BB246" s="55" t="n">
        <f aca="false">AZ246+BA246</f>
        <v>0</v>
      </c>
      <c r="BC246" s="55" t="n">
        <f aca="false">I246+N246+S246+X246+AC246+AH246+AM246+AR246+AW246+BB246</f>
        <v>0</v>
      </c>
      <c r="BD246" s="55" t="n">
        <f aca="false">ROUND((E246+F246-I246)+(J246+K246-N246)+(O246+P246-S246)+(T246+U246-X246)+(Y246+Z246-AC246)+(AD246+AE246-AH246)+(AI246+AJ246-AM246)+(AN246+AO246-AR246)+(AS246+AT246-AW246)+(AX246+AY246-BB246),2)</f>
        <v>0</v>
      </c>
      <c r="BE246" s="25" t="str">
        <f aca="false">IF(H246&gt;0.005,$C$5,IF(M246&gt;0.005,$C$6,IF(R246&gt;0.005,$C$7,IF(W246&gt;0.005,$C$8,IF(AB246&gt;0.005,$C$9,IF(AG246&gt;0.005,$C$10,IF(AL246&gt;0.005,$C$11,IF(AQ246&gt;0.005,$C$12,IF(AV246&gt;0.005,$C$13,IF(BA246&gt;0.005,$C$14,""))))))))))</f>
        <v/>
      </c>
    </row>
    <row r="247" customFormat="false" ht="15" hidden="false" customHeight="false" outlineLevel="0" collapsed="false">
      <c r="A247" s="24" t="n">
        <v>224</v>
      </c>
      <c r="B247" s="54" t="n">
        <f aca="false">EDATE($C$17,A247-1)</f>
        <v>53114</v>
      </c>
      <c r="C247" s="55" t="n">
        <f aca="false">G247+L247+Q247+V247+AA247+AF247+AK247+AP247+AU247+AZ247</f>
        <v>0</v>
      </c>
      <c r="D247" s="55" t="n">
        <f aca="false">MAX(0,$C$16-C247)</f>
        <v>5822</v>
      </c>
      <c r="E247" s="55" t="n">
        <f aca="false">ROUND(MAX(0,E246+F246-I246),2)</f>
        <v>0</v>
      </c>
      <c r="F247" s="55" t="n">
        <f aca="false">ROUND(E247*$E$5/12,2)</f>
        <v>0</v>
      </c>
      <c r="G247" s="55" t="n">
        <f aca="false">MIN($F$5,E247+F247)</f>
        <v>0</v>
      </c>
      <c r="H247" s="55" t="n">
        <f aca="false">MAX(0,MIN(E247+F247-G247,$D247))</f>
        <v>0</v>
      </c>
      <c r="I247" s="55" t="n">
        <f aca="false">G247+H247</f>
        <v>0</v>
      </c>
      <c r="J247" s="55" t="n">
        <f aca="false">ROUND(MAX(0,J246+K246-N246),2)</f>
        <v>0</v>
      </c>
      <c r="K247" s="55" t="n">
        <f aca="false">ROUND(J247*$E$6/12,2)</f>
        <v>0</v>
      </c>
      <c r="L247" s="55" t="n">
        <f aca="false">MIN($F$6,J247+K247)</f>
        <v>0</v>
      </c>
      <c r="M247" s="55" t="n">
        <f aca="false">MAX(0,MIN(J247+K247-L247,$D247-(H247)))</f>
        <v>0</v>
      </c>
      <c r="N247" s="55" t="n">
        <f aca="false">L247+M247</f>
        <v>0</v>
      </c>
      <c r="O247" s="55" t="n">
        <f aca="false">ROUND(MAX(0,O246+P246-S246),2)</f>
        <v>0</v>
      </c>
      <c r="P247" s="55" t="n">
        <f aca="false">ROUND(O247*$E$7/12,2)</f>
        <v>0</v>
      </c>
      <c r="Q247" s="55" t="n">
        <f aca="false">MIN($F$7,O247+P247)</f>
        <v>0</v>
      </c>
      <c r="R247" s="55" t="n">
        <f aca="false">MAX(0,MIN(O247+P247-Q247,$D247-(H247+M247)))</f>
        <v>0</v>
      </c>
      <c r="S247" s="55" t="n">
        <f aca="false">Q247+R247</f>
        <v>0</v>
      </c>
      <c r="T247" s="55" t="n">
        <f aca="false">ROUND(MAX(0,T246+U246-X246),2)</f>
        <v>0</v>
      </c>
      <c r="U247" s="55" t="n">
        <f aca="false">ROUND(T247*$E$8/12,2)</f>
        <v>0</v>
      </c>
      <c r="V247" s="55" t="n">
        <f aca="false">MIN($F$8,T247+U247)</f>
        <v>0</v>
      </c>
      <c r="W247" s="55" t="n">
        <f aca="false">MAX(0,MIN(T247+U247-V247,$D247-(H247+M247+R247)))</f>
        <v>0</v>
      </c>
      <c r="X247" s="55" t="n">
        <f aca="false">V247+W247</f>
        <v>0</v>
      </c>
      <c r="Y247" s="55" t="n">
        <f aca="false">ROUND(MAX(0,Y246+Z246-AC246),2)</f>
        <v>0</v>
      </c>
      <c r="Z247" s="55" t="n">
        <f aca="false">ROUND(Y247*$E$9/12,2)</f>
        <v>0</v>
      </c>
      <c r="AA247" s="55" t="n">
        <f aca="false">MIN($F$9,Y247+Z247)</f>
        <v>0</v>
      </c>
      <c r="AB247" s="55" t="n">
        <f aca="false">MAX(0,MIN(Y247+Z247-AA247,$D247-(H247+M247+R247+W247)))</f>
        <v>0</v>
      </c>
      <c r="AC247" s="55" t="n">
        <f aca="false">AA247+AB247</f>
        <v>0</v>
      </c>
      <c r="AD247" s="55" t="n">
        <f aca="false">ROUND(MAX(0,AD246+AE246-AH246),2)</f>
        <v>0</v>
      </c>
      <c r="AE247" s="55" t="n">
        <f aca="false">ROUND(AD247*$E$10/12,2)</f>
        <v>0</v>
      </c>
      <c r="AF247" s="55" t="n">
        <f aca="false">MIN($F$10,AD247+AE247)</f>
        <v>0</v>
      </c>
      <c r="AG247" s="55" t="n">
        <f aca="false">MAX(0,MIN(AD247+AE247-AF247,$D247-(H247+M247+R247+W247+AB247)))</f>
        <v>0</v>
      </c>
      <c r="AH247" s="55" t="n">
        <f aca="false">AF247+AG247</f>
        <v>0</v>
      </c>
      <c r="AI247" s="55" t="n">
        <f aca="false">ROUND(MAX(0,AI246+AJ246-AM246),2)</f>
        <v>0</v>
      </c>
      <c r="AJ247" s="55" t="n">
        <f aca="false">ROUND(AI247*$E$11/12,2)</f>
        <v>0</v>
      </c>
      <c r="AK247" s="55" t="n">
        <f aca="false">MIN($F$11,AI247+AJ247)</f>
        <v>0</v>
      </c>
      <c r="AL247" s="55" t="n">
        <f aca="false">MAX(0,MIN(AI247+AJ247-AK247,$D247-(H247+M247+R247+W247+AB247+AG247)))</f>
        <v>0</v>
      </c>
      <c r="AM247" s="55" t="n">
        <f aca="false">AK247+AL247</f>
        <v>0</v>
      </c>
      <c r="AN247" s="55" t="n">
        <f aca="false">ROUND(MAX(0,AN246+AO246-AR246),2)</f>
        <v>0</v>
      </c>
      <c r="AO247" s="55" t="n">
        <f aca="false">ROUND(AN247*$E$12/12,2)</f>
        <v>0</v>
      </c>
      <c r="AP247" s="55" t="n">
        <f aca="false">MIN($F$12,AN247+AO247)</f>
        <v>0</v>
      </c>
      <c r="AQ247" s="55" t="n">
        <f aca="false">MAX(0,MIN(AN247+AO247-AP247,$D247-(H247+M247+R247+W247+AB247+AG247+AL247)))</f>
        <v>0</v>
      </c>
      <c r="AR247" s="55" t="n">
        <f aca="false">AP247+AQ247</f>
        <v>0</v>
      </c>
      <c r="AS247" s="55" t="n">
        <f aca="false">ROUND(MAX(0,AS246+AT246-AW246),2)</f>
        <v>0</v>
      </c>
      <c r="AT247" s="55" t="n">
        <f aca="false">ROUND(AS247*$E$13/12,2)</f>
        <v>0</v>
      </c>
      <c r="AU247" s="55" t="n">
        <f aca="false">MIN($F$13,AS247+AT247)</f>
        <v>0</v>
      </c>
      <c r="AV247" s="55" t="n">
        <f aca="false">MAX(0,MIN(AS247+AT247-AU247,$D247-(H247+M247+R247+W247+AB247+AG247+AL247+AQ247)))</f>
        <v>0</v>
      </c>
      <c r="AW247" s="55" t="n">
        <f aca="false">AU247+AV247</f>
        <v>0</v>
      </c>
      <c r="AX247" s="55" t="n">
        <f aca="false">ROUND(MAX(0,AX246+AY246-BB246),2)</f>
        <v>0</v>
      </c>
      <c r="AY247" s="55" t="n">
        <f aca="false">ROUND(AX247*$E$14/12,2)</f>
        <v>0</v>
      </c>
      <c r="AZ247" s="55" t="n">
        <f aca="false">MIN($F$14,AX247+AY247)</f>
        <v>0</v>
      </c>
      <c r="BA247" s="55" t="n">
        <f aca="false">MAX(0,MIN(AX247+AY247-AZ247,$D247-(H247+M247+R247+W247+AB247+AG247+AL247+AQ247+AV247)))</f>
        <v>0</v>
      </c>
      <c r="BB247" s="55" t="n">
        <f aca="false">AZ247+BA247</f>
        <v>0</v>
      </c>
      <c r="BC247" s="55" t="n">
        <f aca="false">I247+N247+S247+X247+AC247+AH247+AM247+AR247+AW247+BB247</f>
        <v>0</v>
      </c>
      <c r="BD247" s="55" t="n">
        <f aca="false">ROUND((E247+F247-I247)+(J247+K247-N247)+(O247+P247-S247)+(T247+U247-X247)+(Y247+Z247-AC247)+(AD247+AE247-AH247)+(AI247+AJ247-AM247)+(AN247+AO247-AR247)+(AS247+AT247-AW247)+(AX247+AY247-BB247),2)</f>
        <v>0</v>
      </c>
      <c r="BE247" s="25" t="str">
        <f aca="false">IF(H247&gt;0.005,$C$5,IF(M247&gt;0.005,$C$6,IF(R247&gt;0.005,$C$7,IF(W247&gt;0.005,$C$8,IF(AB247&gt;0.005,$C$9,IF(AG247&gt;0.005,$C$10,IF(AL247&gt;0.005,$C$11,IF(AQ247&gt;0.005,$C$12,IF(AV247&gt;0.005,$C$13,IF(BA247&gt;0.005,$C$14,""))))))))))</f>
        <v/>
      </c>
    </row>
    <row r="248" customFormat="false" ht="15" hidden="false" customHeight="false" outlineLevel="0" collapsed="false">
      <c r="A248" s="24" t="n">
        <v>225</v>
      </c>
      <c r="B248" s="54" t="n">
        <f aca="false">EDATE($C$17,A248-1)</f>
        <v>53144</v>
      </c>
      <c r="C248" s="55" t="n">
        <f aca="false">G248+L248+Q248+V248+AA248+AF248+AK248+AP248+AU248+AZ248</f>
        <v>0</v>
      </c>
      <c r="D248" s="55" t="n">
        <f aca="false">MAX(0,$C$16-C248)</f>
        <v>5822</v>
      </c>
      <c r="E248" s="55" t="n">
        <f aca="false">ROUND(MAX(0,E247+F247-I247),2)</f>
        <v>0</v>
      </c>
      <c r="F248" s="55" t="n">
        <f aca="false">ROUND(E248*$E$5/12,2)</f>
        <v>0</v>
      </c>
      <c r="G248" s="55" t="n">
        <f aca="false">MIN($F$5,E248+F248)</f>
        <v>0</v>
      </c>
      <c r="H248" s="55" t="n">
        <f aca="false">MAX(0,MIN(E248+F248-G248,$D248))</f>
        <v>0</v>
      </c>
      <c r="I248" s="55" t="n">
        <f aca="false">G248+H248</f>
        <v>0</v>
      </c>
      <c r="J248" s="55" t="n">
        <f aca="false">ROUND(MAX(0,J247+K247-N247),2)</f>
        <v>0</v>
      </c>
      <c r="K248" s="55" t="n">
        <f aca="false">ROUND(J248*$E$6/12,2)</f>
        <v>0</v>
      </c>
      <c r="L248" s="55" t="n">
        <f aca="false">MIN($F$6,J248+K248)</f>
        <v>0</v>
      </c>
      <c r="M248" s="55" t="n">
        <f aca="false">MAX(0,MIN(J248+K248-L248,$D248-(H248)))</f>
        <v>0</v>
      </c>
      <c r="N248" s="55" t="n">
        <f aca="false">L248+M248</f>
        <v>0</v>
      </c>
      <c r="O248" s="55" t="n">
        <f aca="false">ROUND(MAX(0,O247+P247-S247),2)</f>
        <v>0</v>
      </c>
      <c r="P248" s="55" t="n">
        <f aca="false">ROUND(O248*$E$7/12,2)</f>
        <v>0</v>
      </c>
      <c r="Q248" s="55" t="n">
        <f aca="false">MIN($F$7,O248+P248)</f>
        <v>0</v>
      </c>
      <c r="R248" s="55" t="n">
        <f aca="false">MAX(0,MIN(O248+P248-Q248,$D248-(H248+M248)))</f>
        <v>0</v>
      </c>
      <c r="S248" s="55" t="n">
        <f aca="false">Q248+R248</f>
        <v>0</v>
      </c>
      <c r="T248" s="55" t="n">
        <f aca="false">ROUND(MAX(0,T247+U247-X247),2)</f>
        <v>0</v>
      </c>
      <c r="U248" s="55" t="n">
        <f aca="false">ROUND(T248*$E$8/12,2)</f>
        <v>0</v>
      </c>
      <c r="V248" s="55" t="n">
        <f aca="false">MIN($F$8,T248+U248)</f>
        <v>0</v>
      </c>
      <c r="W248" s="55" t="n">
        <f aca="false">MAX(0,MIN(T248+U248-V248,$D248-(H248+M248+R248)))</f>
        <v>0</v>
      </c>
      <c r="X248" s="55" t="n">
        <f aca="false">V248+W248</f>
        <v>0</v>
      </c>
      <c r="Y248" s="55" t="n">
        <f aca="false">ROUND(MAX(0,Y247+Z247-AC247),2)</f>
        <v>0</v>
      </c>
      <c r="Z248" s="55" t="n">
        <f aca="false">ROUND(Y248*$E$9/12,2)</f>
        <v>0</v>
      </c>
      <c r="AA248" s="55" t="n">
        <f aca="false">MIN($F$9,Y248+Z248)</f>
        <v>0</v>
      </c>
      <c r="AB248" s="55" t="n">
        <f aca="false">MAX(0,MIN(Y248+Z248-AA248,$D248-(H248+M248+R248+W248)))</f>
        <v>0</v>
      </c>
      <c r="AC248" s="55" t="n">
        <f aca="false">AA248+AB248</f>
        <v>0</v>
      </c>
      <c r="AD248" s="55" t="n">
        <f aca="false">ROUND(MAX(0,AD247+AE247-AH247),2)</f>
        <v>0</v>
      </c>
      <c r="AE248" s="55" t="n">
        <f aca="false">ROUND(AD248*$E$10/12,2)</f>
        <v>0</v>
      </c>
      <c r="AF248" s="55" t="n">
        <f aca="false">MIN($F$10,AD248+AE248)</f>
        <v>0</v>
      </c>
      <c r="AG248" s="55" t="n">
        <f aca="false">MAX(0,MIN(AD248+AE248-AF248,$D248-(H248+M248+R248+W248+AB248)))</f>
        <v>0</v>
      </c>
      <c r="AH248" s="55" t="n">
        <f aca="false">AF248+AG248</f>
        <v>0</v>
      </c>
      <c r="AI248" s="55" t="n">
        <f aca="false">ROUND(MAX(0,AI247+AJ247-AM247),2)</f>
        <v>0</v>
      </c>
      <c r="AJ248" s="55" t="n">
        <f aca="false">ROUND(AI248*$E$11/12,2)</f>
        <v>0</v>
      </c>
      <c r="AK248" s="55" t="n">
        <f aca="false">MIN($F$11,AI248+AJ248)</f>
        <v>0</v>
      </c>
      <c r="AL248" s="55" t="n">
        <f aca="false">MAX(0,MIN(AI248+AJ248-AK248,$D248-(H248+M248+R248+W248+AB248+AG248)))</f>
        <v>0</v>
      </c>
      <c r="AM248" s="55" t="n">
        <f aca="false">AK248+AL248</f>
        <v>0</v>
      </c>
      <c r="AN248" s="55" t="n">
        <f aca="false">ROUND(MAX(0,AN247+AO247-AR247),2)</f>
        <v>0</v>
      </c>
      <c r="AO248" s="55" t="n">
        <f aca="false">ROUND(AN248*$E$12/12,2)</f>
        <v>0</v>
      </c>
      <c r="AP248" s="55" t="n">
        <f aca="false">MIN($F$12,AN248+AO248)</f>
        <v>0</v>
      </c>
      <c r="AQ248" s="55" t="n">
        <f aca="false">MAX(0,MIN(AN248+AO248-AP248,$D248-(H248+M248+R248+W248+AB248+AG248+AL248)))</f>
        <v>0</v>
      </c>
      <c r="AR248" s="55" t="n">
        <f aca="false">AP248+AQ248</f>
        <v>0</v>
      </c>
      <c r="AS248" s="55" t="n">
        <f aca="false">ROUND(MAX(0,AS247+AT247-AW247),2)</f>
        <v>0</v>
      </c>
      <c r="AT248" s="55" t="n">
        <f aca="false">ROUND(AS248*$E$13/12,2)</f>
        <v>0</v>
      </c>
      <c r="AU248" s="55" t="n">
        <f aca="false">MIN($F$13,AS248+AT248)</f>
        <v>0</v>
      </c>
      <c r="AV248" s="55" t="n">
        <f aca="false">MAX(0,MIN(AS248+AT248-AU248,$D248-(H248+M248+R248+W248+AB248+AG248+AL248+AQ248)))</f>
        <v>0</v>
      </c>
      <c r="AW248" s="55" t="n">
        <f aca="false">AU248+AV248</f>
        <v>0</v>
      </c>
      <c r="AX248" s="55" t="n">
        <f aca="false">ROUND(MAX(0,AX247+AY247-BB247),2)</f>
        <v>0</v>
      </c>
      <c r="AY248" s="55" t="n">
        <f aca="false">ROUND(AX248*$E$14/12,2)</f>
        <v>0</v>
      </c>
      <c r="AZ248" s="55" t="n">
        <f aca="false">MIN($F$14,AX248+AY248)</f>
        <v>0</v>
      </c>
      <c r="BA248" s="55" t="n">
        <f aca="false">MAX(0,MIN(AX248+AY248-AZ248,$D248-(H248+M248+R248+W248+AB248+AG248+AL248+AQ248+AV248)))</f>
        <v>0</v>
      </c>
      <c r="BB248" s="55" t="n">
        <f aca="false">AZ248+BA248</f>
        <v>0</v>
      </c>
      <c r="BC248" s="55" t="n">
        <f aca="false">I248+N248+S248+X248+AC248+AH248+AM248+AR248+AW248+BB248</f>
        <v>0</v>
      </c>
      <c r="BD248" s="55" t="n">
        <f aca="false">ROUND((E248+F248-I248)+(J248+K248-N248)+(O248+P248-S248)+(T248+U248-X248)+(Y248+Z248-AC248)+(AD248+AE248-AH248)+(AI248+AJ248-AM248)+(AN248+AO248-AR248)+(AS248+AT248-AW248)+(AX248+AY248-BB248),2)</f>
        <v>0</v>
      </c>
      <c r="BE248" s="25" t="str">
        <f aca="false">IF(H248&gt;0.005,$C$5,IF(M248&gt;0.005,$C$6,IF(R248&gt;0.005,$C$7,IF(W248&gt;0.005,$C$8,IF(AB248&gt;0.005,$C$9,IF(AG248&gt;0.005,$C$10,IF(AL248&gt;0.005,$C$11,IF(AQ248&gt;0.005,$C$12,IF(AV248&gt;0.005,$C$13,IF(BA248&gt;0.005,$C$14,""))))))))))</f>
        <v/>
      </c>
    </row>
    <row r="249" customFormat="false" ht="15" hidden="false" customHeight="false" outlineLevel="0" collapsed="false">
      <c r="A249" s="24" t="n">
        <v>226</v>
      </c>
      <c r="B249" s="54" t="n">
        <f aca="false">EDATE($C$17,A249-1)</f>
        <v>53175</v>
      </c>
      <c r="C249" s="55" t="n">
        <f aca="false">G249+L249+Q249+V249+AA249+AF249+AK249+AP249+AU249+AZ249</f>
        <v>0</v>
      </c>
      <c r="D249" s="55" t="n">
        <f aca="false">MAX(0,$C$16-C249)</f>
        <v>5822</v>
      </c>
      <c r="E249" s="55" t="n">
        <f aca="false">ROUND(MAX(0,E248+F248-I248),2)</f>
        <v>0</v>
      </c>
      <c r="F249" s="55" t="n">
        <f aca="false">ROUND(E249*$E$5/12,2)</f>
        <v>0</v>
      </c>
      <c r="G249" s="55" t="n">
        <f aca="false">MIN($F$5,E249+F249)</f>
        <v>0</v>
      </c>
      <c r="H249" s="55" t="n">
        <f aca="false">MAX(0,MIN(E249+F249-G249,$D249))</f>
        <v>0</v>
      </c>
      <c r="I249" s="55" t="n">
        <f aca="false">G249+H249</f>
        <v>0</v>
      </c>
      <c r="J249" s="55" t="n">
        <f aca="false">ROUND(MAX(0,J248+K248-N248),2)</f>
        <v>0</v>
      </c>
      <c r="K249" s="55" t="n">
        <f aca="false">ROUND(J249*$E$6/12,2)</f>
        <v>0</v>
      </c>
      <c r="L249" s="55" t="n">
        <f aca="false">MIN($F$6,J249+K249)</f>
        <v>0</v>
      </c>
      <c r="M249" s="55" t="n">
        <f aca="false">MAX(0,MIN(J249+K249-L249,$D249-(H249)))</f>
        <v>0</v>
      </c>
      <c r="N249" s="55" t="n">
        <f aca="false">L249+M249</f>
        <v>0</v>
      </c>
      <c r="O249" s="55" t="n">
        <f aca="false">ROUND(MAX(0,O248+P248-S248),2)</f>
        <v>0</v>
      </c>
      <c r="P249" s="55" t="n">
        <f aca="false">ROUND(O249*$E$7/12,2)</f>
        <v>0</v>
      </c>
      <c r="Q249" s="55" t="n">
        <f aca="false">MIN($F$7,O249+P249)</f>
        <v>0</v>
      </c>
      <c r="R249" s="55" t="n">
        <f aca="false">MAX(0,MIN(O249+P249-Q249,$D249-(H249+M249)))</f>
        <v>0</v>
      </c>
      <c r="S249" s="55" t="n">
        <f aca="false">Q249+R249</f>
        <v>0</v>
      </c>
      <c r="T249" s="55" t="n">
        <f aca="false">ROUND(MAX(0,T248+U248-X248),2)</f>
        <v>0</v>
      </c>
      <c r="U249" s="55" t="n">
        <f aca="false">ROUND(T249*$E$8/12,2)</f>
        <v>0</v>
      </c>
      <c r="V249" s="55" t="n">
        <f aca="false">MIN($F$8,T249+U249)</f>
        <v>0</v>
      </c>
      <c r="W249" s="55" t="n">
        <f aca="false">MAX(0,MIN(T249+U249-V249,$D249-(H249+M249+R249)))</f>
        <v>0</v>
      </c>
      <c r="X249" s="55" t="n">
        <f aca="false">V249+W249</f>
        <v>0</v>
      </c>
      <c r="Y249" s="55" t="n">
        <f aca="false">ROUND(MAX(0,Y248+Z248-AC248),2)</f>
        <v>0</v>
      </c>
      <c r="Z249" s="55" t="n">
        <f aca="false">ROUND(Y249*$E$9/12,2)</f>
        <v>0</v>
      </c>
      <c r="AA249" s="55" t="n">
        <f aca="false">MIN($F$9,Y249+Z249)</f>
        <v>0</v>
      </c>
      <c r="AB249" s="55" t="n">
        <f aca="false">MAX(0,MIN(Y249+Z249-AA249,$D249-(H249+M249+R249+W249)))</f>
        <v>0</v>
      </c>
      <c r="AC249" s="55" t="n">
        <f aca="false">AA249+AB249</f>
        <v>0</v>
      </c>
      <c r="AD249" s="55" t="n">
        <f aca="false">ROUND(MAX(0,AD248+AE248-AH248),2)</f>
        <v>0</v>
      </c>
      <c r="AE249" s="55" t="n">
        <f aca="false">ROUND(AD249*$E$10/12,2)</f>
        <v>0</v>
      </c>
      <c r="AF249" s="55" t="n">
        <f aca="false">MIN($F$10,AD249+AE249)</f>
        <v>0</v>
      </c>
      <c r="AG249" s="55" t="n">
        <f aca="false">MAX(0,MIN(AD249+AE249-AF249,$D249-(H249+M249+R249+W249+AB249)))</f>
        <v>0</v>
      </c>
      <c r="AH249" s="55" t="n">
        <f aca="false">AF249+AG249</f>
        <v>0</v>
      </c>
      <c r="AI249" s="55" t="n">
        <f aca="false">ROUND(MAX(0,AI248+AJ248-AM248),2)</f>
        <v>0</v>
      </c>
      <c r="AJ249" s="55" t="n">
        <f aca="false">ROUND(AI249*$E$11/12,2)</f>
        <v>0</v>
      </c>
      <c r="AK249" s="55" t="n">
        <f aca="false">MIN($F$11,AI249+AJ249)</f>
        <v>0</v>
      </c>
      <c r="AL249" s="55" t="n">
        <f aca="false">MAX(0,MIN(AI249+AJ249-AK249,$D249-(H249+M249+R249+W249+AB249+AG249)))</f>
        <v>0</v>
      </c>
      <c r="AM249" s="55" t="n">
        <f aca="false">AK249+AL249</f>
        <v>0</v>
      </c>
      <c r="AN249" s="55" t="n">
        <f aca="false">ROUND(MAX(0,AN248+AO248-AR248),2)</f>
        <v>0</v>
      </c>
      <c r="AO249" s="55" t="n">
        <f aca="false">ROUND(AN249*$E$12/12,2)</f>
        <v>0</v>
      </c>
      <c r="AP249" s="55" t="n">
        <f aca="false">MIN($F$12,AN249+AO249)</f>
        <v>0</v>
      </c>
      <c r="AQ249" s="55" t="n">
        <f aca="false">MAX(0,MIN(AN249+AO249-AP249,$D249-(H249+M249+R249+W249+AB249+AG249+AL249)))</f>
        <v>0</v>
      </c>
      <c r="AR249" s="55" t="n">
        <f aca="false">AP249+AQ249</f>
        <v>0</v>
      </c>
      <c r="AS249" s="55" t="n">
        <f aca="false">ROUND(MAX(0,AS248+AT248-AW248),2)</f>
        <v>0</v>
      </c>
      <c r="AT249" s="55" t="n">
        <f aca="false">ROUND(AS249*$E$13/12,2)</f>
        <v>0</v>
      </c>
      <c r="AU249" s="55" t="n">
        <f aca="false">MIN($F$13,AS249+AT249)</f>
        <v>0</v>
      </c>
      <c r="AV249" s="55" t="n">
        <f aca="false">MAX(0,MIN(AS249+AT249-AU249,$D249-(H249+M249+R249+W249+AB249+AG249+AL249+AQ249)))</f>
        <v>0</v>
      </c>
      <c r="AW249" s="55" t="n">
        <f aca="false">AU249+AV249</f>
        <v>0</v>
      </c>
      <c r="AX249" s="55" t="n">
        <f aca="false">ROUND(MAX(0,AX248+AY248-BB248),2)</f>
        <v>0</v>
      </c>
      <c r="AY249" s="55" t="n">
        <f aca="false">ROUND(AX249*$E$14/12,2)</f>
        <v>0</v>
      </c>
      <c r="AZ249" s="55" t="n">
        <f aca="false">MIN($F$14,AX249+AY249)</f>
        <v>0</v>
      </c>
      <c r="BA249" s="55" t="n">
        <f aca="false">MAX(0,MIN(AX249+AY249-AZ249,$D249-(H249+M249+R249+W249+AB249+AG249+AL249+AQ249+AV249)))</f>
        <v>0</v>
      </c>
      <c r="BB249" s="55" t="n">
        <f aca="false">AZ249+BA249</f>
        <v>0</v>
      </c>
      <c r="BC249" s="55" t="n">
        <f aca="false">I249+N249+S249+X249+AC249+AH249+AM249+AR249+AW249+BB249</f>
        <v>0</v>
      </c>
      <c r="BD249" s="55" t="n">
        <f aca="false">ROUND((E249+F249-I249)+(J249+K249-N249)+(O249+P249-S249)+(T249+U249-X249)+(Y249+Z249-AC249)+(AD249+AE249-AH249)+(AI249+AJ249-AM249)+(AN249+AO249-AR249)+(AS249+AT249-AW249)+(AX249+AY249-BB249),2)</f>
        <v>0</v>
      </c>
      <c r="BE249" s="25" t="str">
        <f aca="false">IF(H249&gt;0.005,$C$5,IF(M249&gt;0.005,$C$6,IF(R249&gt;0.005,$C$7,IF(W249&gt;0.005,$C$8,IF(AB249&gt;0.005,$C$9,IF(AG249&gt;0.005,$C$10,IF(AL249&gt;0.005,$C$11,IF(AQ249&gt;0.005,$C$12,IF(AV249&gt;0.005,$C$13,IF(BA249&gt;0.005,$C$14,""))))))))))</f>
        <v/>
      </c>
    </row>
    <row r="250" customFormat="false" ht="15" hidden="false" customHeight="false" outlineLevel="0" collapsed="false">
      <c r="A250" s="24" t="n">
        <v>227</v>
      </c>
      <c r="B250" s="54" t="n">
        <f aca="false">EDATE($C$17,A250-1)</f>
        <v>53206</v>
      </c>
      <c r="C250" s="55" t="n">
        <f aca="false">G250+L250+Q250+V250+AA250+AF250+AK250+AP250+AU250+AZ250</f>
        <v>0</v>
      </c>
      <c r="D250" s="55" t="n">
        <f aca="false">MAX(0,$C$16-C250)</f>
        <v>5822</v>
      </c>
      <c r="E250" s="55" t="n">
        <f aca="false">ROUND(MAX(0,E249+F249-I249),2)</f>
        <v>0</v>
      </c>
      <c r="F250" s="55" t="n">
        <f aca="false">ROUND(E250*$E$5/12,2)</f>
        <v>0</v>
      </c>
      <c r="G250" s="55" t="n">
        <f aca="false">MIN($F$5,E250+F250)</f>
        <v>0</v>
      </c>
      <c r="H250" s="55" t="n">
        <f aca="false">MAX(0,MIN(E250+F250-G250,$D250))</f>
        <v>0</v>
      </c>
      <c r="I250" s="55" t="n">
        <f aca="false">G250+H250</f>
        <v>0</v>
      </c>
      <c r="J250" s="55" t="n">
        <f aca="false">ROUND(MAX(0,J249+K249-N249),2)</f>
        <v>0</v>
      </c>
      <c r="K250" s="55" t="n">
        <f aca="false">ROUND(J250*$E$6/12,2)</f>
        <v>0</v>
      </c>
      <c r="L250" s="55" t="n">
        <f aca="false">MIN($F$6,J250+K250)</f>
        <v>0</v>
      </c>
      <c r="M250" s="55" t="n">
        <f aca="false">MAX(0,MIN(J250+K250-L250,$D250-(H250)))</f>
        <v>0</v>
      </c>
      <c r="N250" s="55" t="n">
        <f aca="false">L250+M250</f>
        <v>0</v>
      </c>
      <c r="O250" s="55" t="n">
        <f aca="false">ROUND(MAX(0,O249+P249-S249),2)</f>
        <v>0</v>
      </c>
      <c r="P250" s="55" t="n">
        <f aca="false">ROUND(O250*$E$7/12,2)</f>
        <v>0</v>
      </c>
      <c r="Q250" s="55" t="n">
        <f aca="false">MIN($F$7,O250+P250)</f>
        <v>0</v>
      </c>
      <c r="R250" s="55" t="n">
        <f aca="false">MAX(0,MIN(O250+P250-Q250,$D250-(H250+M250)))</f>
        <v>0</v>
      </c>
      <c r="S250" s="55" t="n">
        <f aca="false">Q250+R250</f>
        <v>0</v>
      </c>
      <c r="T250" s="55" t="n">
        <f aca="false">ROUND(MAX(0,T249+U249-X249),2)</f>
        <v>0</v>
      </c>
      <c r="U250" s="55" t="n">
        <f aca="false">ROUND(T250*$E$8/12,2)</f>
        <v>0</v>
      </c>
      <c r="V250" s="55" t="n">
        <f aca="false">MIN($F$8,T250+U250)</f>
        <v>0</v>
      </c>
      <c r="W250" s="55" t="n">
        <f aca="false">MAX(0,MIN(T250+U250-V250,$D250-(H250+M250+R250)))</f>
        <v>0</v>
      </c>
      <c r="X250" s="55" t="n">
        <f aca="false">V250+W250</f>
        <v>0</v>
      </c>
      <c r="Y250" s="55" t="n">
        <f aca="false">ROUND(MAX(0,Y249+Z249-AC249),2)</f>
        <v>0</v>
      </c>
      <c r="Z250" s="55" t="n">
        <f aca="false">ROUND(Y250*$E$9/12,2)</f>
        <v>0</v>
      </c>
      <c r="AA250" s="55" t="n">
        <f aca="false">MIN($F$9,Y250+Z250)</f>
        <v>0</v>
      </c>
      <c r="AB250" s="55" t="n">
        <f aca="false">MAX(0,MIN(Y250+Z250-AA250,$D250-(H250+M250+R250+W250)))</f>
        <v>0</v>
      </c>
      <c r="AC250" s="55" t="n">
        <f aca="false">AA250+AB250</f>
        <v>0</v>
      </c>
      <c r="AD250" s="55" t="n">
        <f aca="false">ROUND(MAX(0,AD249+AE249-AH249),2)</f>
        <v>0</v>
      </c>
      <c r="AE250" s="55" t="n">
        <f aca="false">ROUND(AD250*$E$10/12,2)</f>
        <v>0</v>
      </c>
      <c r="AF250" s="55" t="n">
        <f aca="false">MIN($F$10,AD250+AE250)</f>
        <v>0</v>
      </c>
      <c r="AG250" s="55" t="n">
        <f aca="false">MAX(0,MIN(AD250+AE250-AF250,$D250-(H250+M250+R250+W250+AB250)))</f>
        <v>0</v>
      </c>
      <c r="AH250" s="55" t="n">
        <f aca="false">AF250+AG250</f>
        <v>0</v>
      </c>
      <c r="AI250" s="55" t="n">
        <f aca="false">ROUND(MAX(0,AI249+AJ249-AM249),2)</f>
        <v>0</v>
      </c>
      <c r="AJ250" s="55" t="n">
        <f aca="false">ROUND(AI250*$E$11/12,2)</f>
        <v>0</v>
      </c>
      <c r="AK250" s="55" t="n">
        <f aca="false">MIN($F$11,AI250+AJ250)</f>
        <v>0</v>
      </c>
      <c r="AL250" s="55" t="n">
        <f aca="false">MAX(0,MIN(AI250+AJ250-AK250,$D250-(H250+M250+R250+W250+AB250+AG250)))</f>
        <v>0</v>
      </c>
      <c r="AM250" s="55" t="n">
        <f aca="false">AK250+AL250</f>
        <v>0</v>
      </c>
      <c r="AN250" s="55" t="n">
        <f aca="false">ROUND(MAX(0,AN249+AO249-AR249),2)</f>
        <v>0</v>
      </c>
      <c r="AO250" s="55" t="n">
        <f aca="false">ROUND(AN250*$E$12/12,2)</f>
        <v>0</v>
      </c>
      <c r="AP250" s="55" t="n">
        <f aca="false">MIN($F$12,AN250+AO250)</f>
        <v>0</v>
      </c>
      <c r="AQ250" s="55" t="n">
        <f aca="false">MAX(0,MIN(AN250+AO250-AP250,$D250-(H250+M250+R250+W250+AB250+AG250+AL250)))</f>
        <v>0</v>
      </c>
      <c r="AR250" s="55" t="n">
        <f aca="false">AP250+AQ250</f>
        <v>0</v>
      </c>
      <c r="AS250" s="55" t="n">
        <f aca="false">ROUND(MAX(0,AS249+AT249-AW249),2)</f>
        <v>0</v>
      </c>
      <c r="AT250" s="55" t="n">
        <f aca="false">ROUND(AS250*$E$13/12,2)</f>
        <v>0</v>
      </c>
      <c r="AU250" s="55" t="n">
        <f aca="false">MIN($F$13,AS250+AT250)</f>
        <v>0</v>
      </c>
      <c r="AV250" s="55" t="n">
        <f aca="false">MAX(0,MIN(AS250+AT250-AU250,$D250-(H250+M250+R250+W250+AB250+AG250+AL250+AQ250)))</f>
        <v>0</v>
      </c>
      <c r="AW250" s="55" t="n">
        <f aca="false">AU250+AV250</f>
        <v>0</v>
      </c>
      <c r="AX250" s="55" t="n">
        <f aca="false">ROUND(MAX(0,AX249+AY249-BB249),2)</f>
        <v>0</v>
      </c>
      <c r="AY250" s="55" t="n">
        <f aca="false">ROUND(AX250*$E$14/12,2)</f>
        <v>0</v>
      </c>
      <c r="AZ250" s="55" t="n">
        <f aca="false">MIN($F$14,AX250+AY250)</f>
        <v>0</v>
      </c>
      <c r="BA250" s="55" t="n">
        <f aca="false">MAX(0,MIN(AX250+AY250-AZ250,$D250-(H250+M250+R250+W250+AB250+AG250+AL250+AQ250+AV250)))</f>
        <v>0</v>
      </c>
      <c r="BB250" s="55" t="n">
        <f aca="false">AZ250+BA250</f>
        <v>0</v>
      </c>
      <c r="BC250" s="55" t="n">
        <f aca="false">I250+N250+S250+X250+AC250+AH250+AM250+AR250+AW250+BB250</f>
        <v>0</v>
      </c>
      <c r="BD250" s="55" t="n">
        <f aca="false">ROUND((E250+F250-I250)+(J250+K250-N250)+(O250+P250-S250)+(T250+U250-X250)+(Y250+Z250-AC250)+(AD250+AE250-AH250)+(AI250+AJ250-AM250)+(AN250+AO250-AR250)+(AS250+AT250-AW250)+(AX250+AY250-BB250),2)</f>
        <v>0</v>
      </c>
      <c r="BE250" s="25" t="str">
        <f aca="false">IF(H250&gt;0.005,$C$5,IF(M250&gt;0.005,$C$6,IF(R250&gt;0.005,$C$7,IF(W250&gt;0.005,$C$8,IF(AB250&gt;0.005,$C$9,IF(AG250&gt;0.005,$C$10,IF(AL250&gt;0.005,$C$11,IF(AQ250&gt;0.005,$C$12,IF(AV250&gt;0.005,$C$13,IF(BA250&gt;0.005,$C$14,""))))))))))</f>
        <v/>
      </c>
    </row>
    <row r="251" customFormat="false" ht="15" hidden="false" customHeight="false" outlineLevel="0" collapsed="false">
      <c r="A251" s="24" t="n">
        <v>228</v>
      </c>
      <c r="B251" s="54" t="n">
        <f aca="false">EDATE($C$17,A251-1)</f>
        <v>53236</v>
      </c>
      <c r="C251" s="55" t="n">
        <f aca="false">G251+L251+Q251+V251+AA251+AF251+AK251+AP251+AU251+AZ251</f>
        <v>0</v>
      </c>
      <c r="D251" s="55" t="n">
        <f aca="false">MAX(0,$C$16-C251)</f>
        <v>5822</v>
      </c>
      <c r="E251" s="55" t="n">
        <f aca="false">ROUND(MAX(0,E250+F250-I250),2)</f>
        <v>0</v>
      </c>
      <c r="F251" s="55" t="n">
        <f aca="false">ROUND(E251*$E$5/12,2)</f>
        <v>0</v>
      </c>
      <c r="G251" s="55" t="n">
        <f aca="false">MIN($F$5,E251+F251)</f>
        <v>0</v>
      </c>
      <c r="H251" s="55" t="n">
        <f aca="false">MAX(0,MIN(E251+F251-G251,$D251))</f>
        <v>0</v>
      </c>
      <c r="I251" s="55" t="n">
        <f aca="false">G251+H251</f>
        <v>0</v>
      </c>
      <c r="J251" s="55" t="n">
        <f aca="false">ROUND(MAX(0,J250+K250-N250),2)</f>
        <v>0</v>
      </c>
      <c r="K251" s="55" t="n">
        <f aca="false">ROUND(J251*$E$6/12,2)</f>
        <v>0</v>
      </c>
      <c r="L251" s="55" t="n">
        <f aca="false">MIN($F$6,J251+K251)</f>
        <v>0</v>
      </c>
      <c r="M251" s="55" t="n">
        <f aca="false">MAX(0,MIN(J251+K251-L251,$D251-(H251)))</f>
        <v>0</v>
      </c>
      <c r="N251" s="55" t="n">
        <f aca="false">L251+M251</f>
        <v>0</v>
      </c>
      <c r="O251" s="55" t="n">
        <f aca="false">ROUND(MAX(0,O250+P250-S250),2)</f>
        <v>0</v>
      </c>
      <c r="P251" s="55" t="n">
        <f aca="false">ROUND(O251*$E$7/12,2)</f>
        <v>0</v>
      </c>
      <c r="Q251" s="55" t="n">
        <f aca="false">MIN($F$7,O251+P251)</f>
        <v>0</v>
      </c>
      <c r="R251" s="55" t="n">
        <f aca="false">MAX(0,MIN(O251+P251-Q251,$D251-(H251+M251)))</f>
        <v>0</v>
      </c>
      <c r="S251" s="55" t="n">
        <f aca="false">Q251+R251</f>
        <v>0</v>
      </c>
      <c r="T251" s="55" t="n">
        <f aca="false">ROUND(MAX(0,T250+U250-X250),2)</f>
        <v>0</v>
      </c>
      <c r="U251" s="55" t="n">
        <f aca="false">ROUND(T251*$E$8/12,2)</f>
        <v>0</v>
      </c>
      <c r="V251" s="55" t="n">
        <f aca="false">MIN($F$8,T251+U251)</f>
        <v>0</v>
      </c>
      <c r="W251" s="55" t="n">
        <f aca="false">MAX(0,MIN(T251+U251-V251,$D251-(H251+M251+R251)))</f>
        <v>0</v>
      </c>
      <c r="X251" s="55" t="n">
        <f aca="false">V251+W251</f>
        <v>0</v>
      </c>
      <c r="Y251" s="55" t="n">
        <f aca="false">ROUND(MAX(0,Y250+Z250-AC250),2)</f>
        <v>0</v>
      </c>
      <c r="Z251" s="55" t="n">
        <f aca="false">ROUND(Y251*$E$9/12,2)</f>
        <v>0</v>
      </c>
      <c r="AA251" s="55" t="n">
        <f aca="false">MIN($F$9,Y251+Z251)</f>
        <v>0</v>
      </c>
      <c r="AB251" s="55" t="n">
        <f aca="false">MAX(0,MIN(Y251+Z251-AA251,$D251-(H251+M251+R251+W251)))</f>
        <v>0</v>
      </c>
      <c r="AC251" s="55" t="n">
        <f aca="false">AA251+AB251</f>
        <v>0</v>
      </c>
      <c r="AD251" s="55" t="n">
        <f aca="false">ROUND(MAX(0,AD250+AE250-AH250),2)</f>
        <v>0</v>
      </c>
      <c r="AE251" s="55" t="n">
        <f aca="false">ROUND(AD251*$E$10/12,2)</f>
        <v>0</v>
      </c>
      <c r="AF251" s="55" t="n">
        <f aca="false">MIN($F$10,AD251+AE251)</f>
        <v>0</v>
      </c>
      <c r="AG251" s="55" t="n">
        <f aca="false">MAX(0,MIN(AD251+AE251-AF251,$D251-(H251+M251+R251+W251+AB251)))</f>
        <v>0</v>
      </c>
      <c r="AH251" s="55" t="n">
        <f aca="false">AF251+AG251</f>
        <v>0</v>
      </c>
      <c r="AI251" s="55" t="n">
        <f aca="false">ROUND(MAX(0,AI250+AJ250-AM250),2)</f>
        <v>0</v>
      </c>
      <c r="AJ251" s="55" t="n">
        <f aca="false">ROUND(AI251*$E$11/12,2)</f>
        <v>0</v>
      </c>
      <c r="AK251" s="55" t="n">
        <f aca="false">MIN($F$11,AI251+AJ251)</f>
        <v>0</v>
      </c>
      <c r="AL251" s="55" t="n">
        <f aca="false">MAX(0,MIN(AI251+AJ251-AK251,$D251-(H251+M251+R251+W251+AB251+AG251)))</f>
        <v>0</v>
      </c>
      <c r="AM251" s="55" t="n">
        <f aca="false">AK251+AL251</f>
        <v>0</v>
      </c>
      <c r="AN251" s="55" t="n">
        <f aca="false">ROUND(MAX(0,AN250+AO250-AR250),2)</f>
        <v>0</v>
      </c>
      <c r="AO251" s="55" t="n">
        <f aca="false">ROUND(AN251*$E$12/12,2)</f>
        <v>0</v>
      </c>
      <c r="AP251" s="55" t="n">
        <f aca="false">MIN($F$12,AN251+AO251)</f>
        <v>0</v>
      </c>
      <c r="AQ251" s="55" t="n">
        <f aca="false">MAX(0,MIN(AN251+AO251-AP251,$D251-(H251+M251+R251+W251+AB251+AG251+AL251)))</f>
        <v>0</v>
      </c>
      <c r="AR251" s="55" t="n">
        <f aca="false">AP251+AQ251</f>
        <v>0</v>
      </c>
      <c r="AS251" s="55" t="n">
        <f aca="false">ROUND(MAX(0,AS250+AT250-AW250),2)</f>
        <v>0</v>
      </c>
      <c r="AT251" s="55" t="n">
        <f aca="false">ROUND(AS251*$E$13/12,2)</f>
        <v>0</v>
      </c>
      <c r="AU251" s="55" t="n">
        <f aca="false">MIN($F$13,AS251+AT251)</f>
        <v>0</v>
      </c>
      <c r="AV251" s="55" t="n">
        <f aca="false">MAX(0,MIN(AS251+AT251-AU251,$D251-(H251+M251+R251+W251+AB251+AG251+AL251+AQ251)))</f>
        <v>0</v>
      </c>
      <c r="AW251" s="55" t="n">
        <f aca="false">AU251+AV251</f>
        <v>0</v>
      </c>
      <c r="AX251" s="55" t="n">
        <f aca="false">ROUND(MAX(0,AX250+AY250-BB250),2)</f>
        <v>0</v>
      </c>
      <c r="AY251" s="55" t="n">
        <f aca="false">ROUND(AX251*$E$14/12,2)</f>
        <v>0</v>
      </c>
      <c r="AZ251" s="55" t="n">
        <f aca="false">MIN($F$14,AX251+AY251)</f>
        <v>0</v>
      </c>
      <c r="BA251" s="55" t="n">
        <f aca="false">MAX(0,MIN(AX251+AY251-AZ251,$D251-(H251+M251+R251+W251+AB251+AG251+AL251+AQ251+AV251)))</f>
        <v>0</v>
      </c>
      <c r="BB251" s="55" t="n">
        <f aca="false">AZ251+BA251</f>
        <v>0</v>
      </c>
      <c r="BC251" s="55" t="n">
        <f aca="false">I251+N251+S251+X251+AC251+AH251+AM251+AR251+AW251+BB251</f>
        <v>0</v>
      </c>
      <c r="BD251" s="55" t="n">
        <f aca="false">ROUND((E251+F251-I251)+(J251+K251-N251)+(O251+P251-S251)+(T251+U251-X251)+(Y251+Z251-AC251)+(AD251+AE251-AH251)+(AI251+AJ251-AM251)+(AN251+AO251-AR251)+(AS251+AT251-AW251)+(AX251+AY251-BB251),2)</f>
        <v>0</v>
      </c>
      <c r="BE251" s="25" t="str">
        <f aca="false">IF(H251&gt;0.005,$C$5,IF(M251&gt;0.005,$C$6,IF(R251&gt;0.005,$C$7,IF(W251&gt;0.005,$C$8,IF(AB251&gt;0.005,$C$9,IF(AG251&gt;0.005,$C$10,IF(AL251&gt;0.005,$C$11,IF(AQ251&gt;0.005,$C$12,IF(AV251&gt;0.005,$C$13,IF(BA251&gt;0.005,$C$14,""))))))))))</f>
        <v/>
      </c>
    </row>
    <row r="252" customFormat="false" ht="15" hidden="false" customHeight="false" outlineLevel="0" collapsed="false">
      <c r="A252" s="24" t="n">
        <v>229</v>
      </c>
      <c r="B252" s="54" t="n">
        <f aca="false">EDATE($C$17,A252-1)</f>
        <v>53267</v>
      </c>
      <c r="C252" s="55" t="n">
        <f aca="false">G252+L252+Q252+V252+AA252+AF252+AK252+AP252+AU252+AZ252</f>
        <v>0</v>
      </c>
      <c r="D252" s="55" t="n">
        <f aca="false">MAX(0,$C$16-C252)</f>
        <v>5822</v>
      </c>
      <c r="E252" s="55" t="n">
        <f aca="false">ROUND(MAX(0,E251+F251-I251),2)</f>
        <v>0</v>
      </c>
      <c r="F252" s="55" t="n">
        <f aca="false">ROUND(E252*$E$5/12,2)</f>
        <v>0</v>
      </c>
      <c r="G252" s="55" t="n">
        <f aca="false">MIN($F$5,E252+F252)</f>
        <v>0</v>
      </c>
      <c r="H252" s="55" t="n">
        <f aca="false">MAX(0,MIN(E252+F252-G252,$D252))</f>
        <v>0</v>
      </c>
      <c r="I252" s="55" t="n">
        <f aca="false">G252+H252</f>
        <v>0</v>
      </c>
      <c r="J252" s="55" t="n">
        <f aca="false">ROUND(MAX(0,J251+K251-N251),2)</f>
        <v>0</v>
      </c>
      <c r="K252" s="55" t="n">
        <f aca="false">ROUND(J252*$E$6/12,2)</f>
        <v>0</v>
      </c>
      <c r="L252" s="55" t="n">
        <f aca="false">MIN($F$6,J252+K252)</f>
        <v>0</v>
      </c>
      <c r="M252" s="55" t="n">
        <f aca="false">MAX(0,MIN(J252+K252-L252,$D252-(H252)))</f>
        <v>0</v>
      </c>
      <c r="N252" s="55" t="n">
        <f aca="false">L252+M252</f>
        <v>0</v>
      </c>
      <c r="O252" s="55" t="n">
        <f aca="false">ROUND(MAX(0,O251+P251-S251),2)</f>
        <v>0</v>
      </c>
      <c r="P252" s="55" t="n">
        <f aca="false">ROUND(O252*$E$7/12,2)</f>
        <v>0</v>
      </c>
      <c r="Q252" s="55" t="n">
        <f aca="false">MIN($F$7,O252+P252)</f>
        <v>0</v>
      </c>
      <c r="R252" s="55" t="n">
        <f aca="false">MAX(0,MIN(O252+P252-Q252,$D252-(H252+M252)))</f>
        <v>0</v>
      </c>
      <c r="S252" s="55" t="n">
        <f aca="false">Q252+R252</f>
        <v>0</v>
      </c>
      <c r="T252" s="55" t="n">
        <f aca="false">ROUND(MAX(0,T251+U251-X251),2)</f>
        <v>0</v>
      </c>
      <c r="U252" s="55" t="n">
        <f aca="false">ROUND(T252*$E$8/12,2)</f>
        <v>0</v>
      </c>
      <c r="V252" s="55" t="n">
        <f aca="false">MIN($F$8,T252+U252)</f>
        <v>0</v>
      </c>
      <c r="W252" s="55" t="n">
        <f aca="false">MAX(0,MIN(T252+U252-V252,$D252-(H252+M252+R252)))</f>
        <v>0</v>
      </c>
      <c r="X252" s="55" t="n">
        <f aca="false">V252+W252</f>
        <v>0</v>
      </c>
      <c r="Y252" s="55" t="n">
        <f aca="false">ROUND(MAX(0,Y251+Z251-AC251),2)</f>
        <v>0</v>
      </c>
      <c r="Z252" s="55" t="n">
        <f aca="false">ROUND(Y252*$E$9/12,2)</f>
        <v>0</v>
      </c>
      <c r="AA252" s="55" t="n">
        <f aca="false">MIN($F$9,Y252+Z252)</f>
        <v>0</v>
      </c>
      <c r="AB252" s="55" t="n">
        <f aca="false">MAX(0,MIN(Y252+Z252-AA252,$D252-(H252+M252+R252+W252)))</f>
        <v>0</v>
      </c>
      <c r="AC252" s="55" t="n">
        <f aca="false">AA252+AB252</f>
        <v>0</v>
      </c>
      <c r="AD252" s="55" t="n">
        <f aca="false">ROUND(MAX(0,AD251+AE251-AH251),2)</f>
        <v>0</v>
      </c>
      <c r="AE252" s="55" t="n">
        <f aca="false">ROUND(AD252*$E$10/12,2)</f>
        <v>0</v>
      </c>
      <c r="AF252" s="55" t="n">
        <f aca="false">MIN($F$10,AD252+AE252)</f>
        <v>0</v>
      </c>
      <c r="AG252" s="55" t="n">
        <f aca="false">MAX(0,MIN(AD252+AE252-AF252,$D252-(H252+M252+R252+W252+AB252)))</f>
        <v>0</v>
      </c>
      <c r="AH252" s="55" t="n">
        <f aca="false">AF252+AG252</f>
        <v>0</v>
      </c>
      <c r="AI252" s="55" t="n">
        <f aca="false">ROUND(MAX(0,AI251+AJ251-AM251),2)</f>
        <v>0</v>
      </c>
      <c r="AJ252" s="55" t="n">
        <f aca="false">ROUND(AI252*$E$11/12,2)</f>
        <v>0</v>
      </c>
      <c r="AK252" s="55" t="n">
        <f aca="false">MIN($F$11,AI252+AJ252)</f>
        <v>0</v>
      </c>
      <c r="AL252" s="55" t="n">
        <f aca="false">MAX(0,MIN(AI252+AJ252-AK252,$D252-(H252+M252+R252+W252+AB252+AG252)))</f>
        <v>0</v>
      </c>
      <c r="AM252" s="55" t="n">
        <f aca="false">AK252+AL252</f>
        <v>0</v>
      </c>
      <c r="AN252" s="55" t="n">
        <f aca="false">ROUND(MAX(0,AN251+AO251-AR251),2)</f>
        <v>0</v>
      </c>
      <c r="AO252" s="55" t="n">
        <f aca="false">ROUND(AN252*$E$12/12,2)</f>
        <v>0</v>
      </c>
      <c r="AP252" s="55" t="n">
        <f aca="false">MIN($F$12,AN252+AO252)</f>
        <v>0</v>
      </c>
      <c r="AQ252" s="55" t="n">
        <f aca="false">MAX(0,MIN(AN252+AO252-AP252,$D252-(H252+M252+R252+W252+AB252+AG252+AL252)))</f>
        <v>0</v>
      </c>
      <c r="AR252" s="55" t="n">
        <f aca="false">AP252+AQ252</f>
        <v>0</v>
      </c>
      <c r="AS252" s="55" t="n">
        <f aca="false">ROUND(MAX(0,AS251+AT251-AW251),2)</f>
        <v>0</v>
      </c>
      <c r="AT252" s="55" t="n">
        <f aca="false">ROUND(AS252*$E$13/12,2)</f>
        <v>0</v>
      </c>
      <c r="AU252" s="55" t="n">
        <f aca="false">MIN($F$13,AS252+AT252)</f>
        <v>0</v>
      </c>
      <c r="AV252" s="55" t="n">
        <f aca="false">MAX(0,MIN(AS252+AT252-AU252,$D252-(H252+M252+R252+W252+AB252+AG252+AL252+AQ252)))</f>
        <v>0</v>
      </c>
      <c r="AW252" s="55" t="n">
        <f aca="false">AU252+AV252</f>
        <v>0</v>
      </c>
      <c r="AX252" s="55" t="n">
        <f aca="false">ROUND(MAX(0,AX251+AY251-BB251),2)</f>
        <v>0</v>
      </c>
      <c r="AY252" s="55" t="n">
        <f aca="false">ROUND(AX252*$E$14/12,2)</f>
        <v>0</v>
      </c>
      <c r="AZ252" s="55" t="n">
        <f aca="false">MIN($F$14,AX252+AY252)</f>
        <v>0</v>
      </c>
      <c r="BA252" s="55" t="n">
        <f aca="false">MAX(0,MIN(AX252+AY252-AZ252,$D252-(H252+M252+R252+W252+AB252+AG252+AL252+AQ252+AV252)))</f>
        <v>0</v>
      </c>
      <c r="BB252" s="55" t="n">
        <f aca="false">AZ252+BA252</f>
        <v>0</v>
      </c>
      <c r="BC252" s="55" t="n">
        <f aca="false">I252+N252+S252+X252+AC252+AH252+AM252+AR252+AW252+BB252</f>
        <v>0</v>
      </c>
      <c r="BD252" s="55" t="n">
        <f aca="false">ROUND((E252+F252-I252)+(J252+K252-N252)+(O252+P252-S252)+(T252+U252-X252)+(Y252+Z252-AC252)+(AD252+AE252-AH252)+(AI252+AJ252-AM252)+(AN252+AO252-AR252)+(AS252+AT252-AW252)+(AX252+AY252-BB252),2)</f>
        <v>0</v>
      </c>
      <c r="BE252" s="25" t="str">
        <f aca="false">IF(H252&gt;0.005,$C$5,IF(M252&gt;0.005,$C$6,IF(R252&gt;0.005,$C$7,IF(W252&gt;0.005,$C$8,IF(AB252&gt;0.005,$C$9,IF(AG252&gt;0.005,$C$10,IF(AL252&gt;0.005,$C$11,IF(AQ252&gt;0.005,$C$12,IF(AV252&gt;0.005,$C$13,IF(BA252&gt;0.005,$C$14,""))))))))))</f>
        <v/>
      </c>
    </row>
    <row r="253" customFormat="false" ht="15" hidden="false" customHeight="false" outlineLevel="0" collapsed="false">
      <c r="A253" s="24" t="n">
        <v>230</v>
      </c>
      <c r="B253" s="54" t="n">
        <f aca="false">EDATE($C$17,A253-1)</f>
        <v>53297</v>
      </c>
      <c r="C253" s="55" t="n">
        <f aca="false">G253+L253+Q253+V253+AA253+AF253+AK253+AP253+AU253+AZ253</f>
        <v>0</v>
      </c>
      <c r="D253" s="55" t="n">
        <f aca="false">MAX(0,$C$16-C253)</f>
        <v>5822</v>
      </c>
      <c r="E253" s="55" t="n">
        <f aca="false">ROUND(MAX(0,E252+F252-I252),2)</f>
        <v>0</v>
      </c>
      <c r="F253" s="55" t="n">
        <f aca="false">ROUND(E253*$E$5/12,2)</f>
        <v>0</v>
      </c>
      <c r="G253" s="55" t="n">
        <f aca="false">MIN($F$5,E253+F253)</f>
        <v>0</v>
      </c>
      <c r="H253" s="55" t="n">
        <f aca="false">MAX(0,MIN(E253+F253-G253,$D253))</f>
        <v>0</v>
      </c>
      <c r="I253" s="55" t="n">
        <f aca="false">G253+H253</f>
        <v>0</v>
      </c>
      <c r="J253" s="55" t="n">
        <f aca="false">ROUND(MAX(0,J252+K252-N252),2)</f>
        <v>0</v>
      </c>
      <c r="K253" s="55" t="n">
        <f aca="false">ROUND(J253*$E$6/12,2)</f>
        <v>0</v>
      </c>
      <c r="L253" s="55" t="n">
        <f aca="false">MIN($F$6,J253+K253)</f>
        <v>0</v>
      </c>
      <c r="M253" s="55" t="n">
        <f aca="false">MAX(0,MIN(J253+K253-L253,$D253-(H253)))</f>
        <v>0</v>
      </c>
      <c r="N253" s="55" t="n">
        <f aca="false">L253+M253</f>
        <v>0</v>
      </c>
      <c r="O253" s="55" t="n">
        <f aca="false">ROUND(MAX(0,O252+P252-S252),2)</f>
        <v>0</v>
      </c>
      <c r="P253" s="55" t="n">
        <f aca="false">ROUND(O253*$E$7/12,2)</f>
        <v>0</v>
      </c>
      <c r="Q253" s="55" t="n">
        <f aca="false">MIN($F$7,O253+P253)</f>
        <v>0</v>
      </c>
      <c r="R253" s="55" t="n">
        <f aca="false">MAX(0,MIN(O253+P253-Q253,$D253-(H253+M253)))</f>
        <v>0</v>
      </c>
      <c r="S253" s="55" t="n">
        <f aca="false">Q253+R253</f>
        <v>0</v>
      </c>
      <c r="T253" s="55" t="n">
        <f aca="false">ROUND(MAX(0,T252+U252-X252),2)</f>
        <v>0</v>
      </c>
      <c r="U253" s="55" t="n">
        <f aca="false">ROUND(T253*$E$8/12,2)</f>
        <v>0</v>
      </c>
      <c r="V253" s="55" t="n">
        <f aca="false">MIN($F$8,T253+U253)</f>
        <v>0</v>
      </c>
      <c r="W253" s="55" t="n">
        <f aca="false">MAX(0,MIN(T253+U253-V253,$D253-(H253+M253+R253)))</f>
        <v>0</v>
      </c>
      <c r="X253" s="55" t="n">
        <f aca="false">V253+W253</f>
        <v>0</v>
      </c>
      <c r="Y253" s="55" t="n">
        <f aca="false">ROUND(MAX(0,Y252+Z252-AC252),2)</f>
        <v>0</v>
      </c>
      <c r="Z253" s="55" t="n">
        <f aca="false">ROUND(Y253*$E$9/12,2)</f>
        <v>0</v>
      </c>
      <c r="AA253" s="55" t="n">
        <f aca="false">MIN($F$9,Y253+Z253)</f>
        <v>0</v>
      </c>
      <c r="AB253" s="55" t="n">
        <f aca="false">MAX(0,MIN(Y253+Z253-AA253,$D253-(H253+M253+R253+W253)))</f>
        <v>0</v>
      </c>
      <c r="AC253" s="55" t="n">
        <f aca="false">AA253+AB253</f>
        <v>0</v>
      </c>
      <c r="AD253" s="55" t="n">
        <f aca="false">ROUND(MAX(0,AD252+AE252-AH252),2)</f>
        <v>0</v>
      </c>
      <c r="AE253" s="55" t="n">
        <f aca="false">ROUND(AD253*$E$10/12,2)</f>
        <v>0</v>
      </c>
      <c r="AF253" s="55" t="n">
        <f aca="false">MIN($F$10,AD253+AE253)</f>
        <v>0</v>
      </c>
      <c r="AG253" s="55" t="n">
        <f aca="false">MAX(0,MIN(AD253+AE253-AF253,$D253-(H253+M253+R253+W253+AB253)))</f>
        <v>0</v>
      </c>
      <c r="AH253" s="55" t="n">
        <f aca="false">AF253+AG253</f>
        <v>0</v>
      </c>
      <c r="AI253" s="55" t="n">
        <f aca="false">ROUND(MAX(0,AI252+AJ252-AM252),2)</f>
        <v>0</v>
      </c>
      <c r="AJ253" s="55" t="n">
        <f aca="false">ROUND(AI253*$E$11/12,2)</f>
        <v>0</v>
      </c>
      <c r="AK253" s="55" t="n">
        <f aca="false">MIN($F$11,AI253+AJ253)</f>
        <v>0</v>
      </c>
      <c r="AL253" s="55" t="n">
        <f aca="false">MAX(0,MIN(AI253+AJ253-AK253,$D253-(H253+M253+R253+W253+AB253+AG253)))</f>
        <v>0</v>
      </c>
      <c r="AM253" s="55" t="n">
        <f aca="false">AK253+AL253</f>
        <v>0</v>
      </c>
      <c r="AN253" s="55" t="n">
        <f aca="false">ROUND(MAX(0,AN252+AO252-AR252),2)</f>
        <v>0</v>
      </c>
      <c r="AO253" s="55" t="n">
        <f aca="false">ROUND(AN253*$E$12/12,2)</f>
        <v>0</v>
      </c>
      <c r="AP253" s="55" t="n">
        <f aca="false">MIN($F$12,AN253+AO253)</f>
        <v>0</v>
      </c>
      <c r="AQ253" s="55" t="n">
        <f aca="false">MAX(0,MIN(AN253+AO253-AP253,$D253-(H253+M253+R253+W253+AB253+AG253+AL253)))</f>
        <v>0</v>
      </c>
      <c r="AR253" s="55" t="n">
        <f aca="false">AP253+AQ253</f>
        <v>0</v>
      </c>
      <c r="AS253" s="55" t="n">
        <f aca="false">ROUND(MAX(0,AS252+AT252-AW252),2)</f>
        <v>0</v>
      </c>
      <c r="AT253" s="55" t="n">
        <f aca="false">ROUND(AS253*$E$13/12,2)</f>
        <v>0</v>
      </c>
      <c r="AU253" s="55" t="n">
        <f aca="false">MIN($F$13,AS253+AT253)</f>
        <v>0</v>
      </c>
      <c r="AV253" s="55" t="n">
        <f aca="false">MAX(0,MIN(AS253+AT253-AU253,$D253-(H253+M253+R253+W253+AB253+AG253+AL253+AQ253)))</f>
        <v>0</v>
      </c>
      <c r="AW253" s="55" t="n">
        <f aca="false">AU253+AV253</f>
        <v>0</v>
      </c>
      <c r="AX253" s="55" t="n">
        <f aca="false">ROUND(MAX(0,AX252+AY252-BB252),2)</f>
        <v>0</v>
      </c>
      <c r="AY253" s="55" t="n">
        <f aca="false">ROUND(AX253*$E$14/12,2)</f>
        <v>0</v>
      </c>
      <c r="AZ253" s="55" t="n">
        <f aca="false">MIN($F$14,AX253+AY253)</f>
        <v>0</v>
      </c>
      <c r="BA253" s="55" t="n">
        <f aca="false">MAX(0,MIN(AX253+AY253-AZ253,$D253-(H253+M253+R253+W253+AB253+AG253+AL253+AQ253+AV253)))</f>
        <v>0</v>
      </c>
      <c r="BB253" s="55" t="n">
        <f aca="false">AZ253+BA253</f>
        <v>0</v>
      </c>
      <c r="BC253" s="55" t="n">
        <f aca="false">I253+N253+S253+X253+AC253+AH253+AM253+AR253+AW253+BB253</f>
        <v>0</v>
      </c>
      <c r="BD253" s="55" t="n">
        <f aca="false">ROUND((E253+F253-I253)+(J253+K253-N253)+(O253+P253-S253)+(T253+U253-X253)+(Y253+Z253-AC253)+(AD253+AE253-AH253)+(AI253+AJ253-AM253)+(AN253+AO253-AR253)+(AS253+AT253-AW253)+(AX253+AY253-BB253),2)</f>
        <v>0</v>
      </c>
      <c r="BE253" s="25" t="str">
        <f aca="false">IF(H253&gt;0.005,$C$5,IF(M253&gt;0.005,$C$6,IF(R253&gt;0.005,$C$7,IF(W253&gt;0.005,$C$8,IF(AB253&gt;0.005,$C$9,IF(AG253&gt;0.005,$C$10,IF(AL253&gt;0.005,$C$11,IF(AQ253&gt;0.005,$C$12,IF(AV253&gt;0.005,$C$13,IF(BA253&gt;0.005,$C$14,""))))))))))</f>
        <v/>
      </c>
    </row>
    <row r="254" customFormat="false" ht="15" hidden="false" customHeight="false" outlineLevel="0" collapsed="false">
      <c r="A254" s="24" t="n">
        <v>231</v>
      </c>
      <c r="B254" s="54" t="n">
        <f aca="false">EDATE($C$17,A254-1)</f>
        <v>53328</v>
      </c>
      <c r="C254" s="55" t="n">
        <f aca="false">G254+L254+Q254+V254+AA254+AF254+AK254+AP254+AU254+AZ254</f>
        <v>0</v>
      </c>
      <c r="D254" s="55" t="n">
        <f aca="false">MAX(0,$C$16-C254)</f>
        <v>5822</v>
      </c>
      <c r="E254" s="55" t="n">
        <f aca="false">ROUND(MAX(0,E253+F253-I253),2)</f>
        <v>0</v>
      </c>
      <c r="F254" s="55" t="n">
        <f aca="false">ROUND(E254*$E$5/12,2)</f>
        <v>0</v>
      </c>
      <c r="G254" s="55" t="n">
        <f aca="false">MIN($F$5,E254+F254)</f>
        <v>0</v>
      </c>
      <c r="H254" s="55" t="n">
        <f aca="false">MAX(0,MIN(E254+F254-G254,$D254))</f>
        <v>0</v>
      </c>
      <c r="I254" s="55" t="n">
        <f aca="false">G254+H254</f>
        <v>0</v>
      </c>
      <c r="J254" s="55" t="n">
        <f aca="false">ROUND(MAX(0,J253+K253-N253),2)</f>
        <v>0</v>
      </c>
      <c r="K254" s="55" t="n">
        <f aca="false">ROUND(J254*$E$6/12,2)</f>
        <v>0</v>
      </c>
      <c r="L254" s="55" t="n">
        <f aca="false">MIN($F$6,J254+K254)</f>
        <v>0</v>
      </c>
      <c r="M254" s="55" t="n">
        <f aca="false">MAX(0,MIN(J254+K254-L254,$D254-(H254)))</f>
        <v>0</v>
      </c>
      <c r="N254" s="55" t="n">
        <f aca="false">L254+M254</f>
        <v>0</v>
      </c>
      <c r="O254" s="55" t="n">
        <f aca="false">ROUND(MAX(0,O253+P253-S253),2)</f>
        <v>0</v>
      </c>
      <c r="P254" s="55" t="n">
        <f aca="false">ROUND(O254*$E$7/12,2)</f>
        <v>0</v>
      </c>
      <c r="Q254" s="55" t="n">
        <f aca="false">MIN($F$7,O254+P254)</f>
        <v>0</v>
      </c>
      <c r="R254" s="55" t="n">
        <f aca="false">MAX(0,MIN(O254+P254-Q254,$D254-(H254+M254)))</f>
        <v>0</v>
      </c>
      <c r="S254" s="55" t="n">
        <f aca="false">Q254+R254</f>
        <v>0</v>
      </c>
      <c r="T254" s="55" t="n">
        <f aca="false">ROUND(MAX(0,T253+U253-X253),2)</f>
        <v>0</v>
      </c>
      <c r="U254" s="55" t="n">
        <f aca="false">ROUND(T254*$E$8/12,2)</f>
        <v>0</v>
      </c>
      <c r="V254" s="55" t="n">
        <f aca="false">MIN($F$8,T254+U254)</f>
        <v>0</v>
      </c>
      <c r="W254" s="55" t="n">
        <f aca="false">MAX(0,MIN(T254+U254-V254,$D254-(H254+M254+R254)))</f>
        <v>0</v>
      </c>
      <c r="X254" s="55" t="n">
        <f aca="false">V254+W254</f>
        <v>0</v>
      </c>
      <c r="Y254" s="55" t="n">
        <f aca="false">ROUND(MAX(0,Y253+Z253-AC253),2)</f>
        <v>0</v>
      </c>
      <c r="Z254" s="55" t="n">
        <f aca="false">ROUND(Y254*$E$9/12,2)</f>
        <v>0</v>
      </c>
      <c r="AA254" s="55" t="n">
        <f aca="false">MIN($F$9,Y254+Z254)</f>
        <v>0</v>
      </c>
      <c r="AB254" s="55" t="n">
        <f aca="false">MAX(0,MIN(Y254+Z254-AA254,$D254-(H254+M254+R254+W254)))</f>
        <v>0</v>
      </c>
      <c r="AC254" s="55" t="n">
        <f aca="false">AA254+AB254</f>
        <v>0</v>
      </c>
      <c r="AD254" s="55" t="n">
        <f aca="false">ROUND(MAX(0,AD253+AE253-AH253),2)</f>
        <v>0</v>
      </c>
      <c r="AE254" s="55" t="n">
        <f aca="false">ROUND(AD254*$E$10/12,2)</f>
        <v>0</v>
      </c>
      <c r="AF254" s="55" t="n">
        <f aca="false">MIN($F$10,AD254+AE254)</f>
        <v>0</v>
      </c>
      <c r="AG254" s="55" t="n">
        <f aca="false">MAX(0,MIN(AD254+AE254-AF254,$D254-(H254+M254+R254+W254+AB254)))</f>
        <v>0</v>
      </c>
      <c r="AH254" s="55" t="n">
        <f aca="false">AF254+AG254</f>
        <v>0</v>
      </c>
      <c r="AI254" s="55" t="n">
        <f aca="false">ROUND(MAX(0,AI253+AJ253-AM253),2)</f>
        <v>0</v>
      </c>
      <c r="AJ254" s="55" t="n">
        <f aca="false">ROUND(AI254*$E$11/12,2)</f>
        <v>0</v>
      </c>
      <c r="AK254" s="55" t="n">
        <f aca="false">MIN($F$11,AI254+AJ254)</f>
        <v>0</v>
      </c>
      <c r="AL254" s="55" t="n">
        <f aca="false">MAX(0,MIN(AI254+AJ254-AK254,$D254-(H254+M254+R254+W254+AB254+AG254)))</f>
        <v>0</v>
      </c>
      <c r="AM254" s="55" t="n">
        <f aca="false">AK254+AL254</f>
        <v>0</v>
      </c>
      <c r="AN254" s="55" t="n">
        <f aca="false">ROUND(MAX(0,AN253+AO253-AR253),2)</f>
        <v>0</v>
      </c>
      <c r="AO254" s="55" t="n">
        <f aca="false">ROUND(AN254*$E$12/12,2)</f>
        <v>0</v>
      </c>
      <c r="AP254" s="55" t="n">
        <f aca="false">MIN($F$12,AN254+AO254)</f>
        <v>0</v>
      </c>
      <c r="AQ254" s="55" t="n">
        <f aca="false">MAX(0,MIN(AN254+AO254-AP254,$D254-(H254+M254+R254+W254+AB254+AG254+AL254)))</f>
        <v>0</v>
      </c>
      <c r="AR254" s="55" t="n">
        <f aca="false">AP254+AQ254</f>
        <v>0</v>
      </c>
      <c r="AS254" s="55" t="n">
        <f aca="false">ROUND(MAX(0,AS253+AT253-AW253),2)</f>
        <v>0</v>
      </c>
      <c r="AT254" s="55" t="n">
        <f aca="false">ROUND(AS254*$E$13/12,2)</f>
        <v>0</v>
      </c>
      <c r="AU254" s="55" t="n">
        <f aca="false">MIN($F$13,AS254+AT254)</f>
        <v>0</v>
      </c>
      <c r="AV254" s="55" t="n">
        <f aca="false">MAX(0,MIN(AS254+AT254-AU254,$D254-(H254+M254+R254+W254+AB254+AG254+AL254+AQ254)))</f>
        <v>0</v>
      </c>
      <c r="AW254" s="55" t="n">
        <f aca="false">AU254+AV254</f>
        <v>0</v>
      </c>
      <c r="AX254" s="55" t="n">
        <f aca="false">ROUND(MAX(0,AX253+AY253-BB253),2)</f>
        <v>0</v>
      </c>
      <c r="AY254" s="55" t="n">
        <f aca="false">ROUND(AX254*$E$14/12,2)</f>
        <v>0</v>
      </c>
      <c r="AZ254" s="55" t="n">
        <f aca="false">MIN($F$14,AX254+AY254)</f>
        <v>0</v>
      </c>
      <c r="BA254" s="55" t="n">
        <f aca="false">MAX(0,MIN(AX254+AY254-AZ254,$D254-(H254+M254+R254+W254+AB254+AG254+AL254+AQ254+AV254)))</f>
        <v>0</v>
      </c>
      <c r="BB254" s="55" t="n">
        <f aca="false">AZ254+BA254</f>
        <v>0</v>
      </c>
      <c r="BC254" s="55" t="n">
        <f aca="false">I254+N254+S254+X254+AC254+AH254+AM254+AR254+AW254+BB254</f>
        <v>0</v>
      </c>
      <c r="BD254" s="55" t="n">
        <f aca="false">ROUND((E254+F254-I254)+(J254+K254-N254)+(O254+P254-S254)+(T254+U254-X254)+(Y254+Z254-AC254)+(AD254+AE254-AH254)+(AI254+AJ254-AM254)+(AN254+AO254-AR254)+(AS254+AT254-AW254)+(AX254+AY254-BB254),2)</f>
        <v>0</v>
      </c>
      <c r="BE254" s="25" t="str">
        <f aca="false">IF(H254&gt;0.005,$C$5,IF(M254&gt;0.005,$C$6,IF(R254&gt;0.005,$C$7,IF(W254&gt;0.005,$C$8,IF(AB254&gt;0.005,$C$9,IF(AG254&gt;0.005,$C$10,IF(AL254&gt;0.005,$C$11,IF(AQ254&gt;0.005,$C$12,IF(AV254&gt;0.005,$C$13,IF(BA254&gt;0.005,$C$14,""))))))))))</f>
        <v/>
      </c>
    </row>
    <row r="255" customFormat="false" ht="15" hidden="false" customHeight="false" outlineLevel="0" collapsed="false">
      <c r="A255" s="24" t="n">
        <v>232</v>
      </c>
      <c r="B255" s="54" t="n">
        <f aca="false">EDATE($C$17,A255-1)</f>
        <v>53359</v>
      </c>
      <c r="C255" s="55" t="n">
        <f aca="false">G255+L255+Q255+V255+AA255+AF255+AK255+AP255+AU255+AZ255</f>
        <v>0</v>
      </c>
      <c r="D255" s="55" t="n">
        <f aca="false">MAX(0,$C$16-C255)</f>
        <v>5822</v>
      </c>
      <c r="E255" s="55" t="n">
        <f aca="false">ROUND(MAX(0,E254+F254-I254),2)</f>
        <v>0</v>
      </c>
      <c r="F255" s="55" t="n">
        <f aca="false">ROUND(E255*$E$5/12,2)</f>
        <v>0</v>
      </c>
      <c r="G255" s="55" t="n">
        <f aca="false">MIN($F$5,E255+F255)</f>
        <v>0</v>
      </c>
      <c r="H255" s="55" t="n">
        <f aca="false">MAX(0,MIN(E255+F255-G255,$D255))</f>
        <v>0</v>
      </c>
      <c r="I255" s="55" t="n">
        <f aca="false">G255+H255</f>
        <v>0</v>
      </c>
      <c r="J255" s="55" t="n">
        <f aca="false">ROUND(MAX(0,J254+K254-N254),2)</f>
        <v>0</v>
      </c>
      <c r="K255" s="55" t="n">
        <f aca="false">ROUND(J255*$E$6/12,2)</f>
        <v>0</v>
      </c>
      <c r="L255" s="55" t="n">
        <f aca="false">MIN($F$6,J255+K255)</f>
        <v>0</v>
      </c>
      <c r="M255" s="55" t="n">
        <f aca="false">MAX(0,MIN(J255+K255-L255,$D255-(H255)))</f>
        <v>0</v>
      </c>
      <c r="N255" s="55" t="n">
        <f aca="false">L255+M255</f>
        <v>0</v>
      </c>
      <c r="O255" s="55" t="n">
        <f aca="false">ROUND(MAX(0,O254+P254-S254),2)</f>
        <v>0</v>
      </c>
      <c r="P255" s="55" t="n">
        <f aca="false">ROUND(O255*$E$7/12,2)</f>
        <v>0</v>
      </c>
      <c r="Q255" s="55" t="n">
        <f aca="false">MIN($F$7,O255+P255)</f>
        <v>0</v>
      </c>
      <c r="R255" s="55" t="n">
        <f aca="false">MAX(0,MIN(O255+P255-Q255,$D255-(H255+M255)))</f>
        <v>0</v>
      </c>
      <c r="S255" s="55" t="n">
        <f aca="false">Q255+R255</f>
        <v>0</v>
      </c>
      <c r="T255" s="55" t="n">
        <f aca="false">ROUND(MAX(0,T254+U254-X254),2)</f>
        <v>0</v>
      </c>
      <c r="U255" s="55" t="n">
        <f aca="false">ROUND(T255*$E$8/12,2)</f>
        <v>0</v>
      </c>
      <c r="V255" s="55" t="n">
        <f aca="false">MIN($F$8,T255+U255)</f>
        <v>0</v>
      </c>
      <c r="W255" s="55" t="n">
        <f aca="false">MAX(0,MIN(T255+U255-V255,$D255-(H255+M255+R255)))</f>
        <v>0</v>
      </c>
      <c r="X255" s="55" t="n">
        <f aca="false">V255+W255</f>
        <v>0</v>
      </c>
      <c r="Y255" s="55" t="n">
        <f aca="false">ROUND(MAX(0,Y254+Z254-AC254),2)</f>
        <v>0</v>
      </c>
      <c r="Z255" s="55" t="n">
        <f aca="false">ROUND(Y255*$E$9/12,2)</f>
        <v>0</v>
      </c>
      <c r="AA255" s="55" t="n">
        <f aca="false">MIN($F$9,Y255+Z255)</f>
        <v>0</v>
      </c>
      <c r="AB255" s="55" t="n">
        <f aca="false">MAX(0,MIN(Y255+Z255-AA255,$D255-(H255+M255+R255+W255)))</f>
        <v>0</v>
      </c>
      <c r="AC255" s="55" t="n">
        <f aca="false">AA255+AB255</f>
        <v>0</v>
      </c>
      <c r="AD255" s="55" t="n">
        <f aca="false">ROUND(MAX(0,AD254+AE254-AH254),2)</f>
        <v>0</v>
      </c>
      <c r="AE255" s="55" t="n">
        <f aca="false">ROUND(AD255*$E$10/12,2)</f>
        <v>0</v>
      </c>
      <c r="AF255" s="55" t="n">
        <f aca="false">MIN($F$10,AD255+AE255)</f>
        <v>0</v>
      </c>
      <c r="AG255" s="55" t="n">
        <f aca="false">MAX(0,MIN(AD255+AE255-AF255,$D255-(H255+M255+R255+W255+AB255)))</f>
        <v>0</v>
      </c>
      <c r="AH255" s="55" t="n">
        <f aca="false">AF255+AG255</f>
        <v>0</v>
      </c>
      <c r="AI255" s="55" t="n">
        <f aca="false">ROUND(MAX(0,AI254+AJ254-AM254),2)</f>
        <v>0</v>
      </c>
      <c r="AJ255" s="55" t="n">
        <f aca="false">ROUND(AI255*$E$11/12,2)</f>
        <v>0</v>
      </c>
      <c r="AK255" s="55" t="n">
        <f aca="false">MIN($F$11,AI255+AJ255)</f>
        <v>0</v>
      </c>
      <c r="AL255" s="55" t="n">
        <f aca="false">MAX(0,MIN(AI255+AJ255-AK255,$D255-(H255+M255+R255+W255+AB255+AG255)))</f>
        <v>0</v>
      </c>
      <c r="AM255" s="55" t="n">
        <f aca="false">AK255+AL255</f>
        <v>0</v>
      </c>
      <c r="AN255" s="55" t="n">
        <f aca="false">ROUND(MAX(0,AN254+AO254-AR254),2)</f>
        <v>0</v>
      </c>
      <c r="AO255" s="55" t="n">
        <f aca="false">ROUND(AN255*$E$12/12,2)</f>
        <v>0</v>
      </c>
      <c r="AP255" s="55" t="n">
        <f aca="false">MIN($F$12,AN255+AO255)</f>
        <v>0</v>
      </c>
      <c r="AQ255" s="55" t="n">
        <f aca="false">MAX(0,MIN(AN255+AO255-AP255,$D255-(H255+M255+R255+W255+AB255+AG255+AL255)))</f>
        <v>0</v>
      </c>
      <c r="AR255" s="55" t="n">
        <f aca="false">AP255+AQ255</f>
        <v>0</v>
      </c>
      <c r="AS255" s="55" t="n">
        <f aca="false">ROUND(MAX(0,AS254+AT254-AW254),2)</f>
        <v>0</v>
      </c>
      <c r="AT255" s="55" t="n">
        <f aca="false">ROUND(AS255*$E$13/12,2)</f>
        <v>0</v>
      </c>
      <c r="AU255" s="55" t="n">
        <f aca="false">MIN($F$13,AS255+AT255)</f>
        <v>0</v>
      </c>
      <c r="AV255" s="55" t="n">
        <f aca="false">MAX(0,MIN(AS255+AT255-AU255,$D255-(H255+M255+R255+W255+AB255+AG255+AL255+AQ255)))</f>
        <v>0</v>
      </c>
      <c r="AW255" s="55" t="n">
        <f aca="false">AU255+AV255</f>
        <v>0</v>
      </c>
      <c r="AX255" s="55" t="n">
        <f aca="false">ROUND(MAX(0,AX254+AY254-BB254),2)</f>
        <v>0</v>
      </c>
      <c r="AY255" s="55" t="n">
        <f aca="false">ROUND(AX255*$E$14/12,2)</f>
        <v>0</v>
      </c>
      <c r="AZ255" s="55" t="n">
        <f aca="false">MIN($F$14,AX255+AY255)</f>
        <v>0</v>
      </c>
      <c r="BA255" s="55" t="n">
        <f aca="false">MAX(0,MIN(AX255+AY255-AZ255,$D255-(H255+M255+R255+W255+AB255+AG255+AL255+AQ255+AV255)))</f>
        <v>0</v>
      </c>
      <c r="BB255" s="55" t="n">
        <f aca="false">AZ255+BA255</f>
        <v>0</v>
      </c>
      <c r="BC255" s="55" t="n">
        <f aca="false">I255+N255+S255+X255+AC255+AH255+AM255+AR255+AW255+BB255</f>
        <v>0</v>
      </c>
      <c r="BD255" s="55" t="n">
        <f aca="false">ROUND((E255+F255-I255)+(J255+K255-N255)+(O255+P255-S255)+(T255+U255-X255)+(Y255+Z255-AC255)+(AD255+AE255-AH255)+(AI255+AJ255-AM255)+(AN255+AO255-AR255)+(AS255+AT255-AW255)+(AX255+AY255-BB255),2)</f>
        <v>0</v>
      </c>
      <c r="BE255" s="25" t="str">
        <f aca="false">IF(H255&gt;0.005,$C$5,IF(M255&gt;0.005,$C$6,IF(R255&gt;0.005,$C$7,IF(W255&gt;0.005,$C$8,IF(AB255&gt;0.005,$C$9,IF(AG255&gt;0.005,$C$10,IF(AL255&gt;0.005,$C$11,IF(AQ255&gt;0.005,$C$12,IF(AV255&gt;0.005,$C$13,IF(BA255&gt;0.005,$C$14,""))))))))))</f>
        <v/>
      </c>
    </row>
    <row r="256" customFormat="false" ht="15" hidden="false" customHeight="false" outlineLevel="0" collapsed="false">
      <c r="A256" s="24" t="n">
        <v>233</v>
      </c>
      <c r="B256" s="54" t="n">
        <f aca="false">EDATE($C$17,A256-1)</f>
        <v>53387</v>
      </c>
      <c r="C256" s="55" t="n">
        <f aca="false">G256+L256+Q256+V256+AA256+AF256+AK256+AP256+AU256+AZ256</f>
        <v>0</v>
      </c>
      <c r="D256" s="55" t="n">
        <f aca="false">MAX(0,$C$16-C256)</f>
        <v>5822</v>
      </c>
      <c r="E256" s="55" t="n">
        <f aca="false">ROUND(MAX(0,E255+F255-I255),2)</f>
        <v>0</v>
      </c>
      <c r="F256" s="55" t="n">
        <f aca="false">ROUND(E256*$E$5/12,2)</f>
        <v>0</v>
      </c>
      <c r="G256" s="55" t="n">
        <f aca="false">MIN($F$5,E256+F256)</f>
        <v>0</v>
      </c>
      <c r="H256" s="55" t="n">
        <f aca="false">MAX(0,MIN(E256+F256-G256,$D256))</f>
        <v>0</v>
      </c>
      <c r="I256" s="55" t="n">
        <f aca="false">G256+H256</f>
        <v>0</v>
      </c>
      <c r="J256" s="55" t="n">
        <f aca="false">ROUND(MAX(0,J255+K255-N255),2)</f>
        <v>0</v>
      </c>
      <c r="K256" s="55" t="n">
        <f aca="false">ROUND(J256*$E$6/12,2)</f>
        <v>0</v>
      </c>
      <c r="L256" s="55" t="n">
        <f aca="false">MIN($F$6,J256+K256)</f>
        <v>0</v>
      </c>
      <c r="M256" s="55" t="n">
        <f aca="false">MAX(0,MIN(J256+K256-L256,$D256-(H256)))</f>
        <v>0</v>
      </c>
      <c r="N256" s="55" t="n">
        <f aca="false">L256+M256</f>
        <v>0</v>
      </c>
      <c r="O256" s="55" t="n">
        <f aca="false">ROUND(MAX(0,O255+P255-S255),2)</f>
        <v>0</v>
      </c>
      <c r="P256" s="55" t="n">
        <f aca="false">ROUND(O256*$E$7/12,2)</f>
        <v>0</v>
      </c>
      <c r="Q256" s="55" t="n">
        <f aca="false">MIN($F$7,O256+P256)</f>
        <v>0</v>
      </c>
      <c r="R256" s="55" t="n">
        <f aca="false">MAX(0,MIN(O256+P256-Q256,$D256-(H256+M256)))</f>
        <v>0</v>
      </c>
      <c r="S256" s="55" t="n">
        <f aca="false">Q256+R256</f>
        <v>0</v>
      </c>
      <c r="T256" s="55" t="n">
        <f aca="false">ROUND(MAX(0,T255+U255-X255),2)</f>
        <v>0</v>
      </c>
      <c r="U256" s="55" t="n">
        <f aca="false">ROUND(T256*$E$8/12,2)</f>
        <v>0</v>
      </c>
      <c r="V256" s="55" t="n">
        <f aca="false">MIN($F$8,T256+U256)</f>
        <v>0</v>
      </c>
      <c r="W256" s="55" t="n">
        <f aca="false">MAX(0,MIN(T256+U256-V256,$D256-(H256+M256+R256)))</f>
        <v>0</v>
      </c>
      <c r="X256" s="55" t="n">
        <f aca="false">V256+W256</f>
        <v>0</v>
      </c>
      <c r="Y256" s="55" t="n">
        <f aca="false">ROUND(MAX(0,Y255+Z255-AC255),2)</f>
        <v>0</v>
      </c>
      <c r="Z256" s="55" t="n">
        <f aca="false">ROUND(Y256*$E$9/12,2)</f>
        <v>0</v>
      </c>
      <c r="AA256" s="55" t="n">
        <f aca="false">MIN($F$9,Y256+Z256)</f>
        <v>0</v>
      </c>
      <c r="AB256" s="55" t="n">
        <f aca="false">MAX(0,MIN(Y256+Z256-AA256,$D256-(H256+M256+R256+W256)))</f>
        <v>0</v>
      </c>
      <c r="AC256" s="55" t="n">
        <f aca="false">AA256+AB256</f>
        <v>0</v>
      </c>
      <c r="AD256" s="55" t="n">
        <f aca="false">ROUND(MAX(0,AD255+AE255-AH255),2)</f>
        <v>0</v>
      </c>
      <c r="AE256" s="55" t="n">
        <f aca="false">ROUND(AD256*$E$10/12,2)</f>
        <v>0</v>
      </c>
      <c r="AF256" s="55" t="n">
        <f aca="false">MIN($F$10,AD256+AE256)</f>
        <v>0</v>
      </c>
      <c r="AG256" s="55" t="n">
        <f aca="false">MAX(0,MIN(AD256+AE256-AF256,$D256-(H256+M256+R256+W256+AB256)))</f>
        <v>0</v>
      </c>
      <c r="AH256" s="55" t="n">
        <f aca="false">AF256+AG256</f>
        <v>0</v>
      </c>
      <c r="AI256" s="55" t="n">
        <f aca="false">ROUND(MAX(0,AI255+AJ255-AM255),2)</f>
        <v>0</v>
      </c>
      <c r="AJ256" s="55" t="n">
        <f aca="false">ROUND(AI256*$E$11/12,2)</f>
        <v>0</v>
      </c>
      <c r="AK256" s="55" t="n">
        <f aca="false">MIN($F$11,AI256+AJ256)</f>
        <v>0</v>
      </c>
      <c r="AL256" s="55" t="n">
        <f aca="false">MAX(0,MIN(AI256+AJ256-AK256,$D256-(H256+M256+R256+W256+AB256+AG256)))</f>
        <v>0</v>
      </c>
      <c r="AM256" s="55" t="n">
        <f aca="false">AK256+AL256</f>
        <v>0</v>
      </c>
      <c r="AN256" s="55" t="n">
        <f aca="false">ROUND(MAX(0,AN255+AO255-AR255),2)</f>
        <v>0</v>
      </c>
      <c r="AO256" s="55" t="n">
        <f aca="false">ROUND(AN256*$E$12/12,2)</f>
        <v>0</v>
      </c>
      <c r="AP256" s="55" t="n">
        <f aca="false">MIN($F$12,AN256+AO256)</f>
        <v>0</v>
      </c>
      <c r="AQ256" s="55" t="n">
        <f aca="false">MAX(0,MIN(AN256+AO256-AP256,$D256-(H256+M256+R256+W256+AB256+AG256+AL256)))</f>
        <v>0</v>
      </c>
      <c r="AR256" s="55" t="n">
        <f aca="false">AP256+AQ256</f>
        <v>0</v>
      </c>
      <c r="AS256" s="55" t="n">
        <f aca="false">ROUND(MAX(0,AS255+AT255-AW255),2)</f>
        <v>0</v>
      </c>
      <c r="AT256" s="55" t="n">
        <f aca="false">ROUND(AS256*$E$13/12,2)</f>
        <v>0</v>
      </c>
      <c r="AU256" s="55" t="n">
        <f aca="false">MIN($F$13,AS256+AT256)</f>
        <v>0</v>
      </c>
      <c r="AV256" s="55" t="n">
        <f aca="false">MAX(0,MIN(AS256+AT256-AU256,$D256-(H256+M256+R256+W256+AB256+AG256+AL256+AQ256)))</f>
        <v>0</v>
      </c>
      <c r="AW256" s="55" t="n">
        <f aca="false">AU256+AV256</f>
        <v>0</v>
      </c>
      <c r="AX256" s="55" t="n">
        <f aca="false">ROUND(MAX(0,AX255+AY255-BB255),2)</f>
        <v>0</v>
      </c>
      <c r="AY256" s="55" t="n">
        <f aca="false">ROUND(AX256*$E$14/12,2)</f>
        <v>0</v>
      </c>
      <c r="AZ256" s="55" t="n">
        <f aca="false">MIN($F$14,AX256+AY256)</f>
        <v>0</v>
      </c>
      <c r="BA256" s="55" t="n">
        <f aca="false">MAX(0,MIN(AX256+AY256-AZ256,$D256-(H256+M256+R256+W256+AB256+AG256+AL256+AQ256+AV256)))</f>
        <v>0</v>
      </c>
      <c r="BB256" s="55" t="n">
        <f aca="false">AZ256+BA256</f>
        <v>0</v>
      </c>
      <c r="BC256" s="55" t="n">
        <f aca="false">I256+N256+S256+X256+AC256+AH256+AM256+AR256+AW256+BB256</f>
        <v>0</v>
      </c>
      <c r="BD256" s="55" t="n">
        <f aca="false">ROUND((E256+F256-I256)+(J256+K256-N256)+(O256+P256-S256)+(T256+U256-X256)+(Y256+Z256-AC256)+(AD256+AE256-AH256)+(AI256+AJ256-AM256)+(AN256+AO256-AR256)+(AS256+AT256-AW256)+(AX256+AY256-BB256),2)</f>
        <v>0</v>
      </c>
      <c r="BE256" s="25" t="str">
        <f aca="false">IF(H256&gt;0.005,$C$5,IF(M256&gt;0.005,$C$6,IF(R256&gt;0.005,$C$7,IF(W256&gt;0.005,$C$8,IF(AB256&gt;0.005,$C$9,IF(AG256&gt;0.005,$C$10,IF(AL256&gt;0.005,$C$11,IF(AQ256&gt;0.005,$C$12,IF(AV256&gt;0.005,$C$13,IF(BA256&gt;0.005,$C$14,""))))))))))</f>
        <v/>
      </c>
    </row>
    <row r="257" customFormat="false" ht="15" hidden="false" customHeight="false" outlineLevel="0" collapsed="false">
      <c r="A257" s="24" t="n">
        <v>234</v>
      </c>
      <c r="B257" s="54" t="n">
        <f aca="false">EDATE($C$17,A257-1)</f>
        <v>53418</v>
      </c>
      <c r="C257" s="55" t="n">
        <f aca="false">G257+L257+Q257+V257+AA257+AF257+AK257+AP257+AU257+AZ257</f>
        <v>0</v>
      </c>
      <c r="D257" s="55" t="n">
        <f aca="false">MAX(0,$C$16-C257)</f>
        <v>5822</v>
      </c>
      <c r="E257" s="55" t="n">
        <f aca="false">ROUND(MAX(0,E256+F256-I256),2)</f>
        <v>0</v>
      </c>
      <c r="F257" s="55" t="n">
        <f aca="false">ROUND(E257*$E$5/12,2)</f>
        <v>0</v>
      </c>
      <c r="G257" s="55" t="n">
        <f aca="false">MIN($F$5,E257+F257)</f>
        <v>0</v>
      </c>
      <c r="H257" s="55" t="n">
        <f aca="false">MAX(0,MIN(E257+F257-G257,$D257))</f>
        <v>0</v>
      </c>
      <c r="I257" s="55" t="n">
        <f aca="false">G257+H257</f>
        <v>0</v>
      </c>
      <c r="J257" s="55" t="n">
        <f aca="false">ROUND(MAX(0,J256+K256-N256),2)</f>
        <v>0</v>
      </c>
      <c r="K257" s="55" t="n">
        <f aca="false">ROUND(J257*$E$6/12,2)</f>
        <v>0</v>
      </c>
      <c r="L257" s="55" t="n">
        <f aca="false">MIN($F$6,J257+K257)</f>
        <v>0</v>
      </c>
      <c r="M257" s="55" t="n">
        <f aca="false">MAX(0,MIN(J257+K257-L257,$D257-(H257)))</f>
        <v>0</v>
      </c>
      <c r="N257" s="55" t="n">
        <f aca="false">L257+M257</f>
        <v>0</v>
      </c>
      <c r="O257" s="55" t="n">
        <f aca="false">ROUND(MAX(0,O256+P256-S256),2)</f>
        <v>0</v>
      </c>
      <c r="P257" s="55" t="n">
        <f aca="false">ROUND(O257*$E$7/12,2)</f>
        <v>0</v>
      </c>
      <c r="Q257" s="55" t="n">
        <f aca="false">MIN($F$7,O257+P257)</f>
        <v>0</v>
      </c>
      <c r="R257" s="55" t="n">
        <f aca="false">MAX(0,MIN(O257+P257-Q257,$D257-(H257+M257)))</f>
        <v>0</v>
      </c>
      <c r="S257" s="55" t="n">
        <f aca="false">Q257+R257</f>
        <v>0</v>
      </c>
      <c r="T257" s="55" t="n">
        <f aca="false">ROUND(MAX(0,T256+U256-X256),2)</f>
        <v>0</v>
      </c>
      <c r="U257" s="55" t="n">
        <f aca="false">ROUND(T257*$E$8/12,2)</f>
        <v>0</v>
      </c>
      <c r="V257" s="55" t="n">
        <f aca="false">MIN($F$8,T257+U257)</f>
        <v>0</v>
      </c>
      <c r="W257" s="55" t="n">
        <f aca="false">MAX(0,MIN(T257+U257-V257,$D257-(H257+M257+R257)))</f>
        <v>0</v>
      </c>
      <c r="X257" s="55" t="n">
        <f aca="false">V257+W257</f>
        <v>0</v>
      </c>
      <c r="Y257" s="55" t="n">
        <f aca="false">ROUND(MAX(0,Y256+Z256-AC256),2)</f>
        <v>0</v>
      </c>
      <c r="Z257" s="55" t="n">
        <f aca="false">ROUND(Y257*$E$9/12,2)</f>
        <v>0</v>
      </c>
      <c r="AA257" s="55" t="n">
        <f aca="false">MIN($F$9,Y257+Z257)</f>
        <v>0</v>
      </c>
      <c r="AB257" s="55" t="n">
        <f aca="false">MAX(0,MIN(Y257+Z257-AA257,$D257-(H257+M257+R257+W257)))</f>
        <v>0</v>
      </c>
      <c r="AC257" s="55" t="n">
        <f aca="false">AA257+AB257</f>
        <v>0</v>
      </c>
      <c r="AD257" s="55" t="n">
        <f aca="false">ROUND(MAX(0,AD256+AE256-AH256),2)</f>
        <v>0</v>
      </c>
      <c r="AE257" s="55" t="n">
        <f aca="false">ROUND(AD257*$E$10/12,2)</f>
        <v>0</v>
      </c>
      <c r="AF257" s="55" t="n">
        <f aca="false">MIN($F$10,AD257+AE257)</f>
        <v>0</v>
      </c>
      <c r="AG257" s="55" t="n">
        <f aca="false">MAX(0,MIN(AD257+AE257-AF257,$D257-(H257+M257+R257+W257+AB257)))</f>
        <v>0</v>
      </c>
      <c r="AH257" s="55" t="n">
        <f aca="false">AF257+AG257</f>
        <v>0</v>
      </c>
      <c r="AI257" s="55" t="n">
        <f aca="false">ROUND(MAX(0,AI256+AJ256-AM256),2)</f>
        <v>0</v>
      </c>
      <c r="AJ257" s="55" t="n">
        <f aca="false">ROUND(AI257*$E$11/12,2)</f>
        <v>0</v>
      </c>
      <c r="AK257" s="55" t="n">
        <f aca="false">MIN($F$11,AI257+AJ257)</f>
        <v>0</v>
      </c>
      <c r="AL257" s="55" t="n">
        <f aca="false">MAX(0,MIN(AI257+AJ257-AK257,$D257-(H257+M257+R257+W257+AB257+AG257)))</f>
        <v>0</v>
      </c>
      <c r="AM257" s="55" t="n">
        <f aca="false">AK257+AL257</f>
        <v>0</v>
      </c>
      <c r="AN257" s="55" t="n">
        <f aca="false">ROUND(MAX(0,AN256+AO256-AR256),2)</f>
        <v>0</v>
      </c>
      <c r="AO257" s="55" t="n">
        <f aca="false">ROUND(AN257*$E$12/12,2)</f>
        <v>0</v>
      </c>
      <c r="AP257" s="55" t="n">
        <f aca="false">MIN($F$12,AN257+AO257)</f>
        <v>0</v>
      </c>
      <c r="AQ257" s="55" t="n">
        <f aca="false">MAX(0,MIN(AN257+AO257-AP257,$D257-(H257+M257+R257+W257+AB257+AG257+AL257)))</f>
        <v>0</v>
      </c>
      <c r="AR257" s="55" t="n">
        <f aca="false">AP257+AQ257</f>
        <v>0</v>
      </c>
      <c r="AS257" s="55" t="n">
        <f aca="false">ROUND(MAX(0,AS256+AT256-AW256),2)</f>
        <v>0</v>
      </c>
      <c r="AT257" s="55" t="n">
        <f aca="false">ROUND(AS257*$E$13/12,2)</f>
        <v>0</v>
      </c>
      <c r="AU257" s="55" t="n">
        <f aca="false">MIN($F$13,AS257+AT257)</f>
        <v>0</v>
      </c>
      <c r="AV257" s="55" t="n">
        <f aca="false">MAX(0,MIN(AS257+AT257-AU257,$D257-(H257+M257+R257+W257+AB257+AG257+AL257+AQ257)))</f>
        <v>0</v>
      </c>
      <c r="AW257" s="55" t="n">
        <f aca="false">AU257+AV257</f>
        <v>0</v>
      </c>
      <c r="AX257" s="55" t="n">
        <f aca="false">ROUND(MAX(0,AX256+AY256-BB256),2)</f>
        <v>0</v>
      </c>
      <c r="AY257" s="55" t="n">
        <f aca="false">ROUND(AX257*$E$14/12,2)</f>
        <v>0</v>
      </c>
      <c r="AZ257" s="55" t="n">
        <f aca="false">MIN($F$14,AX257+AY257)</f>
        <v>0</v>
      </c>
      <c r="BA257" s="55" t="n">
        <f aca="false">MAX(0,MIN(AX257+AY257-AZ257,$D257-(H257+M257+R257+W257+AB257+AG257+AL257+AQ257+AV257)))</f>
        <v>0</v>
      </c>
      <c r="BB257" s="55" t="n">
        <f aca="false">AZ257+BA257</f>
        <v>0</v>
      </c>
      <c r="BC257" s="55" t="n">
        <f aca="false">I257+N257+S257+X257+AC257+AH257+AM257+AR257+AW257+BB257</f>
        <v>0</v>
      </c>
      <c r="BD257" s="55" t="n">
        <f aca="false">ROUND((E257+F257-I257)+(J257+K257-N257)+(O257+P257-S257)+(T257+U257-X257)+(Y257+Z257-AC257)+(AD257+AE257-AH257)+(AI257+AJ257-AM257)+(AN257+AO257-AR257)+(AS257+AT257-AW257)+(AX257+AY257-BB257),2)</f>
        <v>0</v>
      </c>
      <c r="BE257" s="25" t="str">
        <f aca="false">IF(H257&gt;0.005,$C$5,IF(M257&gt;0.005,$C$6,IF(R257&gt;0.005,$C$7,IF(W257&gt;0.005,$C$8,IF(AB257&gt;0.005,$C$9,IF(AG257&gt;0.005,$C$10,IF(AL257&gt;0.005,$C$11,IF(AQ257&gt;0.005,$C$12,IF(AV257&gt;0.005,$C$13,IF(BA257&gt;0.005,$C$14,""))))))))))</f>
        <v/>
      </c>
    </row>
    <row r="258" customFormat="false" ht="15" hidden="false" customHeight="false" outlineLevel="0" collapsed="false">
      <c r="A258" s="24" t="n">
        <v>235</v>
      </c>
      <c r="B258" s="54" t="n">
        <f aca="false">EDATE($C$17,A258-1)</f>
        <v>53448</v>
      </c>
      <c r="C258" s="55" t="n">
        <f aca="false">G258+L258+Q258+V258+AA258+AF258+AK258+AP258+AU258+AZ258</f>
        <v>0</v>
      </c>
      <c r="D258" s="55" t="n">
        <f aca="false">MAX(0,$C$16-C258)</f>
        <v>5822</v>
      </c>
      <c r="E258" s="55" t="n">
        <f aca="false">ROUND(MAX(0,E257+F257-I257),2)</f>
        <v>0</v>
      </c>
      <c r="F258" s="55" t="n">
        <f aca="false">ROUND(E258*$E$5/12,2)</f>
        <v>0</v>
      </c>
      <c r="G258" s="55" t="n">
        <f aca="false">MIN($F$5,E258+F258)</f>
        <v>0</v>
      </c>
      <c r="H258" s="55" t="n">
        <f aca="false">MAX(0,MIN(E258+F258-G258,$D258))</f>
        <v>0</v>
      </c>
      <c r="I258" s="55" t="n">
        <f aca="false">G258+H258</f>
        <v>0</v>
      </c>
      <c r="J258" s="55" t="n">
        <f aca="false">ROUND(MAX(0,J257+K257-N257),2)</f>
        <v>0</v>
      </c>
      <c r="K258" s="55" t="n">
        <f aca="false">ROUND(J258*$E$6/12,2)</f>
        <v>0</v>
      </c>
      <c r="L258" s="55" t="n">
        <f aca="false">MIN($F$6,J258+K258)</f>
        <v>0</v>
      </c>
      <c r="M258" s="55" t="n">
        <f aca="false">MAX(0,MIN(J258+K258-L258,$D258-(H258)))</f>
        <v>0</v>
      </c>
      <c r="N258" s="55" t="n">
        <f aca="false">L258+M258</f>
        <v>0</v>
      </c>
      <c r="O258" s="55" t="n">
        <f aca="false">ROUND(MAX(0,O257+P257-S257),2)</f>
        <v>0</v>
      </c>
      <c r="P258" s="55" t="n">
        <f aca="false">ROUND(O258*$E$7/12,2)</f>
        <v>0</v>
      </c>
      <c r="Q258" s="55" t="n">
        <f aca="false">MIN($F$7,O258+P258)</f>
        <v>0</v>
      </c>
      <c r="R258" s="55" t="n">
        <f aca="false">MAX(0,MIN(O258+P258-Q258,$D258-(H258+M258)))</f>
        <v>0</v>
      </c>
      <c r="S258" s="55" t="n">
        <f aca="false">Q258+R258</f>
        <v>0</v>
      </c>
      <c r="T258" s="55" t="n">
        <f aca="false">ROUND(MAX(0,T257+U257-X257),2)</f>
        <v>0</v>
      </c>
      <c r="U258" s="55" t="n">
        <f aca="false">ROUND(T258*$E$8/12,2)</f>
        <v>0</v>
      </c>
      <c r="V258" s="55" t="n">
        <f aca="false">MIN($F$8,T258+U258)</f>
        <v>0</v>
      </c>
      <c r="W258" s="55" t="n">
        <f aca="false">MAX(0,MIN(T258+U258-V258,$D258-(H258+M258+R258)))</f>
        <v>0</v>
      </c>
      <c r="X258" s="55" t="n">
        <f aca="false">V258+W258</f>
        <v>0</v>
      </c>
      <c r="Y258" s="55" t="n">
        <f aca="false">ROUND(MAX(0,Y257+Z257-AC257),2)</f>
        <v>0</v>
      </c>
      <c r="Z258" s="55" t="n">
        <f aca="false">ROUND(Y258*$E$9/12,2)</f>
        <v>0</v>
      </c>
      <c r="AA258" s="55" t="n">
        <f aca="false">MIN($F$9,Y258+Z258)</f>
        <v>0</v>
      </c>
      <c r="AB258" s="55" t="n">
        <f aca="false">MAX(0,MIN(Y258+Z258-AA258,$D258-(H258+M258+R258+W258)))</f>
        <v>0</v>
      </c>
      <c r="AC258" s="55" t="n">
        <f aca="false">AA258+AB258</f>
        <v>0</v>
      </c>
      <c r="AD258" s="55" t="n">
        <f aca="false">ROUND(MAX(0,AD257+AE257-AH257),2)</f>
        <v>0</v>
      </c>
      <c r="AE258" s="55" t="n">
        <f aca="false">ROUND(AD258*$E$10/12,2)</f>
        <v>0</v>
      </c>
      <c r="AF258" s="55" t="n">
        <f aca="false">MIN($F$10,AD258+AE258)</f>
        <v>0</v>
      </c>
      <c r="AG258" s="55" t="n">
        <f aca="false">MAX(0,MIN(AD258+AE258-AF258,$D258-(H258+M258+R258+W258+AB258)))</f>
        <v>0</v>
      </c>
      <c r="AH258" s="55" t="n">
        <f aca="false">AF258+AG258</f>
        <v>0</v>
      </c>
      <c r="AI258" s="55" t="n">
        <f aca="false">ROUND(MAX(0,AI257+AJ257-AM257),2)</f>
        <v>0</v>
      </c>
      <c r="AJ258" s="55" t="n">
        <f aca="false">ROUND(AI258*$E$11/12,2)</f>
        <v>0</v>
      </c>
      <c r="AK258" s="55" t="n">
        <f aca="false">MIN($F$11,AI258+AJ258)</f>
        <v>0</v>
      </c>
      <c r="AL258" s="55" t="n">
        <f aca="false">MAX(0,MIN(AI258+AJ258-AK258,$D258-(H258+M258+R258+W258+AB258+AG258)))</f>
        <v>0</v>
      </c>
      <c r="AM258" s="55" t="n">
        <f aca="false">AK258+AL258</f>
        <v>0</v>
      </c>
      <c r="AN258" s="55" t="n">
        <f aca="false">ROUND(MAX(0,AN257+AO257-AR257),2)</f>
        <v>0</v>
      </c>
      <c r="AO258" s="55" t="n">
        <f aca="false">ROUND(AN258*$E$12/12,2)</f>
        <v>0</v>
      </c>
      <c r="AP258" s="55" t="n">
        <f aca="false">MIN($F$12,AN258+AO258)</f>
        <v>0</v>
      </c>
      <c r="AQ258" s="55" t="n">
        <f aca="false">MAX(0,MIN(AN258+AO258-AP258,$D258-(H258+M258+R258+W258+AB258+AG258+AL258)))</f>
        <v>0</v>
      </c>
      <c r="AR258" s="55" t="n">
        <f aca="false">AP258+AQ258</f>
        <v>0</v>
      </c>
      <c r="AS258" s="55" t="n">
        <f aca="false">ROUND(MAX(0,AS257+AT257-AW257),2)</f>
        <v>0</v>
      </c>
      <c r="AT258" s="55" t="n">
        <f aca="false">ROUND(AS258*$E$13/12,2)</f>
        <v>0</v>
      </c>
      <c r="AU258" s="55" t="n">
        <f aca="false">MIN($F$13,AS258+AT258)</f>
        <v>0</v>
      </c>
      <c r="AV258" s="55" t="n">
        <f aca="false">MAX(0,MIN(AS258+AT258-AU258,$D258-(H258+M258+R258+W258+AB258+AG258+AL258+AQ258)))</f>
        <v>0</v>
      </c>
      <c r="AW258" s="55" t="n">
        <f aca="false">AU258+AV258</f>
        <v>0</v>
      </c>
      <c r="AX258" s="55" t="n">
        <f aca="false">ROUND(MAX(0,AX257+AY257-BB257),2)</f>
        <v>0</v>
      </c>
      <c r="AY258" s="55" t="n">
        <f aca="false">ROUND(AX258*$E$14/12,2)</f>
        <v>0</v>
      </c>
      <c r="AZ258" s="55" t="n">
        <f aca="false">MIN($F$14,AX258+AY258)</f>
        <v>0</v>
      </c>
      <c r="BA258" s="55" t="n">
        <f aca="false">MAX(0,MIN(AX258+AY258-AZ258,$D258-(H258+M258+R258+W258+AB258+AG258+AL258+AQ258+AV258)))</f>
        <v>0</v>
      </c>
      <c r="BB258" s="55" t="n">
        <f aca="false">AZ258+BA258</f>
        <v>0</v>
      </c>
      <c r="BC258" s="55" t="n">
        <f aca="false">I258+N258+S258+X258+AC258+AH258+AM258+AR258+AW258+BB258</f>
        <v>0</v>
      </c>
      <c r="BD258" s="55" t="n">
        <f aca="false">ROUND((E258+F258-I258)+(J258+K258-N258)+(O258+P258-S258)+(T258+U258-X258)+(Y258+Z258-AC258)+(AD258+AE258-AH258)+(AI258+AJ258-AM258)+(AN258+AO258-AR258)+(AS258+AT258-AW258)+(AX258+AY258-BB258),2)</f>
        <v>0</v>
      </c>
      <c r="BE258" s="25" t="str">
        <f aca="false">IF(H258&gt;0.005,$C$5,IF(M258&gt;0.005,$C$6,IF(R258&gt;0.005,$C$7,IF(W258&gt;0.005,$C$8,IF(AB258&gt;0.005,$C$9,IF(AG258&gt;0.005,$C$10,IF(AL258&gt;0.005,$C$11,IF(AQ258&gt;0.005,$C$12,IF(AV258&gt;0.005,$C$13,IF(BA258&gt;0.005,$C$14,""))))))))))</f>
        <v/>
      </c>
    </row>
    <row r="259" customFormat="false" ht="15" hidden="false" customHeight="false" outlineLevel="0" collapsed="false">
      <c r="A259" s="24" t="n">
        <v>236</v>
      </c>
      <c r="B259" s="54" t="n">
        <f aca="false">EDATE($C$17,A259-1)</f>
        <v>53479</v>
      </c>
      <c r="C259" s="55" t="n">
        <f aca="false">G259+L259+Q259+V259+AA259+AF259+AK259+AP259+AU259+AZ259</f>
        <v>0</v>
      </c>
      <c r="D259" s="55" t="n">
        <f aca="false">MAX(0,$C$16-C259)</f>
        <v>5822</v>
      </c>
      <c r="E259" s="55" t="n">
        <f aca="false">ROUND(MAX(0,E258+F258-I258),2)</f>
        <v>0</v>
      </c>
      <c r="F259" s="55" t="n">
        <f aca="false">ROUND(E259*$E$5/12,2)</f>
        <v>0</v>
      </c>
      <c r="G259" s="55" t="n">
        <f aca="false">MIN($F$5,E259+F259)</f>
        <v>0</v>
      </c>
      <c r="H259" s="55" t="n">
        <f aca="false">MAX(0,MIN(E259+F259-G259,$D259))</f>
        <v>0</v>
      </c>
      <c r="I259" s="55" t="n">
        <f aca="false">G259+H259</f>
        <v>0</v>
      </c>
      <c r="J259" s="55" t="n">
        <f aca="false">ROUND(MAX(0,J258+K258-N258),2)</f>
        <v>0</v>
      </c>
      <c r="K259" s="55" t="n">
        <f aca="false">ROUND(J259*$E$6/12,2)</f>
        <v>0</v>
      </c>
      <c r="L259" s="55" t="n">
        <f aca="false">MIN($F$6,J259+K259)</f>
        <v>0</v>
      </c>
      <c r="M259" s="55" t="n">
        <f aca="false">MAX(0,MIN(J259+K259-L259,$D259-(H259)))</f>
        <v>0</v>
      </c>
      <c r="N259" s="55" t="n">
        <f aca="false">L259+M259</f>
        <v>0</v>
      </c>
      <c r="O259" s="55" t="n">
        <f aca="false">ROUND(MAX(0,O258+P258-S258),2)</f>
        <v>0</v>
      </c>
      <c r="P259" s="55" t="n">
        <f aca="false">ROUND(O259*$E$7/12,2)</f>
        <v>0</v>
      </c>
      <c r="Q259" s="55" t="n">
        <f aca="false">MIN($F$7,O259+P259)</f>
        <v>0</v>
      </c>
      <c r="R259" s="55" t="n">
        <f aca="false">MAX(0,MIN(O259+P259-Q259,$D259-(H259+M259)))</f>
        <v>0</v>
      </c>
      <c r="S259" s="55" t="n">
        <f aca="false">Q259+R259</f>
        <v>0</v>
      </c>
      <c r="T259" s="55" t="n">
        <f aca="false">ROUND(MAX(0,T258+U258-X258),2)</f>
        <v>0</v>
      </c>
      <c r="U259" s="55" t="n">
        <f aca="false">ROUND(T259*$E$8/12,2)</f>
        <v>0</v>
      </c>
      <c r="V259" s="55" t="n">
        <f aca="false">MIN($F$8,T259+U259)</f>
        <v>0</v>
      </c>
      <c r="W259" s="55" t="n">
        <f aca="false">MAX(0,MIN(T259+U259-V259,$D259-(H259+M259+R259)))</f>
        <v>0</v>
      </c>
      <c r="X259" s="55" t="n">
        <f aca="false">V259+W259</f>
        <v>0</v>
      </c>
      <c r="Y259" s="55" t="n">
        <f aca="false">ROUND(MAX(0,Y258+Z258-AC258),2)</f>
        <v>0</v>
      </c>
      <c r="Z259" s="55" t="n">
        <f aca="false">ROUND(Y259*$E$9/12,2)</f>
        <v>0</v>
      </c>
      <c r="AA259" s="55" t="n">
        <f aca="false">MIN($F$9,Y259+Z259)</f>
        <v>0</v>
      </c>
      <c r="AB259" s="55" t="n">
        <f aca="false">MAX(0,MIN(Y259+Z259-AA259,$D259-(H259+M259+R259+W259)))</f>
        <v>0</v>
      </c>
      <c r="AC259" s="55" t="n">
        <f aca="false">AA259+AB259</f>
        <v>0</v>
      </c>
      <c r="AD259" s="55" t="n">
        <f aca="false">ROUND(MAX(0,AD258+AE258-AH258),2)</f>
        <v>0</v>
      </c>
      <c r="AE259" s="55" t="n">
        <f aca="false">ROUND(AD259*$E$10/12,2)</f>
        <v>0</v>
      </c>
      <c r="AF259" s="55" t="n">
        <f aca="false">MIN($F$10,AD259+AE259)</f>
        <v>0</v>
      </c>
      <c r="AG259" s="55" t="n">
        <f aca="false">MAX(0,MIN(AD259+AE259-AF259,$D259-(H259+M259+R259+W259+AB259)))</f>
        <v>0</v>
      </c>
      <c r="AH259" s="55" t="n">
        <f aca="false">AF259+AG259</f>
        <v>0</v>
      </c>
      <c r="AI259" s="55" t="n">
        <f aca="false">ROUND(MAX(0,AI258+AJ258-AM258),2)</f>
        <v>0</v>
      </c>
      <c r="AJ259" s="55" t="n">
        <f aca="false">ROUND(AI259*$E$11/12,2)</f>
        <v>0</v>
      </c>
      <c r="AK259" s="55" t="n">
        <f aca="false">MIN($F$11,AI259+AJ259)</f>
        <v>0</v>
      </c>
      <c r="AL259" s="55" t="n">
        <f aca="false">MAX(0,MIN(AI259+AJ259-AK259,$D259-(H259+M259+R259+W259+AB259+AG259)))</f>
        <v>0</v>
      </c>
      <c r="AM259" s="55" t="n">
        <f aca="false">AK259+AL259</f>
        <v>0</v>
      </c>
      <c r="AN259" s="55" t="n">
        <f aca="false">ROUND(MAX(0,AN258+AO258-AR258),2)</f>
        <v>0</v>
      </c>
      <c r="AO259" s="55" t="n">
        <f aca="false">ROUND(AN259*$E$12/12,2)</f>
        <v>0</v>
      </c>
      <c r="AP259" s="55" t="n">
        <f aca="false">MIN($F$12,AN259+AO259)</f>
        <v>0</v>
      </c>
      <c r="AQ259" s="55" t="n">
        <f aca="false">MAX(0,MIN(AN259+AO259-AP259,$D259-(H259+M259+R259+W259+AB259+AG259+AL259)))</f>
        <v>0</v>
      </c>
      <c r="AR259" s="55" t="n">
        <f aca="false">AP259+AQ259</f>
        <v>0</v>
      </c>
      <c r="AS259" s="55" t="n">
        <f aca="false">ROUND(MAX(0,AS258+AT258-AW258),2)</f>
        <v>0</v>
      </c>
      <c r="AT259" s="55" t="n">
        <f aca="false">ROUND(AS259*$E$13/12,2)</f>
        <v>0</v>
      </c>
      <c r="AU259" s="55" t="n">
        <f aca="false">MIN($F$13,AS259+AT259)</f>
        <v>0</v>
      </c>
      <c r="AV259" s="55" t="n">
        <f aca="false">MAX(0,MIN(AS259+AT259-AU259,$D259-(H259+M259+R259+W259+AB259+AG259+AL259+AQ259)))</f>
        <v>0</v>
      </c>
      <c r="AW259" s="55" t="n">
        <f aca="false">AU259+AV259</f>
        <v>0</v>
      </c>
      <c r="AX259" s="55" t="n">
        <f aca="false">ROUND(MAX(0,AX258+AY258-BB258),2)</f>
        <v>0</v>
      </c>
      <c r="AY259" s="55" t="n">
        <f aca="false">ROUND(AX259*$E$14/12,2)</f>
        <v>0</v>
      </c>
      <c r="AZ259" s="55" t="n">
        <f aca="false">MIN($F$14,AX259+AY259)</f>
        <v>0</v>
      </c>
      <c r="BA259" s="55" t="n">
        <f aca="false">MAX(0,MIN(AX259+AY259-AZ259,$D259-(H259+M259+R259+W259+AB259+AG259+AL259+AQ259+AV259)))</f>
        <v>0</v>
      </c>
      <c r="BB259" s="55" t="n">
        <f aca="false">AZ259+BA259</f>
        <v>0</v>
      </c>
      <c r="BC259" s="55" t="n">
        <f aca="false">I259+N259+S259+X259+AC259+AH259+AM259+AR259+AW259+BB259</f>
        <v>0</v>
      </c>
      <c r="BD259" s="55" t="n">
        <f aca="false">ROUND((E259+F259-I259)+(J259+K259-N259)+(O259+P259-S259)+(T259+U259-X259)+(Y259+Z259-AC259)+(AD259+AE259-AH259)+(AI259+AJ259-AM259)+(AN259+AO259-AR259)+(AS259+AT259-AW259)+(AX259+AY259-BB259),2)</f>
        <v>0</v>
      </c>
      <c r="BE259" s="25" t="str">
        <f aca="false">IF(H259&gt;0.005,$C$5,IF(M259&gt;0.005,$C$6,IF(R259&gt;0.005,$C$7,IF(W259&gt;0.005,$C$8,IF(AB259&gt;0.005,$C$9,IF(AG259&gt;0.005,$C$10,IF(AL259&gt;0.005,$C$11,IF(AQ259&gt;0.005,$C$12,IF(AV259&gt;0.005,$C$13,IF(BA259&gt;0.005,$C$14,""))))))))))</f>
        <v/>
      </c>
    </row>
    <row r="260" customFormat="false" ht="15" hidden="false" customHeight="false" outlineLevel="0" collapsed="false">
      <c r="A260" s="24" t="n">
        <v>237</v>
      </c>
      <c r="B260" s="54" t="n">
        <f aca="false">EDATE($C$17,A260-1)</f>
        <v>53509</v>
      </c>
      <c r="C260" s="55" t="n">
        <f aca="false">G260+L260+Q260+V260+AA260+AF260+AK260+AP260+AU260+AZ260</f>
        <v>0</v>
      </c>
      <c r="D260" s="55" t="n">
        <f aca="false">MAX(0,$C$16-C260)</f>
        <v>5822</v>
      </c>
      <c r="E260" s="55" t="n">
        <f aca="false">ROUND(MAX(0,E259+F259-I259),2)</f>
        <v>0</v>
      </c>
      <c r="F260" s="55" t="n">
        <f aca="false">ROUND(E260*$E$5/12,2)</f>
        <v>0</v>
      </c>
      <c r="G260" s="55" t="n">
        <f aca="false">MIN($F$5,E260+F260)</f>
        <v>0</v>
      </c>
      <c r="H260" s="55" t="n">
        <f aca="false">MAX(0,MIN(E260+F260-G260,$D260))</f>
        <v>0</v>
      </c>
      <c r="I260" s="55" t="n">
        <f aca="false">G260+H260</f>
        <v>0</v>
      </c>
      <c r="J260" s="55" t="n">
        <f aca="false">ROUND(MAX(0,J259+K259-N259),2)</f>
        <v>0</v>
      </c>
      <c r="K260" s="55" t="n">
        <f aca="false">ROUND(J260*$E$6/12,2)</f>
        <v>0</v>
      </c>
      <c r="L260" s="55" t="n">
        <f aca="false">MIN($F$6,J260+K260)</f>
        <v>0</v>
      </c>
      <c r="M260" s="55" t="n">
        <f aca="false">MAX(0,MIN(J260+K260-L260,$D260-(H260)))</f>
        <v>0</v>
      </c>
      <c r="N260" s="55" t="n">
        <f aca="false">L260+M260</f>
        <v>0</v>
      </c>
      <c r="O260" s="55" t="n">
        <f aca="false">ROUND(MAX(0,O259+P259-S259),2)</f>
        <v>0</v>
      </c>
      <c r="P260" s="55" t="n">
        <f aca="false">ROUND(O260*$E$7/12,2)</f>
        <v>0</v>
      </c>
      <c r="Q260" s="55" t="n">
        <f aca="false">MIN($F$7,O260+P260)</f>
        <v>0</v>
      </c>
      <c r="R260" s="55" t="n">
        <f aca="false">MAX(0,MIN(O260+P260-Q260,$D260-(H260+M260)))</f>
        <v>0</v>
      </c>
      <c r="S260" s="55" t="n">
        <f aca="false">Q260+R260</f>
        <v>0</v>
      </c>
      <c r="T260" s="55" t="n">
        <f aca="false">ROUND(MAX(0,T259+U259-X259),2)</f>
        <v>0</v>
      </c>
      <c r="U260" s="55" t="n">
        <f aca="false">ROUND(T260*$E$8/12,2)</f>
        <v>0</v>
      </c>
      <c r="V260" s="55" t="n">
        <f aca="false">MIN($F$8,T260+U260)</f>
        <v>0</v>
      </c>
      <c r="W260" s="55" t="n">
        <f aca="false">MAX(0,MIN(T260+U260-V260,$D260-(H260+M260+R260)))</f>
        <v>0</v>
      </c>
      <c r="X260" s="55" t="n">
        <f aca="false">V260+W260</f>
        <v>0</v>
      </c>
      <c r="Y260" s="55" t="n">
        <f aca="false">ROUND(MAX(0,Y259+Z259-AC259),2)</f>
        <v>0</v>
      </c>
      <c r="Z260" s="55" t="n">
        <f aca="false">ROUND(Y260*$E$9/12,2)</f>
        <v>0</v>
      </c>
      <c r="AA260" s="55" t="n">
        <f aca="false">MIN($F$9,Y260+Z260)</f>
        <v>0</v>
      </c>
      <c r="AB260" s="55" t="n">
        <f aca="false">MAX(0,MIN(Y260+Z260-AA260,$D260-(H260+M260+R260+W260)))</f>
        <v>0</v>
      </c>
      <c r="AC260" s="55" t="n">
        <f aca="false">AA260+AB260</f>
        <v>0</v>
      </c>
      <c r="AD260" s="55" t="n">
        <f aca="false">ROUND(MAX(0,AD259+AE259-AH259),2)</f>
        <v>0</v>
      </c>
      <c r="AE260" s="55" t="n">
        <f aca="false">ROUND(AD260*$E$10/12,2)</f>
        <v>0</v>
      </c>
      <c r="AF260" s="55" t="n">
        <f aca="false">MIN($F$10,AD260+AE260)</f>
        <v>0</v>
      </c>
      <c r="AG260" s="55" t="n">
        <f aca="false">MAX(0,MIN(AD260+AE260-AF260,$D260-(H260+M260+R260+W260+AB260)))</f>
        <v>0</v>
      </c>
      <c r="AH260" s="55" t="n">
        <f aca="false">AF260+AG260</f>
        <v>0</v>
      </c>
      <c r="AI260" s="55" t="n">
        <f aca="false">ROUND(MAX(0,AI259+AJ259-AM259),2)</f>
        <v>0</v>
      </c>
      <c r="AJ260" s="55" t="n">
        <f aca="false">ROUND(AI260*$E$11/12,2)</f>
        <v>0</v>
      </c>
      <c r="AK260" s="55" t="n">
        <f aca="false">MIN($F$11,AI260+AJ260)</f>
        <v>0</v>
      </c>
      <c r="AL260" s="55" t="n">
        <f aca="false">MAX(0,MIN(AI260+AJ260-AK260,$D260-(H260+M260+R260+W260+AB260+AG260)))</f>
        <v>0</v>
      </c>
      <c r="AM260" s="55" t="n">
        <f aca="false">AK260+AL260</f>
        <v>0</v>
      </c>
      <c r="AN260" s="55" t="n">
        <f aca="false">ROUND(MAX(0,AN259+AO259-AR259),2)</f>
        <v>0</v>
      </c>
      <c r="AO260" s="55" t="n">
        <f aca="false">ROUND(AN260*$E$12/12,2)</f>
        <v>0</v>
      </c>
      <c r="AP260" s="55" t="n">
        <f aca="false">MIN($F$12,AN260+AO260)</f>
        <v>0</v>
      </c>
      <c r="AQ260" s="55" t="n">
        <f aca="false">MAX(0,MIN(AN260+AO260-AP260,$D260-(H260+M260+R260+W260+AB260+AG260+AL260)))</f>
        <v>0</v>
      </c>
      <c r="AR260" s="55" t="n">
        <f aca="false">AP260+AQ260</f>
        <v>0</v>
      </c>
      <c r="AS260" s="55" t="n">
        <f aca="false">ROUND(MAX(0,AS259+AT259-AW259),2)</f>
        <v>0</v>
      </c>
      <c r="AT260" s="55" t="n">
        <f aca="false">ROUND(AS260*$E$13/12,2)</f>
        <v>0</v>
      </c>
      <c r="AU260" s="55" t="n">
        <f aca="false">MIN($F$13,AS260+AT260)</f>
        <v>0</v>
      </c>
      <c r="AV260" s="55" t="n">
        <f aca="false">MAX(0,MIN(AS260+AT260-AU260,$D260-(H260+M260+R260+W260+AB260+AG260+AL260+AQ260)))</f>
        <v>0</v>
      </c>
      <c r="AW260" s="55" t="n">
        <f aca="false">AU260+AV260</f>
        <v>0</v>
      </c>
      <c r="AX260" s="55" t="n">
        <f aca="false">ROUND(MAX(0,AX259+AY259-BB259),2)</f>
        <v>0</v>
      </c>
      <c r="AY260" s="55" t="n">
        <f aca="false">ROUND(AX260*$E$14/12,2)</f>
        <v>0</v>
      </c>
      <c r="AZ260" s="55" t="n">
        <f aca="false">MIN($F$14,AX260+AY260)</f>
        <v>0</v>
      </c>
      <c r="BA260" s="55" t="n">
        <f aca="false">MAX(0,MIN(AX260+AY260-AZ260,$D260-(H260+M260+R260+W260+AB260+AG260+AL260+AQ260+AV260)))</f>
        <v>0</v>
      </c>
      <c r="BB260" s="55" t="n">
        <f aca="false">AZ260+BA260</f>
        <v>0</v>
      </c>
      <c r="BC260" s="55" t="n">
        <f aca="false">I260+N260+S260+X260+AC260+AH260+AM260+AR260+AW260+BB260</f>
        <v>0</v>
      </c>
      <c r="BD260" s="55" t="n">
        <f aca="false">ROUND((E260+F260-I260)+(J260+K260-N260)+(O260+P260-S260)+(T260+U260-X260)+(Y260+Z260-AC260)+(AD260+AE260-AH260)+(AI260+AJ260-AM260)+(AN260+AO260-AR260)+(AS260+AT260-AW260)+(AX260+AY260-BB260),2)</f>
        <v>0</v>
      </c>
      <c r="BE260" s="25" t="str">
        <f aca="false">IF(H260&gt;0.005,$C$5,IF(M260&gt;0.005,$C$6,IF(R260&gt;0.005,$C$7,IF(W260&gt;0.005,$C$8,IF(AB260&gt;0.005,$C$9,IF(AG260&gt;0.005,$C$10,IF(AL260&gt;0.005,$C$11,IF(AQ260&gt;0.005,$C$12,IF(AV260&gt;0.005,$C$13,IF(BA260&gt;0.005,$C$14,""))))))))))</f>
        <v/>
      </c>
    </row>
    <row r="261" customFormat="false" ht="15" hidden="false" customHeight="false" outlineLevel="0" collapsed="false">
      <c r="A261" s="24" t="n">
        <v>238</v>
      </c>
      <c r="B261" s="54" t="n">
        <f aca="false">EDATE($C$17,A261-1)</f>
        <v>53540</v>
      </c>
      <c r="C261" s="55" t="n">
        <f aca="false">G261+L261+Q261+V261+AA261+AF261+AK261+AP261+AU261+AZ261</f>
        <v>0</v>
      </c>
      <c r="D261" s="55" t="n">
        <f aca="false">MAX(0,$C$16-C261)</f>
        <v>5822</v>
      </c>
      <c r="E261" s="55" t="n">
        <f aca="false">ROUND(MAX(0,E260+F260-I260),2)</f>
        <v>0</v>
      </c>
      <c r="F261" s="55" t="n">
        <f aca="false">ROUND(E261*$E$5/12,2)</f>
        <v>0</v>
      </c>
      <c r="G261" s="55" t="n">
        <f aca="false">MIN($F$5,E261+F261)</f>
        <v>0</v>
      </c>
      <c r="H261" s="55" t="n">
        <f aca="false">MAX(0,MIN(E261+F261-G261,$D261))</f>
        <v>0</v>
      </c>
      <c r="I261" s="55" t="n">
        <f aca="false">G261+H261</f>
        <v>0</v>
      </c>
      <c r="J261" s="55" t="n">
        <f aca="false">ROUND(MAX(0,J260+K260-N260),2)</f>
        <v>0</v>
      </c>
      <c r="K261" s="55" t="n">
        <f aca="false">ROUND(J261*$E$6/12,2)</f>
        <v>0</v>
      </c>
      <c r="L261" s="55" t="n">
        <f aca="false">MIN($F$6,J261+K261)</f>
        <v>0</v>
      </c>
      <c r="M261" s="55" t="n">
        <f aca="false">MAX(0,MIN(J261+K261-L261,$D261-(H261)))</f>
        <v>0</v>
      </c>
      <c r="N261" s="55" t="n">
        <f aca="false">L261+M261</f>
        <v>0</v>
      </c>
      <c r="O261" s="55" t="n">
        <f aca="false">ROUND(MAX(0,O260+P260-S260),2)</f>
        <v>0</v>
      </c>
      <c r="P261" s="55" t="n">
        <f aca="false">ROUND(O261*$E$7/12,2)</f>
        <v>0</v>
      </c>
      <c r="Q261" s="55" t="n">
        <f aca="false">MIN($F$7,O261+P261)</f>
        <v>0</v>
      </c>
      <c r="R261" s="55" t="n">
        <f aca="false">MAX(0,MIN(O261+P261-Q261,$D261-(H261+M261)))</f>
        <v>0</v>
      </c>
      <c r="S261" s="55" t="n">
        <f aca="false">Q261+R261</f>
        <v>0</v>
      </c>
      <c r="T261" s="55" t="n">
        <f aca="false">ROUND(MAX(0,T260+U260-X260),2)</f>
        <v>0</v>
      </c>
      <c r="U261" s="55" t="n">
        <f aca="false">ROUND(T261*$E$8/12,2)</f>
        <v>0</v>
      </c>
      <c r="V261" s="55" t="n">
        <f aca="false">MIN($F$8,T261+U261)</f>
        <v>0</v>
      </c>
      <c r="W261" s="55" t="n">
        <f aca="false">MAX(0,MIN(T261+U261-V261,$D261-(H261+M261+R261)))</f>
        <v>0</v>
      </c>
      <c r="X261" s="55" t="n">
        <f aca="false">V261+W261</f>
        <v>0</v>
      </c>
      <c r="Y261" s="55" t="n">
        <f aca="false">ROUND(MAX(0,Y260+Z260-AC260),2)</f>
        <v>0</v>
      </c>
      <c r="Z261" s="55" t="n">
        <f aca="false">ROUND(Y261*$E$9/12,2)</f>
        <v>0</v>
      </c>
      <c r="AA261" s="55" t="n">
        <f aca="false">MIN($F$9,Y261+Z261)</f>
        <v>0</v>
      </c>
      <c r="AB261" s="55" t="n">
        <f aca="false">MAX(0,MIN(Y261+Z261-AA261,$D261-(H261+M261+R261+W261)))</f>
        <v>0</v>
      </c>
      <c r="AC261" s="55" t="n">
        <f aca="false">AA261+AB261</f>
        <v>0</v>
      </c>
      <c r="AD261" s="55" t="n">
        <f aca="false">ROUND(MAX(0,AD260+AE260-AH260),2)</f>
        <v>0</v>
      </c>
      <c r="AE261" s="55" t="n">
        <f aca="false">ROUND(AD261*$E$10/12,2)</f>
        <v>0</v>
      </c>
      <c r="AF261" s="55" t="n">
        <f aca="false">MIN($F$10,AD261+AE261)</f>
        <v>0</v>
      </c>
      <c r="AG261" s="55" t="n">
        <f aca="false">MAX(0,MIN(AD261+AE261-AF261,$D261-(H261+M261+R261+W261+AB261)))</f>
        <v>0</v>
      </c>
      <c r="AH261" s="55" t="n">
        <f aca="false">AF261+AG261</f>
        <v>0</v>
      </c>
      <c r="AI261" s="55" t="n">
        <f aca="false">ROUND(MAX(0,AI260+AJ260-AM260),2)</f>
        <v>0</v>
      </c>
      <c r="AJ261" s="55" t="n">
        <f aca="false">ROUND(AI261*$E$11/12,2)</f>
        <v>0</v>
      </c>
      <c r="AK261" s="55" t="n">
        <f aca="false">MIN($F$11,AI261+AJ261)</f>
        <v>0</v>
      </c>
      <c r="AL261" s="55" t="n">
        <f aca="false">MAX(0,MIN(AI261+AJ261-AK261,$D261-(H261+M261+R261+W261+AB261+AG261)))</f>
        <v>0</v>
      </c>
      <c r="AM261" s="55" t="n">
        <f aca="false">AK261+AL261</f>
        <v>0</v>
      </c>
      <c r="AN261" s="55" t="n">
        <f aca="false">ROUND(MAX(0,AN260+AO260-AR260),2)</f>
        <v>0</v>
      </c>
      <c r="AO261" s="55" t="n">
        <f aca="false">ROUND(AN261*$E$12/12,2)</f>
        <v>0</v>
      </c>
      <c r="AP261" s="55" t="n">
        <f aca="false">MIN($F$12,AN261+AO261)</f>
        <v>0</v>
      </c>
      <c r="AQ261" s="55" t="n">
        <f aca="false">MAX(0,MIN(AN261+AO261-AP261,$D261-(H261+M261+R261+W261+AB261+AG261+AL261)))</f>
        <v>0</v>
      </c>
      <c r="AR261" s="55" t="n">
        <f aca="false">AP261+AQ261</f>
        <v>0</v>
      </c>
      <c r="AS261" s="55" t="n">
        <f aca="false">ROUND(MAX(0,AS260+AT260-AW260),2)</f>
        <v>0</v>
      </c>
      <c r="AT261" s="55" t="n">
        <f aca="false">ROUND(AS261*$E$13/12,2)</f>
        <v>0</v>
      </c>
      <c r="AU261" s="55" t="n">
        <f aca="false">MIN($F$13,AS261+AT261)</f>
        <v>0</v>
      </c>
      <c r="AV261" s="55" t="n">
        <f aca="false">MAX(0,MIN(AS261+AT261-AU261,$D261-(H261+M261+R261+W261+AB261+AG261+AL261+AQ261)))</f>
        <v>0</v>
      </c>
      <c r="AW261" s="55" t="n">
        <f aca="false">AU261+AV261</f>
        <v>0</v>
      </c>
      <c r="AX261" s="55" t="n">
        <f aca="false">ROUND(MAX(0,AX260+AY260-BB260),2)</f>
        <v>0</v>
      </c>
      <c r="AY261" s="55" t="n">
        <f aca="false">ROUND(AX261*$E$14/12,2)</f>
        <v>0</v>
      </c>
      <c r="AZ261" s="55" t="n">
        <f aca="false">MIN($F$14,AX261+AY261)</f>
        <v>0</v>
      </c>
      <c r="BA261" s="55" t="n">
        <f aca="false">MAX(0,MIN(AX261+AY261-AZ261,$D261-(H261+M261+R261+W261+AB261+AG261+AL261+AQ261+AV261)))</f>
        <v>0</v>
      </c>
      <c r="BB261" s="55" t="n">
        <f aca="false">AZ261+BA261</f>
        <v>0</v>
      </c>
      <c r="BC261" s="55" t="n">
        <f aca="false">I261+N261+S261+X261+AC261+AH261+AM261+AR261+AW261+BB261</f>
        <v>0</v>
      </c>
      <c r="BD261" s="55" t="n">
        <f aca="false">ROUND((E261+F261-I261)+(J261+K261-N261)+(O261+P261-S261)+(T261+U261-X261)+(Y261+Z261-AC261)+(AD261+AE261-AH261)+(AI261+AJ261-AM261)+(AN261+AO261-AR261)+(AS261+AT261-AW261)+(AX261+AY261-BB261),2)</f>
        <v>0</v>
      </c>
      <c r="BE261" s="25" t="str">
        <f aca="false">IF(H261&gt;0.005,$C$5,IF(M261&gt;0.005,$C$6,IF(R261&gt;0.005,$C$7,IF(W261&gt;0.005,$C$8,IF(AB261&gt;0.005,$C$9,IF(AG261&gt;0.005,$C$10,IF(AL261&gt;0.005,$C$11,IF(AQ261&gt;0.005,$C$12,IF(AV261&gt;0.005,$C$13,IF(BA261&gt;0.005,$C$14,""))))))))))</f>
        <v/>
      </c>
    </row>
    <row r="262" customFormat="false" ht="15" hidden="false" customHeight="false" outlineLevel="0" collapsed="false">
      <c r="A262" s="24" t="n">
        <v>239</v>
      </c>
      <c r="B262" s="54" t="n">
        <f aca="false">EDATE($C$17,A262-1)</f>
        <v>53571</v>
      </c>
      <c r="C262" s="55" t="n">
        <f aca="false">G262+L262+Q262+V262+AA262+AF262+AK262+AP262+AU262+AZ262</f>
        <v>0</v>
      </c>
      <c r="D262" s="55" t="n">
        <f aca="false">MAX(0,$C$16-C262)</f>
        <v>5822</v>
      </c>
      <c r="E262" s="55" t="n">
        <f aca="false">ROUND(MAX(0,E261+F261-I261),2)</f>
        <v>0</v>
      </c>
      <c r="F262" s="55" t="n">
        <f aca="false">ROUND(E262*$E$5/12,2)</f>
        <v>0</v>
      </c>
      <c r="G262" s="55" t="n">
        <f aca="false">MIN($F$5,E262+F262)</f>
        <v>0</v>
      </c>
      <c r="H262" s="55" t="n">
        <f aca="false">MAX(0,MIN(E262+F262-G262,$D262))</f>
        <v>0</v>
      </c>
      <c r="I262" s="55" t="n">
        <f aca="false">G262+H262</f>
        <v>0</v>
      </c>
      <c r="J262" s="55" t="n">
        <f aca="false">ROUND(MAX(0,J261+K261-N261),2)</f>
        <v>0</v>
      </c>
      <c r="K262" s="55" t="n">
        <f aca="false">ROUND(J262*$E$6/12,2)</f>
        <v>0</v>
      </c>
      <c r="L262" s="55" t="n">
        <f aca="false">MIN($F$6,J262+K262)</f>
        <v>0</v>
      </c>
      <c r="M262" s="55" t="n">
        <f aca="false">MAX(0,MIN(J262+K262-L262,$D262-(H262)))</f>
        <v>0</v>
      </c>
      <c r="N262" s="55" t="n">
        <f aca="false">L262+M262</f>
        <v>0</v>
      </c>
      <c r="O262" s="55" t="n">
        <f aca="false">ROUND(MAX(0,O261+P261-S261),2)</f>
        <v>0</v>
      </c>
      <c r="P262" s="55" t="n">
        <f aca="false">ROUND(O262*$E$7/12,2)</f>
        <v>0</v>
      </c>
      <c r="Q262" s="55" t="n">
        <f aca="false">MIN($F$7,O262+P262)</f>
        <v>0</v>
      </c>
      <c r="R262" s="55" t="n">
        <f aca="false">MAX(0,MIN(O262+P262-Q262,$D262-(H262+M262)))</f>
        <v>0</v>
      </c>
      <c r="S262" s="55" t="n">
        <f aca="false">Q262+R262</f>
        <v>0</v>
      </c>
      <c r="T262" s="55" t="n">
        <f aca="false">ROUND(MAX(0,T261+U261-X261),2)</f>
        <v>0</v>
      </c>
      <c r="U262" s="55" t="n">
        <f aca="false">ROUND(T262*$E$8/12,2)</f>
        <v>0</v>
      </c>
      <c r="V262" s="55" t="n">
        <f aca="false">MIN($F$8,T262+U262)</f>
        <v>0</v>
      </c>
      <c r="W262" s="55" t="n">
        <f aca="false">MAX(0,MIN(T262+U262-V262,$D262-(H262+M262+R262)))</f>
        <v>0</v>
      </c>
      <c r="X262" s="55" t="n">
        <f aca="false">V262+W262</f>
        <v>0</v>
      </c>
      <c r="Y262" s="55" t="n">
        <f aca="false">ROUND(MAX(0,Y261+Z261-AC261),2)</f>
        <v>0</v>
      </c>
      <c r="Z262" s="55" t="n">
        <f aca="false">ROUND(Y262*$E$9/12,2)</f>
        <v>0</v>
      </c>
      <c r="AA262" s="55" t="n">
        <f aca="false">MIN($F$9,Y262+Z262)</f>
        <v>0</v>
      </c>
      <c r="AB262" s="55" t="n">
        <f aca="false">MAX(0,MIN(Y262+Z262-AA262,$D262-(H262+M262+R262+W262)))</f>
        <v>0</v>
      </c>
      <c r="AC262" s="55" t="n">
        <f aca="false">AA262+AB262</f>
        <v>0</v>
      </c>
      <c r="AD262" s="55" t="n">
        <f aca="false">ROUND(MAX(0,AD261+AE261-AH261),2)</f>
        <v>0</v>
      </c>
      <c r="AE262" s="55" t="n">
        <f aca="false">ROUND(AD262*$E$10/12,2)</f>
        <v>0</v>
      </c>
      <c r="AF262" s="55" t="n">
        <f aca="false">MIN($F$10,AD262+AE262)</f>
        <v>0</v>
      </c>
      <c r="AG262" s="55" t="n">
        <f aca="false">MAX(0,MIN(AD262+AE262-AF262,$D262-(H262+M262+R262+W262+AB262)))</f>
        <v>0</v>
      </c>
      <c r="AH262" s="55" t="n">
        <f aca="false">AF262+AG262</f>
        <v>0</v>
      </c>
      <c r="AI262" s="55" t="n">
        <f aca="false">ROUND(MAX(0,AI261+AJ261-AM261),2)</f>
        <v>0</v>
      </c>
      <c r="AJ262" s="55" t="n">
        <f aca="false">ROUND(AI262*$E$11/12,2)</f>
        <v>0</v>
      </c>
      <c r="AK262" s="55" t="n">
        <f aca="false">MIN($F$11,AI262+AJ262)</f>
        <v>0</v>
      </c>
      <c r="AL262" s="55" t="n">
        <f aca="false">MAX(0,MIN(AI262+AJ262-AK262,$D262-(H262+M262+R262+W262+AB262+AG262)))</f>
        <v>0</v>
      </c>
      <c r="AM262" s="55" t="n">
        <f aca="false">AK262+AL262</f>
        <v>0</v>
      </c>
      <c r="AN262" s="55" t="n">
        <f aca="false">ROUND(MAX(0,AN261+AO261-AR261),2)</f>
        <v>0</v>
      </c>
      <c r="AO262" s="55" t="n">
        <f aca="false">ROUND(AN262*$E$12/12,2)</f>
        <v>0</v>
      </c>
      <c r="AP262" s="55" t="n">
        <f aca="false">MIN($F$12,AN262+AO262)</f>
        <v>0</v>
      </c>
      <c r="AQ262" s="55" t="n">
        <f aca="false">MAX(0,MIN(AN262+AO262-AP262,$D262-(H262+M262+R262+W262+AB262+AG262+AL262)))</f>
        <v>0</v>
      </c>
      <c r="AR262" s="55" t="n">
        <f aca="false">AP262+AQ262</f>
        <v>0</v>
      </c>
      <c r="AS262" s="55" t="n">
        <f aca="false">ROUND(MAX(0,AS261+AT261-AW261),2)</f>
        <v>0</v>
      </c>
      <c r="AT262" s="55" t="n">
        <f aca="false">ROUND(AS262*$E$13/12,2)</f>
        <v>0</v>
      </c>
      <c r="AU262" s="55" t="n">
        <f aca="false">MIN($F$13,AS262+AT262)</f>
        <v>0</v>
      </c>
      <c r="AV262" s="55" t="n">
        <f aca="false">MAX(0,MIN(AS262+AT262-AU262,$D262-(H262+M262+R262+W262+AB262+AG262+AL262+AQ262)))</f>
        <v>0</v>
      </c>
      <c r="AW262" s="55" t="n">
        <f aca="false">AU262+AV262</f>
        <v>0</v>
      </c>
      <c r="AX262" s="55" t="n">
        <f aca="false">ROUND(MAX(0,AX261+AY261-BB261),2)</f>
        <v>0</v>
      </c>
      <c r="AY262" s="55" t="n">
        <f aca="false">ROUND(AX262*$E$14/12,2)</f>
        <v>0</v>
      </c>
      <c r="AZ262" s="55" t="n">
        <f aca="false">MIN($F$14,AX262+AY262)</f>
        <v>0</v>
      </c>
      <c r="BA262" s="55" t="n">
        <f aca="false">MAX(0,MIN(AX262+AY262-AZ262,$D262-(H262+M262+R262+W262+AB262+AG262+AL262+AQ262+AV262)))</f>
        <v>0</v>
      </c>
      <c r="BB262" s="55" t="n">
        <f aca="false">AZ262+BA262</f>
        <v>0</v>
      </c>
      <c r="BC262" s="55" t="n">
        <f aca="false">I262+N262+S262+X262+AC262+AH262+AM262+AR262+AW262+BB262</f>
        <v>0</v>
      </c>
      <c r="BD262" s="55" t="n">
        <f aca="false">ROUND((E262+F262-I262)+(J262+K262-N262)+(O262+P262-S262)+(T262+U262-X262)+(Y262+Z262-AC262)+(AD262+AE262-AH262)+(AI262+AJ262-AM262)+(AN262+AO262-AR262)+(AS262+AT262-AW262)+(AX262+AY262-BB262),2)</f>
        <v>0</v>
      </c>
      <c r="BE262" s="25" t="str">
        <f aca="false">IF(H262&gt;0.005,$C$5,IF(M262&gt;0.005,$C$6,IF(R262&gt;0.005,$C$7,IF(W262&gt;0.005,$C$8,IF(AB262&gt;0.005,$C$9,IF(AG262&gt;0.005,$C$10,IF(AL262&gt;0.005,$C$11,IF(AQ262&gt;0.005,$C$12,IF(AV262&gt;0.005,$C$13,IF(BA262&gt;0.005,$C$14,""))))))))))</f>
        <v/>
      </c>
    </row>
    <row r="263" customFormat="false" ht="15" hidden="false" customHeight="false" outlineLevel="0" collapsed="false">
      <c r="A263" s="24" t="n">
        <v>240</v>
      </c>
      <c r="B263" s="54" t="n">
        <f aca="false">EDATE($C$17,A263-1)</f>
        <v>53601</v>
      </c>
      <c r="C263" s="55" t="n">
        <f aca="false">G263+L263+Q263+V263+AA263+AF263+AK263+AP263+AU263+AZ263</f>
        <v>0</v>
      </c>
      <c r="D263" s="55" t="n">
        <f aca="false">MAX(0,$C$16-C263)</f>
        <v>5822</v>
      </c>
      <c r="E263" s="55" t="n">
        <f aca="false">ROUND(MAX(0,E262+F262-I262),2)</f>
        <v>0</v>
      </c>
      <c r="F263" s="55" t="n">
        <f aca="false">ROUND(E263*$E$5/12,2)</f>
        <v>0</v>
      </c>
      <c r="G263" s="55" t="n">
        <f aca="false">MIN($F$5,E263+F263)</f>
        <v>0</v>
      </c>
      <c r="H263" s="55" t="n">
        <f aca="false">MAX(0,MIN(E263+F263-G263,$D263))</f>
        <v>0</v>
      </c>
      <c r="I263" s="55" t="n">
        <f aca="false">G263+H263</f>
        <v>0</v>
      </c>
      <c r="J263" s="55" t="n">
        <f aca="false">ROUND(MAX(0,J262+K262-N262),2)</f>
        <v>0</v>
      </c>
      <c r="K263" s="55" t="n">
        <f aca="false">ROUND(J263*$E$6/12,2)</f>
        <v>0</v>
      </c>
      <c r="L263" s="55" t="n">
        <f aca="false">MIN($F$6,J263+K263)</f>
        <v>0</v>
      </c>
      <c r="M263" s="55" t="n">
        <f aca="false">MAX(0,MIN(J263+K263-L263,$D263-(H263)))</f>
        <v>0</v>
      </c>
      <c r="N263" s="55" t="n">
        <f aca="false">L263+M263</f>
        <v>0</v>
      </c>
      <c r="O263" s="55" t="n">
        <f aca="false">ROUND(MAX(0,O262+P262-S262),2)</f>
        <v>0</v>
      </c>
      <c r="P263" s="55" t="n">
        <f aca="false">ROUND(O263*$E$7/12,2)</f>
        <v>0</v>
      </c>
      <c r="Q263" s="55" t="n">
        <f aca="false">MIN($F$7,O263+P263)</f>
        <v>0</v>
      </c>
      <c r="R263" s="55" t="n">
        <f aca="false">MAX(0,MIN(O263+P263-Q263,$D263-(H263+M263)))</f>
        <v>0</v>
      </c>
      <c r="S263" s="55" t="n">
        <f aca="false">Q263+R263</f>
        <v>0</v>
      </c>
      <c r="T263" s="55" t="n">
        <f aca="false">ROUND(MAX(0,T262+U262-X262),2)</f>
        <v>0</v>
      </c>
      <c r="U263" s="55" t="n">
        <f aca="false">ROUND(T263*$E$8/12,2)</f>
        <v>0</v>
      </c>
      <c r="V263" s="55" t="n">
        <f aca="false">MIN($F$8,T263+U263)</f>
        <v>0</v>
      </c>
      <c r="W263" s="55" t="n">
        <f aca="false">MAX(0,MIN(T263+U263-V263,$D263-(H263+M263+R263)))</f>
        <v>0</v>
      </c>
      <c r="X263" s="55" t="n">
        <f aca="false">V263+W263</f>
        <v>0</v>
      </c>
      <c r="Y263" s="55" t="n">
        <f aca="false">ROUND(MAX(0,Y262+Z262-AC262),2)</f>
        <v>0</v>
      </c>
      <c r="Z263" s="55" t="n">
        <f aca="false">ROUND(Y263*$E$9/12,2)</f>
        <v>0</v>
      </c>
      <c r="AA263" s="55" t="n">
        <f aca="false">MIN($F$9,Y263+Z263)</f>
        <v>0</v>
      </c>
      <c r="AB263" s="55" t="n">
        <f aca="false">MAX(0,MIN(Y263+Z263-AA263,$D263-(H263+M263+R263+W263)))</f>
        <v>0</v>
      </c>
      <c r="AC263" s="55" t="n">
        <f aca="false">AA263+AB263</f>
        <v>0</v>
      </c>
      <c r="AD263" s="55" t="n">
        <f aca="false">ROUND(MAX(0,AD262+AE262-AH262),2)</f>
        <v>0</v>
      </c>
      <c r="AE263" s="55" t="n">
        <f aca="false">ROUND(AD263*$E$10/12,2)</f>
        <v>0</v>
      </c>
      <c r="AF263" s="55" t="n">
        <f aca="false">MIN($F$10,AD263+AE263)</f>
        <v>0</v>
      </c>
      <c r="AG263" s="55" t="n">
        <f aca="false">MAX(0,MIN(AD263+AE263-AF263,$D263-(H263+M263+R263+W263+AB263)))</f>
        <v>0</v>
      </c>
      <c r="AH263" s="55" t="n">
        <f aca="false">AF263+AG263</f>
        <v>0</v>
      </c>
      <c r="AI263" s="55" t="n">
        <f aca="false">ROUND(MAX(0,AI262+AJ262-AM262),2)</f>
        <v>0</v>
      </c>
      <c r="AJ263" s="55" t="n">
        <f aca="false">ROUND(AI263*$E$11/12,2)</f>
        <v>0</v>
      </c>
      <c r="AK263" s="55" t="n">
        <f aca="false">MIN($F$11,AI263+AJ263)</f>
        <v>0</v>
      </c>
      <c r="AL263" s="55" t="n">
        <f aca="false">MAX(0,MIN(AI263+AJ263-AK263,$D263-(H263+M263+R263+W263+AB263+AG263)))</f>
        <v>0</v>
      </c>
      <c r="AM263" s="55" t="n">
        <f aca="false">AK263+AL263</f>
        <v>0</v>
      </c>
      <c r="AN263" s="55" t="n">
        <f aca="false">ROUND(MAX(0,AN262+AO262-AR262),2)</f>
        <v>0</v>
      </c>
      <c r="AO263" s="55" t="n">
        <f aca="false">ROUND(AN263*$E$12/12,2)</f>
        <v>0</v>
      </c>
      <c r="AP263" s="55" t="n">
        <f aca="false">MIN($F$12,AN263+AO263)</f>
        <v>0</v>
      </c>
      <c r="AQ263" s="55" t="n">
        <f aca="false">MAX(0,MIN(AN263+AO263-AP263,$D263-(H263+M263+R263+W263+AB263+AG263+AL263)))</f>
        <v>0</v>
      </c>
      <c r="AR263" s="55" t="n">
        <f aca="false">AP263+AQ263</f>
        <v>0</v>
      </c>
      <c r="AS263" s="55" t="n">
        <f aca="false">ROUND(MAX(0,AS262+AT262-AW262),2)</f>
        <v>0</v>
      </c>
      <c r="AT263" s="55" t="n">
        <f aca="false">ROUND(AS263*$E$13/12,2)</f>
        <v>0</v>
      </c>
      <c r="AU263" s="55" t="n">
        <f aca="false">MIN($F$13,AS263+AT263)</f>
        <v>0</v>
      </c>
      <c r="AV263" s="55" t="n">
        <f aca="false">MAX(0,MIN(AS263+AT263-AU263,$D263-(H263+M263+R263+W263+AB263+AG263+AL263+AQ263)))</f>
        <v>0</v>
      </c>
      <c r="AW263" s="55" t="n">
        <f aca="false">AU263+AV263</f>
        <v>0</v>
      </c>
      <c r="AX263" s="55" t="n">
        <f aca="false">ROUND(MAX(0,AX262+AY262-BB262),2)</f>
        <v>0</v>
      </c>
      <c r="AY263" s="55" t="n">
        <f aca="false">ROUND(AX263*$E$14/12,2)</f>
        <v>0</v>
      </c>
      <c r="AZ263" s="55" t="n">
        <f aca="false">MIN($F$14,AX263+AY263)</f>
        <v>0</v>
      </c>
      <c r="BA263" s="55" t="n">
        <f aca="false">MAX(0,MIN(AX263+AY263-AZ263,$D263-(H263+M263+R263+W263+AB263+AG263+AL263+AQ263+AV263)))</f>
        <v>0</v>
      </c>
      <c r="BB263" s="55" t="n">
        <f aca="false">AZ263+BA263</f>
        <v>0</v>
      </c>
      <c r="BC263" s="55" t="n">
        <f aca="false">I263+N263+S263+X263+AC263+AH263+AM263+AR263+AW263+BB263</f>
        <v>0</v>
      </c>
      <c r="BD263" s="55" t="n">
        <f aca="false">ROUND((E263+F263-I263)+(J263+K263-N263)+(O263+P263-S263)+(T263+U263-X263)+(Y263+Z263-AC263)+(AD263+AE263-AH263)+(AI263+AJ263-AM263)+(AN263+AO263-AR263)+(AS263+AT263-AW263)+(AX263+AY263-BB263),2)</f>
        <v>0</v>
      </c>
      <c r="BE263" s="25" t="str">
        <f aca="false">IF(H263&gt;0.005,$C$5,IF(M263&gt;0.005,$C$6,IF(R263&gt;0.005,$C$7,IF(W263&gt;0.005,$C$8,IF(AB263&gt;0.005,$C$9,IF(AG263&gt;0.005,$C$10,IF(AL263&gt;0.005,$C$11,IF(AQ263&gt;0.005,$C$12,IF(AV263&gt;0.005,$C$13,IF(BA263&gt;0.005,$C$14,""))))))))))</f>
        <v/>
      </c>
    </row>
  </sheetData>
  <mergeCells count="10">
    <mergeCell ref="E22:I22"/>
    <mergeCell ref="J22:N22"/>
    <mergeCell ref="O22:S22"/>
    <mergeCell ref="T22:X22"/>
    <mergeCell ref="Y22:AC22"/>
    <mergeCell ref="AD22:AH22"/>
    <mergeCell ref="AI22:AM22"/>
    <mergeCell ref="AN22:AR22"/>
    <mergeCell ref="AS22:AW22"/>
    <mergeCell ref="AX22:B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2026-10-17T17:56:37Z</dcterms:created>
  <dc:creator>openpyxl</dc:creator>
  <dc:description/>
  <dc:language>en-US</dc:language>
  <cp:lastModifiedBy/>
  <dcterms:modified xsi:type="dcterms:W3CDTF">2026-10-17T17:56:38Z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